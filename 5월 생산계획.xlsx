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03"/>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9EF3EDFC-E1D8-4C70-AEDC-32E29B58C944}" xr6:coauthVersionLast="47" xr6:coauthVersionMax="47" xr10:uidLastSave="{00000000-0000-0000-0000-000000000000}"/>
  <bookViews>
    <workbookView xWindow="-120" yWindow="-120" windowWidth="29040" windowHeight="15720" tabRatio="893" firstSheet="2" activeTab="4" xr2:uid="{C1AC5225-D6A5-4FAD-976F-6DB5B8C94014}"/>
  </bookViews>
  <sheets>
    <sheet name="단위공정별S.T(상부)" sheetId="18" state="hidden" r:id="rId1"/>
    <sheet name="단위공정별S.T(Fixture)" sheetId="7" state="hidden" r:id="rId2"/>
    <sheet name="Fixture 총 발주수량" sheetId="6" r:id="rId3"/>
    <sheet name="TEST" sheetId="8" state="hidden" r:id="rId4"/>
    <sheet name="생산계획" sheetId="9" r:id="rId5"/>
    <sheet name="후공정(샌딩)생산계획" sheetId="17" state="hidden" r:id="rId6"/>
    <sheet name="후공정(애칭)생산계획" sheetId="13" state="hidden" r:id="rId7"/>
    <sheet name="클린룸 생산계획" sheetId="14" state="hidden" r:id="rId8"/>
    <sheet name="생산수량Back-Data" sheetId="16" r:id="rId9"/>
  </sheets>
  <definedNames>
    <definedName name="_xlnm._FilterDatabase" localSheetId="2" hidden="1">'Fixture 총 발주수량'!$A$3:$AH$48</definedName>
    <definedName name="_xlnm._FilterDatabase" localSheetId="3" hidden="1">TEST!$A$4:$AQ$45</definedName>
    <definedName name="_xlnm._FilterDatabase" localSheetId="4" hidden="1">생산계획!$B$4:$AW$86</definedName>
    <definedName name="_xlnm._FilterDatabase" localSheetId="8" hidden="1">'생산수량Back-Data'!$B$4:$AO$214</definedName>
    <definedName name="_xlnm._FilterDatabase" localSheetId="7" hidden="1">'클린룸 생산계획'!$B$4:$AU$86</definedName>
    <definedName name="_xlnm._FilterDatabase" localSheetId="5" hidden="1">'후공정(샌딩)생산계획'!$B$4:$AT$86</definedName>
    <definedName name="_xlnm._FilterDatabase" localSheetId="6" hidden="1">'후공정(애칭)생산계획'!$B$4:$AT$86</definedName>
    <definedName name="_xlnm.Print_Area" localSheetId="1">'단위공정별S.T(Fixture)'!$B$1:$U$36</definedName>
    <definedName name="_xlnm.Print_Area" localSheetId="0">'단위공정별S.T(상부)'!$B$1:$U$10</definedName>
    <definedName name="_xlnm.Print_Area" localSheetId="4">생산계획!$B$3:$AW$86</definedName>
    <definedName name="_xlnm.Print_Area" localSheetId="8">'생산수량Back-Data'!$B$3:$AN$205</definedName>
    <definedName name="_xlnm.Print_Area" localSheetId="7">'클린룸 생산계획'!$B$3:$AT$86</definedName>
    <definedName name="_xlnm.Print_Area" localSheetId="6">'후공정(애칭)생산계획'!$B$3:$AS$86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8" i="9" l="1"/>
  <c r="G5" i="9"/>
  <c r="V126" i="16" l="1"/>
  <c r="U131" i="16"/>
  <c r="U126" i="16"/>
  <c r="R131" i="16"/>
  <c r="Q131" i="16"/>
  <c r="P131" i="16"/>
  <c r="P146" i="16"/>
  <c r="R8" i="18" l="1"/>
  <c r="R9" i="18"/>
  <c r="R10" i="18"/>
  <c r="L6" i="18"/>
  <c r="M8" i="18" l="1"/>
  <c r="O8" i="18" s="1"/>
  <c r="Q8" i="18" s="1"/>
  <c r="L8" i="18"/>
  <c r="N8" i="18" s="1"/>
  <c r="P8" i="18" s="1"/>
  <c r="N7" i="18"/>
  <c r="N6" i="18"/>
  <c r="P6" i="18" s="1"/>
  <c r="R6" i="18" s="1"/>
  <c r="M6" i="18"/>
  <c r="O6" i="18" s="1"/>
  <c r="Q6" i="18" s="1"/>
  <c r="M7" i="18"/>
  <c r="O7" i="18" s="1"/>
  <c r="Q7" i="18" s="1"/>
  <c r="L7" i="18"/>
  <c r="P7" i="18" s="1"/>
  <c r="R7" i="18" s="1"/>
  <c r="L9" i="7"/>
  <c r="L23" i="18" l="1"/>
  <c r="N23" i="18" s="1"/>
  <c r="P23" i="18" s="1"/>
  <c r="R23" i="18" s="1"/>
  <c r="L22" i="18"/>
  <c r="N22" i="18" s="1"/>
  <c r="P22" i="18" s="1"/>
  <c r="R22" i="18" s="1"/>
  <c r="L21" i="18"/>
  <c r="N21" i="18" s="1"/>
  <c r="P21" i="18" s="1"/>
  <c r="R21" i="18" s="1"/>
  <c r="L20" i="18"/>
  <c r="N20" i="18" s="1"/>
  <c r="P20" i="18" s="1"/>
  <c r="R20" i="18" s="1"/>
  <c r="L19" i="18"/>
  <c r="N19" i="18" s="1"/>
  <c r="P19" i="18" s="1"/>
  <c r="R19" i="18" s="1"/>
  <c r="L18" i="18"/>
  <c r="N18" i="18" s="1"/>
  <c r="P18" i="18" s="1"/>
  <c r="R18" i="18" s="1"/>
  <c r="L17" i="18"/>
  <c r="N17" i="18" s="1"/>
  <c r="P17" i="18" s="1"/>
  <c r="R17" i="18" s="1"/>
  <c r="M10" i="18"/>
  <c r="O10" i="18" s="1"/>
  <c r="Q10" i="18" s="1"/>
  <c r="L10" i="18"/>
  <c r="N10" i="18" s="1"/>
  <c r="P10" i="18" s="1"/>
  <c r="M9" i="18"/>
  <c r="O9" i="18" s="1"/>
  <c r="Q9" i="18" s="1"/>
  <c r="S9" i="18" s="1"/>
  <c r="L9" i="18"/>
  <c r="N9" i="18" s="1"/>
  <c r="P9" i="18" s="1"/>
  <c r="I9" i="18"/>
  <c r="L5" i="18"/>
  <c r="N5" i="18" s="1"/>
  <c r="P5" i="18" s="1"/>
  <c r="R5" i="18" s="1"/>
  <c r="I5" i="18"/>
  <c r="AO214" i="16" l="1"/>
  <c r="AN214" i="16"/>
  <c r="AM214" i="16"/>
  <c r="AL214" i="16"/>
  <c r="AK214" i="16"/>
  <c r="AJ214" i="16"/>
  <c r="AI214" i="16"/>
  <c r="AH214" i="16"/>
  <c r="AG214" i="16"/>
  <c r="AF214" i="16"/>
  <c r="AE214" i="16"/>
  <c r="AD214" i="16"/>
  <c r="AC214" i="16"/>
  <c r="AB214" i="16"/>
  <c r="AA214" i="16"/>
  <c r="Z214" i="16"/>
  <c r="Y214" i="16"/>
  <c r="X214" i="16"/>
  <c r="W214" i="16"/>
  <c r="V214" i="16"/>
  <c r="U214" i="16"/>
  <c r="T214" i="16"/>
  <c r="S214" i="16"/>
  <c r="R214" i="16"/>
  <c r="Q214" i="16"/>
  <c r="P214" i="16"/>
  <c r="O214" i="16"/>
  <c r="N214" i="16"/>
  <c r="M214" i="16"/>
  <c r="L214" i="16"/>
  <c r="AO213" i="16"/>
  <c r="AN213" i="16"/>
  <c r="AM213" i="16"/>
  <c r="AL213" i="16"/>
  <c r="AK213" i="16"/>
  <c r="AJ213" i="16"/>
  <c r="AI213" i="16"/>
  <c r="AH213" i="16"/>
  <c r="AG213" i="16"/>
  <c r="AF213" i="16"/>
  <c r="AE213" i="16"/>
  <c r="AD213" i="16"/>
  <c r="AC213" i="16"/>
  <c r="AB213" i="16"/>
  <c r="AA213" i="16"/>
  <c r="Z213" i="16"/>
  <c r="Y213" i="16"/>
  <c r="X213" i="16"/>
  <c r="W213" i="16"/>
  <c r="V213" i="16"/>
  <c r="U213" i="16"/>
  <c r="T213" i="16"/>
  <c r="S213" i="16"/>
  <c r="R213" i="16"/>
  <c r="Q213" i="16"/>
  <c r="P213" i="16"/>
  <c r="O213" i="16"/>
  <c r="N213" i="16"/>
  <c r="M213" i="16"/>
  <c r="L213" i="16"/>
  <c r="AO212" i="16"/>
  <c r="AN212" i="16"/>
  <c r="AM212" i="16"/>
  <c r="AL212" i="16"/>
  <c r="AK212" i="16"/>
  <c r="AJ212" i="16"/>
  <c r="AI212" i="16"/>
  <c r="AH212" i="16"/>
  <c r="AG212" i="16"/>
  <c r="AF212" i="16"/>
  <c r="AE212" i="16"/>
  <c r="AD212" i="16"/>
  <c r="AC212" i="16"/>
  <c r="AB212" i="16"/>
  <c r="AA212" i="16"/>
  <c r="Z212" i="16"/>
  <c r="Y212" i="16"/>
  <c r="X212" i="16"/>
  <c r="W212" i="16"/>
  <c r="V212" i="16"/>
  <c r="U212" i="16"/>
  <c r="T212" i="16"/>
  <c r="S212" i="16"/>
  <c r="R212" i="16"/>
  <c r="Q212" i="16"/>
  <c r="P212" i="16"/>
  <c r="O212" i="16"/>
  <c r="N212" i="16"/>
  <c r="M212" i="16"/>
  <c r="L212" i="16"/>
  <c r="AO211" i="16"/>
  <c r="AN211" i="16"/>
  <c r="AM211" i="16"/>
  <c r="AL211" i="16"/>
  <c r="AK211" i="16"/>
  <c r="AJ211" i="16"/>
  <c r="AI211" i="16"/>
  <c r="AH211" i="16"/>
  <c r="AG211" i="16"/>
  <c r="AF211" i="16"/>
  <c r="AE211" i="16"/>
  <c r="AD211" i="16"/>
  <c r="AC211" i="16"/>
  <c r="AB211" i="16"/>
  <c r="AA211" i="16"/>
  <c r="Z211" i="16"/>
  <c r="Y211" i="16"/>
  <c r="X211" i="16"/>
  <c r="W211" i="16"/>
  <c r="V211" i="16"/>
  <c r="U211" i="16"/>
  <c r="T211" i="16"/>
  <c r="S211" i="16"/>
  <c r="R211" i="16"/>
  <c r="Q211" i="16"/>
  <c r="P211" i="16"/>
  <c r="O211" i="16"/>
  <c r="N211" i="16"/>
  <c r="M211" i="16"/>
  <c r="L211" i="16"/>
  <c r="AO210" i="16"/>
  <c r="AN210" i="16"/>
  <c r="AM210" i="16"/>
  <c r="AL210" i="16"/>
  <c r="AK210" i="16"/>
  <c r="AJ210" i="16"/>
  <c r="AI210" i="16"/>
  <c r="AH210" i="16"/>
  <c r="AG210" i="16"/>
  <c r="AF210" i="16"/>
  <c r="AE210" i="16"/>
  <c r="AD210" i="16"/>
  <c r="AC210" i="16"/>
  <c r="AB210" i="16"/>
  <c r="AA210" i="16"/>
  <c r="Z210" i="16"/>
  <c r="Y210" i="16"/>
  <c r="X210" i="16"/>
  <c r="W210" i="16"/>
  <c r="V210" i="16"/>
  <c r="U210" i="16"/>
  <c r="T210" i="16"/>
  <c r="S210" i="16"/>
  <c r="R210" i="16"/>
  <c r="Q210" i="16"/>
  <c r="P210" i="16"/>
  <c r="O210" i="16"/>
  <c r="N210" i="16"/>
  <c r="M210" i="16"/>
  <c r="L210" i="16"/>
  <c r="K214" i="16"/>
  <c r="K213" i="16"/>
  <c r="K212" i="16"/>
  <c r="K211" i="16"/>
  <c r="K210" i="16"/>
  <c r="F205" i="16"/>
  <c r="F200" i="16"/>
  <c r="F195" i="16"/>
  <c r="F190" i="16"/>
  <c r="F185" i="16"/>
  <c r="F180" i="16"/>
  <c r="F175" i="16"/>
  <c r="F170" i="16"/>
  <c r="F165" i="16"/>
  <c r="F160" i="16"/>
  <c r="F155" i="16"/>
  <c r="F150" i="16"/>
  <c r="F145" i="16"/>
  <c r="F140" i="16"/>
  <c r="F135" i="16"/>
  <c r="F130" i="16"/>
  <c r="F125" i="16"/>
  <c r="F120" i="16"/>
  <c r="F115" i="16"/>
  <c r="F110" i="16"/>
  <c r="F105" i="16"/>
  <c r="F100" i="16"/>
  <c r="F95" i="16"/>
  <c r="F90" i="16"/>
  <c r="F85" i="16"/>
  <c r="F80" i="16"/>
  <c r="F75" i="16"/>
  <c r="F70" i="16"/>
  <c r="F65" i="16"/>
  <c r="F60" i="16"/>
  <c r="F55" i="16"/>
  <c r="F50" i="16"/>
  <c r="F45" i="16"/>
  <c r="F40" i="16"/>
  <c r="F35" i="16"/>
  <c r="F30" i="16"/>
  <c r="F25" i="16"/>
  <c r="F20" i="16"/>
  <c r="F15" i="16"/>
  <c r="F10" i="16"/>
  <c r="F5" i="16"/>
  <c r="F210" i="16" l="1"/>
  <c r="G85" i="17"/>
  <c r="G83" i="17"/>
  <c r="G81" i="17"/>
  <c r="G79" i="17"/>
  <c r="G77" i="17"/>
  <c r="G75" i="17"/>
  <c r="G73" i="17"/>
  <c r="G71" i="17"/>
  <c r="G69" i="17"/>
  <c r="G67" i="17"/>
  <c r="G65" i="17"/>
  <c r="G63" i="17"/>
  <c r="G61" i="17"/>
  <c r="G59" i="17"/>
  <c r="G57" i="17"/>
  <c r="G55" i="17"/>
  <c r="G53" i="17"/>
  <c r="G51" i="17"/>
  <c r="G49" i="17"/>
  <c r="G47" i="17"/>
  <c r="G45" i="17"/>
  <c r="G43" i="17"/>
  <c r="G41" i="17"/>
  <c r="G39" i="17"/>
  <c r="G37" i="17"/>
  <c r="G35" i="17"/>
  <c r="G33" i="17"/>
  <c r="G31" i="17"/>
  <c r="G29" i="17"/>
  <c r="G27" i="17"/>
  <c r="G25" i="17"/>
  <c r="G23" i="17"/>
  <c r="G21" i="17"/>
  <c r="G19" i="17"/>
  <c r="G17" i="17"/>
  <c r="G15" i="17"/>
  <c r="G13" i="17"/>
  <c r="G11" i="17"/>
  <c r="G9" i="17"/>
  <c r="G7" i="17"/>
  <c r="G5" i="17"/>
  <c r="P3" i="17"/>
  <c r="Q3" i="17" s="1"/>
  <c r="P4" i="17" l="1"/>
  <c r="Q4" i="17"/>
  <c r="R3" i="17"/>
  <c r="S3" i="17" l="1"/>
  <c r="R4" i="17"/>
  <c r="K3" i="16"/>
  <c r="S3" i="9"/>
  <c r="I205" i="16"/>
  <c r="H205" i="16"/>
  <c r="G205" i="16"/>
  <c r="E205" i="16"/>
  <c r="I200" i="16"/>
  <c r="H200" i="16"/>
  <c r="G200" i="16"/>
  <c r="E200" i="16"/>
  <c r="I195" i="16"/>
  <c r="H195" i="16"/>
  <c r="G195" i="16"/>
  <c r="E195" i="16"/>
  <c r="I190" i="16"/>
  <c r="H190" i="16"/>
  <c r="G190" i="16"/>
  <c r="E190" i="16"/>
  <c r="I185" i="16"/>
  <c r="H185" i="16"/>
  <c r="G185" i="16"/>
  <c r="E185" i="16"/>
  <c r="I180" i="16"/>
  <c r="H180" i="16"/>
  <c r="G180" i="16"/>
  <c r="E180" i="16"/>
  <c r="I175" i="16"/>
  <c r="H175" i="16"/>
  <c r="G175" i="16"/>
  <c r="E175" i="16"/>
  <c r="I170" i="16"/>
  <c r="H170" i="16"/>
  <c r="G170" i="16"/>
  <c r="E170" i="16"/>
  <c r="I165" i="16"/>
  <c r="H165" i="16"/>
  <c r="G165" i="16"/>
  <c r="E165" i="16"/>
  <c r="I160" i="16"/>
  <c r="H160" i="16"/>
  <c r="G160" i="16"/>
  <c r="E160" i="16"/>
  <c r="I155" i="16"/>
  <c r="H155" i="16"/>
  <c r="G155" i="16"/>
  <c r="E155" i="16"/>
  <c r="I150" i="16"/>
  <c r="H150" i="16"/>
  <c r="G150" i="16"/>
  <c r="E150" i="16"/>
  <c r="I145" i="16"/>
  <c r="H145" i="16"/>
  <c r="G145" i="16"/>
  <c r="E145" i="16"/>
  <c r="I140" i="16"/>
  <c r="H140" i="16"/>
  <c r="G140" i="16"/>
  <c r="E140" i="16"/>
  <c r="I135" i="16"/>
  <c r="H135" i="16"/>
  <c r="G135" i="16"/>
  <c r="E135" i="16"/>
  <c r="I130" i="16"/>
  <c r="H130" i="16"/>
  <c r="G130" i="16"/>
  <c r="E130" i="16"/>
  <c r="I125" i="16"/>
  <c r="H125" i="16"/>
  <c r="G125" i="16"/>
  <c r="E125" i="16"/>
  <c r="I120" i="16"/>
  <c r="H120" i="16"/>
  <c r="G120" i="16"/>
  <c r="E120" i="16"/>
  <c r="I115" i="16"/>
  <c r="H115" i="16"/>
  <c r="G115" i="16"/>
  <c r="E115" i="16"/>
  <c r="I110" i="16"/>
  <c r="H110" i="16"/>
  <c r="G110" i="16"/>
  <c r="E110" i="16"/>
  <c r="I105" i="16"/>
  <c r="H105" i="16"/>
  <c r="G105" i="16"/>
  <c r="E105" i="16"/>
  <c r="I100" i="16"/>
  <c r="H100" i="16"/>
  <c r="G100" i="16"/>
  <c r="E100" i="16"/>
  <c r="I95" i="16"/>
  <c r="H95" i="16"/>
  <c r="G95" i="16"/>
  <c r="E95" i="16"/>
  <c r="I90" i="16"/>
  <c r="H90" i="16"/>
  <c r="G90" i="16"/>
  <c r="E90" i="16"/>
  <c r="I85" i="16"/>
  <c r="H85" i="16"/>
  <c r="G85" i="16"/>
  <c r="E85" i="16"/>
  <c r="I80" i="16"/>
  <c r="H80" i="16"/>
  <c r="G80" i="16"/>
  <c r="E80" i="16"/>
  <c r="I75" i="16"/>
  <c r="H75" i="16"/>
  <c r="G75" i="16"/>
  <c r="E75" i="16"/>
  <c r="I70" i="16"/>
  <c r="H70" i="16"/>
  <c r="G70" i="16"/>
  <c r="E70" i="16"/>
  <c r="I65" i="16"/>
  <c r="H65" i="16"/>
  <c r="G65" i="16"/>
  <c r="E65" i="16"/>
  <c r="I60" i="16"/>
  <c r="H60" i="16"/>
  <c r="G60" i="16"/>
  <c r="E60" i="16"/>
  <c r="I55" i="16"/>
  <c r="H55" i="16"/>
  <c r="G55" i="16"/>
  <c r="E55" i="16"/>
  <c r="I50" i="16"/>
  <c r="H50" i="16"/>
  <c r="G50" i="16"/>
  <c r="E50" i="16"/>
  <c r="I45" i="16"/>
  <c r="H45" i="16"/>
  <c r="G45" i="16"/>
  <c r="E45" i="16"/>
  <c r="I40" i="16"/>
  <c r="H40" i="16"/>
  <c r="G40" i="16"/>
  <c r="E40" i="16"/>
  <c r="I35" i="16"/>
  <c r="H35" i="16"/>
  <c r="G35" i="16"/>
  <c r="E35" i="16"/>
  <c r="I30" i="16"/>
  <c r="H30" i="16"/>
  <c r="G30" i="16"/>
  <c r="E30" i="16"/>
  <c r="I25" i="16"/>
  <c r="H25" i="16"/>
  <c r="G25" i="16"/>
  <c r="E25" i="16"/>
  <c r="I20" i="16"/>
  <c r="H20" i="16"/>
  <c r="G20" i="16"/>
  <c r="E20" i="16"/>
  <c r="I15" i="16"/>
  <c r="H15" i="16"/>
  <c r="G15" i="16"/>
  <c r="E15" i="16"/>
  <c r="I10" i="16"/>
  <c r="H10" i="16"/>
  <c r="G10" i="16"/>
  <c r="E10" i="16"/>
  <c r="I5" i="16"/>
  <c r="H5" i="16"/>
  <c r="G5" i="16"/>
  <c r="E5" i="16"/>
  <c r="G210" i="16" l="1"/>
  <c r="H210" i="16"/>
  <c r="I210" i="16"/>
  <c r="E210" i="16"/>
  <c r="T3" i="17"/>
  <c r="S4" i="17"/>
  <c r="K4" i="16"/>
  <c r="G85" i="14"/>
  <c r="G83" i="14"/>
  <c r="G81" i="14"/>
  <c r="G79" i="14"/>
  <c r="G77" i="14"/>
  <c r="G75" i="14"/>
  <c r="G73" i="14"/>
  <c r="G71" i="14"/>
  <c r="G69" i="14"/>
  <c r="G67" i="14"/>
  <c r="G65" i="14"/>
  <c r="G63" i="14"/>
  <c r="G61" i="14"/>
  <c r="G59" i="14"/>
  <c r="G57" i="14"/>
  <c r="G55" i="14"/>
  <c r="G53" i="14"/>
  <c r="G51" i="14"/>
  <c r="G49" i="14"/>
  <c r="G47" i="14"/>
  <c r="G45" i="14"/>
  <c r="G43" i="14"/>
  <c r="G41" i="14"/>
  <c r="G39" i="14"/>
  <c r="G37" i="14"/>
  <c r="G35" i="14"/>
  <c r="G33" i="14"/>
  <c r="G31" i="14"/>
  <c r="G29" i="14"/>
  <c r="G27" i="14"/>
  <c r="G25" i="14"/>
  <c r="G23" i="14"/>
  <c r="G21" i="14"/>
  <c r="G19" i="14"/>
  <c r="G17" i="14"/>
  <c r="G15" i="14"/>
  <c r="G13" i="14"/>
  <c r="G11" i="14"/>
  <c r="G9" i="14"/>
  <c r="G7" i="14"/>
  <c r="G5" i="14"/>
  <c r="Q3" i="14"/>
  <c r="G85" i="13"/>
  <c r="G83" i="13"/>
  <c r="G81" i="13"/>
  <c r="G79" i="13"/>
  <c r="G77" i="13"/>
  <c r="G75" i="13"/>
  <c r="G73" i="13"/>
  <c r="G71" i="13"/>
  <c r="G69" i="13"/>
  <c r="G67" i="13"/>
  <c r="G65" i="13"/>
  <c r="G63" i="13"/>
  <c r="G61" i="13"/>
  <c r="G59" i="13"/>
  <c r="G57" i="13"/>
  <c r="G55" i="13"/>
  <c r="G53" i="13"/>
  <c r="G51" i="13"/>
  <c r="G49" i="13"/>
  <c r="G47" i="13"/>
  <c r="G45" i="13"/>
  <c r="G43" i="13"/>
  <c r="G41" i="13"/>
  <c r="G39" i="13"/>
  <c r="G37" i="13"/>
  <c r="G35" i="13"/>
  <c r="G33" i="13"/>
  <c r="G31" i="13"/>
  <c r="G29" i="13"/>
  <c r="G27" i="13"/>
  <c r="G25" i="13"/>
  <c r="G23" i="13"/>
  <c r="G21" i="13"/>
  <c r="G19" i="13"/>
  <c r="G17" i="13"/>
  <c r="G15" i="13"/>
  <c r="G13" i="13"/>
  <c r="G11" i="13"/>
  <c r="G9" i="13"/>
  <c r="G7" i="13"/>
  <c r="G5" i="13"/>
  <c r="P3" i="13"/>
  <c r="Q4" i="14" l="1"/>
  <c r="U3" i="17"/>
  <c r="T4" i="17"/>
  <c r="R3" i="14"/>
  <c r="R4" i="14" s="1"/>
  <c r="Q3" i="13"/>
  <c r="L3" i="16"/>
  <c r="P4" i="13"/>
  <c r="R3" i="13"/>
  <c r="Q4" i="13"/>
  <c r="S3" i="14" l="1"/>
  <c r="V3" i="17"/>
  <c r="U4" i="17"/>
  <c r="L4" i="16"/>
  <c r="M3" i="16"/>
  <c r="T3" i="14"/>
  <c r="S4" i="14"/>
  <c r="R4" i="13"/>
  <c r="S3" i="13"/>
  <c r="N3" i="16" l="1"/>
  <c r="W3" i="17"/>
  <c r="V4" i="17"/>
  <c r="N4" i="16"/>
  <c r="M4" i="16"/>
  <c r="U3" i="14"/>
  <c r="T4" i="14"/>
  <c r="S4" i="13"/>
  <c r="T3" i="13"/>
  <c r="O3" i="16" l="1"/>
  <c r="X3" i="17"/>
  <c r="W4" i="17"/>
  <c r="V3" i="14"/>
  <c r="U4" i="14"/>
  <c r="U3" i="13"/>
  <c r="T4" i="13"/>
  <c r="P3" i="16" l="1"/>
  <c r="O4" i="16"/>
  <c r="X4" i="17"/>
  <c r="Y3" i="17"/>
  <c r="W3" i="14"/>
  <c r="V4" i="14"/>
  <c r="U4" i="13"/>
  <c r="V3" i="13"/>
  <c r="Q3" i="16" l="1"/>
  <c r="P4" i="16"/>
  <c r="Y4" i="17"/>
  <c r="Z3" i="17"/>
  <c r="X3" i="14"/>
  <c r="W4" i="14"/>
  <c r="W3" i="13"/>
  <c r="V4" i="13"/>
  <c r="Q4" i="16" l="1"/>
  <c r="R3" i="16"/>
  <c r="AA3" i="17"/>
  <c r="Z4" i="17"/>
  <c r="Y3" i="14"/>
  <c r="X4" i="14"/>
  <c r="X3" i="13"/>
  <c r="W4" i="13"/>
  <c r="R4" i="16" l="1"/>
  <c r="S3" i="16"/>
  <c r="AB3" i="17"/>
  <c r="AA4" i="17"/>
  <c r="Z3" i="14"/>
  <c r="Y4" i="14"/>
  <c r="Y3" i="13"/>
  <c r="X4" i="13"/>
  <c r="T3" i="16" l="1"/>
  <c r="S4" i="16"/>
  <c r="AC3" i="17"/>
  <c r="AB4" i="17"/>
  <c r="AA3" i="14"/>
  <c r="Z4" i="14"/>
  <c r="Y4" i="13"/>
  <c r="Z3" i="13"/>
  <c r="U3" i="16" l="1"/>
  <c r="T4" i="16"/>
  <c r="AC4" i="17"/>
  <c r="AD3" i="17"/>
  <c r="AB3" i="14"/>
  <c r="AA4" i="14"/>
  <c r="Z4" i="13"/>
  <c r="AA3" i="13"/>
  <c r="V3" i="16" l="1"/>
  <c r="U4" i="16"/>
  <c r="AE3" i="17"/>
  <c r="AD4" i="17"/>
  <c r="AC3" i="14"/>
  <c r="AB4" i="14"/>
  <c r="AB3" i="13"/>
  <c r="AA4" i="13"/>
  <c r="W3" i="16" l="1"/>
  <c r="V4" i="16"/>
  <c r="AF3" i="17"/>
  <c r="AE4" i="17"/>
  <c r="AD3" i="14"/>
  <c r="AC4" i="14"/>
  <c r="AB4" i="13"/>
  <c r="AC3" i="13"/>
  <c r="W4" i="16" l="1"/>
  <c r="X3" i="16"/>
  <c r="AG3" i="17"/>
  <c r="AF4" i="17"/>
  <c r="AE3" i="14"/>
  <c r="AD4" i="14"/>
  <c r="AC4" i="13"/>
  <c r="AD3" i="13"/>
  <c r="Y3" i="16" l="1"/>
  <c r="X4" i="16"/>
  <c r="AH3" i="17"/>
  <c r="AG4" i="17"/>
  <c r="AE4" i="14"/>
  <c r="AF3" i="14"/>
  <c r="AE3" i="13"/>
  <c r="AD4" i="13"/>
  <c r="Y4" i="16" l="1"/>
  <c r="Z3" i="16"/>
  <c r="AI3" i="17"/>
  <c r="AH4" i="17"/>
  <c r="AF4" i="14"/>
  <c r="AG3" i="14"/>
  <c r="AF3" i="13"/>
  <c r="AE4" i="13"/>
  <c r="Z4" i="16" l="1"/>
  <c r="AA3" i="16"/>
  <c r="AJ3" i="17"/>
  <c r="AI4" i="17"/>
  <c r="AG4" i="14"/>
  <c r="AH3" i="14"/>
  <c r="AG3" i="13"/>
  <c r="AF4" i="13"/>
  <c r="AB3" i="16" l="1"/>
  <c r="AA4" i="16"/>
  <c r="AJ4" i="17"/>
  <c r="AK3" i="17"/>
  <c r="AH4" i="14"/>
  <c r="AI3" i="14"/>
  <c r="AH3" i="13"/>
  <c r="AG4" i="13"/>
  <c r="AB4" i="16" l="1"/>
  <c r="AC3" i="16"/>
  <c r="AL3" i="17"/>
  <c r="AK4" i="17"/>
  <c r="AJ3" i="14"/>
  <c r="AI4" i="14"/>
  <c r="AH4" i="13"/>
  <c r="AI3" i="13"/>
  <c r="AC4" i="16" l="1"/>
  <c r="AD3" i="16"/>
  <c r="AM3" i="17"/>
  <c r="AL4" i="17"/>
  <c r="AK3" i="14"/>
  <c r="AJ4" i="14"/>
  <c r="AJ3" i="13"/>
  <c r="AI4" i="13"/>
  <c r="AE3" i="16" l="1"/>
  <c r="AD4" i="16"/>
  <c r="AN3" i="17"/>
  <c r="AM4" i="17"/>
  <c r="AL3" i="14"/>
  <c r="AK4" i="14"/>
  <c r="AK3" i="13"/>
  <c r="AJ4" i="13"/>
  <c r="AF3" i="16" l="1"/>
  <c r="AE4" i="16"/>
  <c r="AN4" i="17"/>
  <c r="AO3" i="17"/>
  <c r="AM3" i="14"/>
  <c r="AL4" i="14"/>
  <c r="AL3" i="13"/>
  <c r="AK4" i="13"/>
  <c r="AG3" i="16" l="1"/>
  <c r="AF4" i="16"/>
  <c r="AO4" i="17"/>
  <c r="AP3" i="17"/>
  <c r="AN3" i="14"/>
  <c r="AM4" i="14"/>
  <c r="AM3" i="13"/>
  <c r="AL4" i="13"/>
  <c r="AG4" i="16" l="1"/>
  <c r="AH3" i="16"/>
  <c r="AQ3" i="17"/>
  <c r="AP4" i="17"/>
  <c r="AO3" i="14"/>
  <c r="AN4" i="14"/>
  <c r="AM4" i="13"/>
  <c r="AN3" i="13"/>
  <c r="AH4" i="16" l="1"/>
  <c r="AI3" i="16"/>
  <c r="AR3" i="17"/>
  <c r="AQ4" i="17"/>
  <c r="AP3" i="14"/>
  <c r="AO4" i="14"/>
  <c r="AN4" i="13"/>
  <c r="AO3" i="13"/>
  <c r="AJ3" i="16" l="1"/>
  <c r="AI4" i="16"/>
  <c r="AS3" i="17"/>
  <c r="AR4" i="17"/>
  <c r="AQ3" i="14"/>
  <c r="AP4" i="14"/>
  <c r="AP3" i="13"/>
  <c r="AO4" i="13"/>
  <c r="AK3" i="16" l="1"/>
  <c r="AJ4" i="16"/>
  <c r="AS4" i="17"/>
  <c r="AT3" i="17"/>
  <c r="AR3" i="14"/>
  <c r="AQ4" i="14"/>
  <c r="AQ3" i="13"/>
  <c r="AP4" i="13"/>
  <c r="AL3" i="16" l="1"/>
  <c r="AK4" i="16"/>
  <c r="AT4" i="17"/>
  <c r="AS3" i="14"/>
  <c r="AR4" i="14"/>
  <c r="AR3" i="13"/>
  <c r="AQ4" i="13"/>
  <c r="AM3" i="16" l="1"/>
  <c r="AL4" i="16"/>
  <c r="AT3" i="14"/>
  <c r="AS4" i="14"/>
  <c r="AR4" i="13"/>
  <c r="AS3" i="13"/>
  <c r="AM4" i="16" l="1"/>
  <c r="AN3" i="16"/>
  <c r="AU3" i="14"/>
  <c r="AT4" i="14"/>
  <c r="AS4" i="13"/>
  <c r="AT3" i="13"/>
  <c r="AP78" i="17" l="1" a="1"/>
  <c r="AP78" i="17" s="1"/>
  <c r="AP24" i="17" a="1"/>
  <c r="AP24" i="17" s="1"/>
  <c r="AS24" i="17" a="1"/>
  <c r="AS24" i="17" s="1"/>
  <c r="AP44" i="17" a="1"/>
  <c r="AP44" i="17" s="1"/>
  <c r="AN16" i="17" a="1"/>
  <c r="AN16" i="17" s="1"/>
  <c r="AP42" i="17" a="1"/>
  <c r="AP42" i="17" s="1"/>
  <c r="AO86" i="17" a="1"/>
  <c r="AO86" i="17" s="1"/>
  <c r="AP74" i="17" a="1"/>
  <c r="AP74" i="17" s="1"/>
  <c r="AS62" i="17" a="1"/>
  <c r="AS62" i="17" s="1"/>
  <c r="AQ82" i="17" a="1"/>
  <c r="AQ82" i="17" s="1"/>
  <c r="AO44" i="17" a="1"/>
  <c r="AO44" i="17" s="1"/>
  <c r="AQ10" i="17" a="1"/>
  <c r="AQ10" i="17" s="1"/>
  <c r="AP34" i="17" a="1"/>
  <c r="AP34" i="17" s="1"/>
  <c r="AS74" i="17" a="1"/>
  <c r="AS74" i="17" s="1"/>
  <c r="AO3" i="16"/>
  <c r="AO36" i="17" s="1" a="1"/>
  <c r="AO36" i="17" s="1"/>
  <c r="AN4" i="16"/>
  <c r="AT24" i="17" a="1"/>
  <c r="AT24" i="17" s="1"/>
  <c r="AT44" i="17" a="1"/>
  <c r="AT44" i="17" s="1"/>
  <c r="AT66" i="17" a="1"/>
  <c r="AT66" i="17" s="1"/>
  <c r="AT52" i="17" a="1"/>
  <c r="AT52" i="17" s="1"/>
  <c r="AT42" i="17" a="1"/>
  <c r="AT42" i="17" s="1"/>
  <c r="AT12" i="17" a="1"/>
  <c r="AT12" i="17" s="1"/>
  <c r="AT62" i="17" a="1"/>
  <c r="AT62" i="17" s="1"/>
  <c r="AT46" i="17" a="1"/>
  <c r="AT46" i="17" s="1"/>
  <c r="AT58" i="17" a="1"/>
  <c r="AT58" i="17" s="1"/>
  <c r="AT26" i="17" a="1"/>
  <c r="AT26" i="17" s="1"/>
  <c r="AT6" i="17" a="1"/>
  <c r="AT6" i="17" s="1"/>
  <c r="AT86" i="17" a="1"/>
  <c r="AT86" i="17" s="1"/>
  <c r="AT30" i="17" a="1"/>
  <c r="AT30" i="17" s="1"/>
  <c r="AT76" i="17" a="1"/>
  <c r="AT76" i="17" s="1"/>
  <c r="AT54" i="17" a="1"/>
  <c r="AT54" i="17" s="1"/>
  <c r="AT38" i="17" a="1"/>
  <c r="AT38" i="17" s="1"/>
  <c r="AT50" i="17" a="1"/>
  <c r="AT50" i="17" s="1"/>
  <c r="AT32" i="17" a="1"/>
  <c r="AT32" i="17" s="1"/>
  <c r="AT34" i="17" a="1"/>
  <c r="AT34" i="17" s="1"/>
  <c r="AT74" i="17" a="1"/>
  <c r="AT74" i="17" s="1"/>
  <c r="AT64" i="17" a="1"/>
  <c r="AT64" i="17" s="1"/>
  <c r="AT68" i="17" a="1"/>
  <c r="AT68" i="17" s="1"/>
  <c r="AT56" i="17" a="1"/>
  <c r="AT56" i="17" s="1"/>
  <c r="AT72" i="17" a="1"/>
  <c r="AT72" i="17" s="1"/>
  <c r="AT48" i="17" a="1"/>
  <c r="AT48" i="17" s="1"/>
  <c r="AT84" i="17" a="1"/>
  <c r="AT84" i="17" s="1"/>
  <c r="AT82" i="17" a="1"/>
  <c r="AT82" i="17" s="1"/>
  <c r="AT60" i="17" a="1"/>
  <c r="AT60" i="17" s="1"/>
  <c r="AT10" i="17" a="1"/>
  <c r="AT10" i="17" s="1"/>
  <c r="AT8" i="17" a="1"/>
  <c r="AT8" i="17" s="1"/>
  <c r="AT80" i="17" a="1"/>
  <c r="AT80" i="17" s="1"/>
  <c r="AT16" i="17" a="1"/>
  <c r="AT16" i="17" s="1"/>
  <c r="AT36" i="17" a="1"/>
  <c r="AT36" i="17" s="1"/>
  <c r="AT18" i="17" a="1"/>
  <c r="AT18" i="17" s="1"/>
  <c r="AT20" i="17" a="1"/>
  <c r="AT20" i="17" s="1"/>
  <c r="AT78" i="17" a="1"/>
  <c r="AT78" i="17" s="1"/>
  <c r="AT40" i="17" a="1"/>
  <c r="AT40" i="17" s="1"/>
  <c r="AT14" i="17" a="1"/>
  <c r="AT14" i="17" s="1"/>
  <c r="AT28" i="17" a="1"/>
  <c r="AT28" i="17" s="1"/>
  <c r="AU4" i="14"/>
  <c r="AT4" i="13"/>
  <c r="AR38" i="17" l="1" a="1"/>
  <c r="AR38" i="17" s="1"/>
  <c r="AR36" i="17" a="1"/>
  <c r="AR36" i="17" s="1"/>
  <c r="AR64" i="17" a="1"/>
  <c r="AR64" i="17" s="1"/>
  <c r="AR58" i="17" a="1"/>
  <c r="AR58" i="17" s="1"/>
  <c r="AR26" i="17" a="1"/>
  <c r="AR26" i="17" s="1"/>
  <c r="AO62" i="17" a="1"/>
  <c r="AO62" i="17" s="1"/>
  <c r="AP76" i="17" a="1"/>
  <c r="AP76" i="17" s="1"/>
  <c r="AM48" i="17" a="1"/>
  <c r="AM48" i="17" s="1"/>
  <c r="AR10" i="17" a="1"/>
  <c r="AR10" i="17" s="1"/>
  <c r="AN36" i="17" a="1"/>
  <c r="AN36" i="17" s="1"/>
  <c r="AP40" i="17" a="1"/>
  <c r="AP40" i="17" s="1"/>
  <c r="AN80" i="17" a="1"/>
  <c r="AN80" i="17" s="1"/>
  <c r="AO68" i="17" a="1"/>
  <c r="AO68" i="17" s="1"/>
  <c r="AP80" i="17" a="1"/>
  <c r="AP80" i="17" s="1"/>
  <c r="AL22" i="17" a="1"/>
  <c r="AL22" i="17" s="1"/>
  <c r="AQ14" i="17" a="1"/>
  <c r="AQ14" i="17" s="1"/>
  <c r="AQ8" i="17" a="1"/>
  <c r="AQ8" i="17" s="1"/>
  <c r="AP28" i="17" a="1"/>
  <c r="AP28" i="17" s="1"/>
  <c r="AN12" i="17" a="1"/>
  <c r="AN12" i="17" s="1"/>
  <c r="AQ78" i="17" a="1"/>
  <c r="AQ78" i="17" s="1"/>
  <c r="AO12" i="17" a="1"/>
  <c r="AO12" i="17" s="1"/>
  <c r="AN72" i="17" a="1"/>
  <c r="AN72" i="17" s="1"/>
  <c r="AN76" i="17" a="1"/>
  <c r="AN76" i="17" s="1"/>
  <c r="AQ68" i="17" a="1"/>
  <c r="AQ68" i="17" s="1"/>
  <c r="AR70" i="17" a="1"/>
  <c r="AR70" i="17" s="1"/>
  <c r="AQ48" i="17" a="1"/>
  <c r="AQ48" i="17" s="1"/>
  <c r="AN84" i="17" a="1"/>
  <c r="AN84" i="17" s="1"/>
  <c r="AQ66" i="17" a="1"/>
  <c r="AQ66" i="17" s="1"/>
  <c r="Q24" i="14" a="1"/>
  <c r="Q24" i="14" s="1"/>
  <c r="S58" i="9"/>
  <c r="P20" i="13" a="1"/>
  <c r="P20" i="13" s="1"/>
  <c r="Q28" i="14" a="1"/>
  <c r="Q28" i="14" s="1"/>
  <c r="Q48" i="14" a="1"/>
  <c r="Q48" i="14" s="1"/>
  <c r="Q82" i="14" a="1"/>
  <c r="Q82" i="14" s="1"/>
  <c r="P6" i="13" a="1"/>
  <c r="P6" i="13" s="1"/>
  <c r="P44" i="17" a="1"/>
  <c r="P44" i="17" s="1"/>
  <c r="P80" i="17" a="1"/>
  <c r="P80" i="17" s="1"/>
  <c r="P82" i="17" a="1"/>
  <c r="P82" i="17" s="1"/>
  <c r="P12" i="13" a="1"/>
  <c r="P12" i="13" s="1"/>
  <c r="P68" i="17" a="1"/>
  <c r="P68" i="17" s="1"/>
  <c r="S76" i="9"/>
  <c r="P52" i="17" a="1"/>
  <c r="P52" i="17" s="1"/>
  <c r="P42" i="13" a="1"/>
  <c r="P42" i="13" s="1"/>
  <c r="S42" i="9"/>
  <c r="P56" i="13" a="1"/>
  <c r="P56" i="13" s="1"/>
  <c r="S78" i="9"/>
  <c r="P50" i="13" a="1"/>
  <c r="P50" i="13" s="1"/>
  <c r="Q20" i="14" a="1"/>
  <c r="Q20" i="14" s="1"/>
  <c r="Q22" i="14" a="1"/>
  <c r="Q22" i="14" s="1"/>
  <c r="P36" i="13" a="1"/>
  <c r="P36" i="13" s="1"/>
  <c r="P74" i="17" a="1"/>
  <c r="P74" i="17" s="1"/>
  <c r="Q12" i="14" a="1"/>
  <c r="Q12" i="14" s="1"/>
  <c r="S64" i="9"/>
  <c r="P58" i="17" a="1"/>
  <c r="P58" i="17" s="1"/>
  <c r="P66" i="13" a="1"/>
  <c r="P66" i="13" s="1"/>
  <c r="S44" i="9"/>
  <c r="P86" i="17" a="1"/>
  <c r="P86" i="17" s="1"/>
  <c r="P64" i="13" a="1"/>
  <c r="P64" i="13" s="1"/>
  <c r="Q58" i="14" a="1"/>
  <c r="Q58" i="14" s="1"/>
  <c r="P66" i="17" a="1"/>
  <c r="P66" i="17" s="1"/>
  <c r="S14" i="9"/>
  <c r="P34" i="13" a="1"/>
  <c r="P34" i="13" s="1"/>
  <c r="S74" i="9"/>
  <c r="P38" i="17" a="1"/>
  <c r="P38" i="17" s="1"/>
  <c r="S12" i="9"/>
  <c r="P36" i="17" a="1"/>
  <c r="P36" i="17" s="1"/>
  <c r="S54" i="9"/>
  <c r="S72" i="9"/>
  <c r="S60" i="9"/>
  <c r="P76" i="17" a="1"/>
  <c r="P76" i="17" s="1"/>
  <c r="P48" i="17" a="1"/>
  <c r="P48" i="17" s="1"/>
  <c r="S30" i="9"/>
  <c r="S46" i="9"/>
  <c r="P22" i="17" a="1"/>
  <c r="P22" i="17" s="1"/>
  <c r="P30" i="17" a="1"/>
  <c r="P30" i="17" s="1"/>
  <c r="Q76" i="14" a="1"/>
  <c r="Q76" i="14" s="1"/>
  <c r="P22" i="13" a="1"/>
  <c r="P22" i="13" s="1"/>
  <c r="S10" i="9"/>
  <c r="S32" i="9"/>
  <c r="S84" i="9"/>
  <c r="P56" i="17" a="1"/>
  <c r="P56" i="17" s="1"/>
  <c r="S34" i="9"/>
  <c r="P84" i="17" a="1"/>
  <c r="P84" i="17" s="1"/>
  <c r="P26" i="17" a="1"/>
  <c r="P26" i="17" s="1"/>
  <c r="S8" i="9"/>
  <c r="P46" i="17" a="1"/>
  <c r="P46" i="17" s="1"/>
  <c r="S50" i="9"/>
  <c r="S18" i="9"/>
  <c r="P50" i="17" a="1"/>
  <c r="P50" i="17" s="1"/>
  <c r="P76" i="13" a="1"/>
  <c r="P76" i="13" s="1"/>
  <c r="S62" i="9"/>
  <c r="P34" i="17" a="1"/>
  <c r="P34" i="17" s="1"/>
  <c r="S82" i="9"/>
  <c r="P38" i="13" a="1"/>
  <c r="P38" i="13" s="1"/>
  <c r="Q14" i="14" a="1"/>
  <c r="Q14" i="14" s="1"/>
  <c r="Q44" i="14" a="1"/>
  <c r="Q44" i="14" s="1"/>
  <c r="P8" i="13" a="1"/>
  <c r="P8" i="13" s="1"/>
  <c r="P78" i="13" a="1"/>
  <c r="P78" i="13" s="1"/>
  <c r="P18" i="13" a="1"/>
  <c r="P18" i="13" s="1"/>
  <c r="S6" i="9"/>
  <c r="S80" i="9"/>
  <c r="S28" i="9"/>
  <c r="S56" i="9"/>
  <c r="P24" i="17" a="1"/>
  <c r="P24" i="17" s="1"/>
  <c r="P62" i="13" a="1"/>
  <c r="P62" i="13" s="1"/>
  <c r="Q42" i="14" a="1"/>
  <c r="Q42" i="14" s="1"/>
  <c r="S16" i="9"/>
  <c r="Q30" i="14" a="1"/>
  <c r="Q30" i="14" s="1"/>
  <c r="P52" i="13" a="1"/>
  <c r="P52" i="13" s="1"/>
  <c r="S48" i="9"/>
  <c r="P28" i="13" a="1"/>
  <c r="P28" i="13" s="1"/>
  <c r="P32" i="17" a="1"/>
  <c r="P32" i="17" s="1"/>
  <c r="S20" i="9"/>
  <c r="Q6" i="14" a="1"/>
  <c r="Q6" i="14" s="1"/>
  <c r="P26" i="13" a="1"/>
  <c r="P26" i="13" s="1"/>
  <c r="P64" i="17" a="1"/>
  <c r="P64" i="17" s="1"/>
  <c r="S68" i="9"/>
  <c r="Q34" i="14" a="1"/>
  <c r="Q34" i="14" s="1"/>
  <c r="P82" i="13" a="1"/>
  <c r="P82" i="13" s="1"/>
  <c r="Q78" i="14" a="1"/>
  <c r="Q78" i="14" s="1"/>
  <c r="P62" i="17" a="1"/>
  <c r="P62" i="17" s="1"/>
  <c r="P14" i="17" a="1"/>
  <c r="P14" i="17" s="1"/>
  <c r="S66" i="9"/>
  <c r="Q26" i="14" a="1"/>
  <c r="Q26" i="14" s="1"/>
  <c r="Q68" i="14" a="1"/>
  <c r="Q68" i="14" s="1"/>
  <c r="S26" i="9"/>
  <c r="S86" i="9"/>
  <c r="R24" i="14" a="1"/>
  <c r="R24" i="14" s="1"/>
  <c r="Q30" i="13" a="1"/>
  <c r="Q30" i="13" s="1"/>
  <c r="Q68" i="13" a="1"/>
  <c r="Q68" i="13" s="1"/>
  <c r="P44" i="13" a="1"/>
  <c r="P44" i="13" s="1"/>
  <c r="Q26" i="13" a="1"/>
  <c r="Q26" i="13" s="1"/>
  <c r="Q84" i="17" a="1"/>
  <c r="Q84" i="17" s="1"/>
  <c r="P30" i="13" a="1"/>
  <c r="P30" i="13" s="1"/>
  <c r="P48" i="13" a="1"/>
  <c r="P48" i="13" s="1"/>
  <c r="P32" i="13" a="1"/>
  <c r="P32" i="13" s="1"/>
  <c r="P20" i="17" a="1"/>
  <c r="P20" i="17" s="1"/>
  <c r="Q40" i="13" a="1"/>
  <c r="Q40" i="13" s="1"/>
  <c r="Q84" i="14" a="1"/>
  <c r="Q84" i="14" s="1"/>
  <c r="P10" i="17" a="1"/>
  <c r="P10" i="17" s="1"/>
  <c r="R60" i="14" a="1"/>
  <c r="R60" i="14" s="1"/>
  <c r="Q86" i="14" a="1"/>
  <c r="Q86" i="14" s="1"/>
  <c r="P68" i="13" a="1"/>
  <c r="P68" i="13" s="1"/>
  <c r="Q10" i="14" a="1"/>
  <c r="Q10" i="14" s="1"/>
  <c r="Q62" i="14" a="1"/>
  <c r="Q62" i="14" s="1"/>
  <c r="P40" i="13" a="1"/>
  <c r="P40" i="13" s="1"/>
  <c r="Q70" i="13" a="1"/>
  <c r="Q70" i="13" s="1"/>
  <c r="P72" i="17" a="1"/>
  <c r="P72" i="17" s="1"/>
  <c r="R40" i="14" a="1"/>
  <c r="R40" i="14" s="1"/>
  <c r="S38" i="9"/>
  <c r="P10" i="13" a="1"/>
  <c r="P10" i="13" s="1"/>
  <c r="R26" i="14" a="1"/>
  <c r="R26" i="14" s="1"/>
  <c r="R46" i="14" a="1"/>
  <c r="R46" i="14" s="1"/>
  <c r="Q80" i="17" a="1"/>
  <c r="Q80" i="17" s="1"/>
  <c r="R56" i="14" a="1"/>
  <c r="R56" i="14" s="1"/>
  <c r="Q46" i="13" a="1"/>
  <c r="Q46" i="13" s="1"/>
  <c r="S22" i="9"/>
  <c r="Q66" i="17" a="1"/>
  <c r="Q66" i="17" s="1"/>
  <c r="Q60" i="13" a="1"/>
  <c r="Q60" i="13" s="1"/>
  <c r="Q42" i="13" a="1"/>
  <c r="Q42" i="13" s="1"/>
  <c r="R34" i="14" a="1"/>
  <c r="R34" i="14" s="1"/>
  <c r="Q18" i="13" a="1"/>
  <c r="Q18" i="13" s="1"/>
  <c r="Q20" i="13" a="1"/>
  <c r="Q20" i="13" s="1"/>
  <c r="Q54" i="14" a="1"/>
  <c r="Q54" i="14" s="1"/>
  <c r="P86" i="13" a="1"/>
  <c r="P86" i="13" s="1"/>
  <c r="P84" i="13" a="1"/>
  <c r="P84" i="13" s="1"/>
  <c r="Q80" i="13" a="1"/>
  <c r="Q80" i="13" s="1"/>
  <c r="P14" i="13" a="1"/>
  <c r="P14" i="13" s="1"/>
  <c r="Q18" i="17" a="1"/>
  <c r="Q18" i="17" s="1"/>
  <c r="P74" i="13" a="1"/>
  <c r="P74" i="13" s="1"/>
  <c r="P6" i="17" a="1"/>
  <c r="P6" i="17" s="1"/>
  <c r="Q40" i="14" a="1"/>
  <c r="Q40" i="14" s="1"/>
  <c r="Q64" i="13" a="1"/>
  <c r="Q64" i="13" s="1"/>
  <c r="R16" i="14" a="1"/>
  <c r="R16" i="14" s="1"/>
  <c r="Q42" i="17" a="1"/>
  <c r="Q42" i="17" s="1"/>
  <c r="P24" i="13" a="1"/>
  <c r="P24" i="13" s="1"/>
  <c r="Q50" i="14" a="1"/>
  <c r="Q50" i="14" s="1"/>
  <c r="Q72" i="14" a="1"/>
  <c r="Q72" i="14" s="1"/>
  <c r="P60" i="17" a="1"/>
  <c r="P60" i="17" s="1"/>
  <c r="Q8" i="14" a="1"/>
  <c r="Q8" i="14" s="1"/>
  <c r="Q6" i="13" a="1"/>
  <c r="Q6" i="13" s="1"/>
  <c r="S40" i="9"/>
  <c r="S52" i="9"/>
  <c r="P8" i="17" a="1"/>
  <c r="P8" i="17" s="1"/>
  <c r="R30" i="14" a="1"/>
  <c r="R30" i="14" s="1"/>
  <c r="Q60" i="14" a="1"/>
  <c r="Q60" i="14" s="1"/>
  <c r="Q74" i="14" a="1"/>
  <c r="Q74" i="14" s="1"/>
  <c r="Q24" i="13" a="1"/>
  <c r="Q24" i="13" s="1"/>
  <c r="P40" i="17" a="1"/>
  <c r="P40" i="17" s="1"/>
  <c r="Q74" i="17" a="1"/>
  <c r="Q74" i="17" s="1"/>
  <c r="R54" i="14" a="1"/>
  <c r="R54" i="14" s="1"/>
  <c r="Q72" i="17" a="1"/>
  <c r="Q72" i="17" s="1"/>
  <c r="P46" i="13" a="1"/>
  <c r="P46" i="13" s="1"/>
  <c r="Q36" i="17" a="1"/>
  <c r="Q36" i="17" s="1"/>
  <c r="P12" i="17" a="1"/>
  <c r="P12" i="17" s="1"/>
  <c r="Q56" i="14" a="1"/>
  <c r="Q56" i="14" s="1"/>
  <c r="Q36" i="14" a="1"/>
  <c r="Q36" i="14" s="1"/>
  <c r="R14" i="14" a="1"/>
  <c r="R14" i="14" s="1"/>
  <c r="Q70" i="14" a="1"/>
  <c r="Q70" i="14" s="1"/>
  <c r="P70" i="17" a="1"/>
  <c r="P70" i="17" s="1"/>
  <c r="Q52" i="14" a="1"/>
  <c r="Q52" i="14" s="1"/>
  <c r="P16" i="13" a="1"/>
  <c r="P16" i="13" s="1"/>
  <c r="P72" i="13" a="1"/>
  <c r="P72" i="13" s="1"/>
  <c r="P60" i="13" a="1"/>
  <c r="P60" i="13" s="1"/>
  <c r="P28" i="17" a="1"/>
  <c r="P28" i="17" s="1"/>
  <c r="R18" i="14" a="1"/>
  <c r="R18" i="14" s="1"/>
  <c r="P70" i="13" a="1"/>
  <c r="P70" i="13" s="1"/>
  <c r="R32" i="14" a="1"/>
  <c r="R32" i="14" s="1"/>
  <c r="P54" i="13" a="1"/>
  <c r="P54" i="13" s="1"/>
  <c r="R36" i="14" a="1"/>
  <c r="R36" i="14" s="1"/>
  <c r="R42" i="14" a="1"/>
  <c r="R42" i="14" s="1"/>
  <c r="P54" i="17" a="1"/>
  <c r="P54" i="17" s="1"/>
  <c r="P80" i="13" a="1"/>
  <c r="P80" i="13" s="1"/>
  <c r="Q20" i="17" a="1"/>
  <c r="Q20" i="17" s="1"/>
  <c r="R38" i="14" a="1"/>
  <c r="R38" i="14" s="1"/>
  <c r="R12" i="14" a="1"/>
  <c r="R12" i="14" s="1"/>
  <c r="P42" i="17" a="1"/>
  <c r="P42" i="17" s="1"/>
  <c r="Q38" i="14" a="1"/>
  <c r="Q38" i="14" s="1"/>
  <c r="Q38" i="13" a="1"/>
  <c r="Q38" i="13" s="1"/>
  <c r="Q18" i="14" a="1"/>
  <c r="Q18" i="14" s="1"/>
  <c r="R62" i="14" a="1"/>
  <c r="R62" i="14" s="1"/>
  <c r="Q34" i="13" a="1"/>
  <c r="Q34" i="13" s="1"/>
  <c r="R28" i="14" a="1"/>
  <c r="R28" i="14" s="1"/>
  <c r="P78" i="17" a="1"/>
  <c r="P78" i="17" s="1"/>
  <c r="R76" i="14" a="1"/>
  <c r="R76" i="14" s="1"/>
  <c r="Q16" i="14" a="1"/>
  <c r="Q16" i="14" s="1"/>
  <c r="Q76" i="13" a="1"/>
  <c r="Q76" i="13" s="1"/>
  <c r="Q62" i="17" a="1"/>
  <c r="Q62" i="17" s="1"/>
  <c r="P18" i="17" a="1"/>
  <c r="P18" i="17" s="1"/>
  <c r="R10" i="14" a="1"/>
  <c r="R10" i="14" s="1"/>
  <c r="Q12" i="17" a="1"/>
  <c r="Q12" i="17" s="1"/>
  <c r="Q28" i="13" a="1"/>
  <c r="Q28" i="13" s="1"/>
  <c r="S40" i="14" a="1"/>
  <c r="S40" i="14" s="1"/>
  <c r="Q64" i="14" a="1"/>
  <c r="Q64" i="14" s="1"/>
  <c r="R84" i="14" a="1"/>
  <c r="R84" i="14" s="1"/>
  <c r="Q12" i="13" a="1"/>
  <c r="Q12" i="13" s="1"/>
  <c r="Q64" i="17" a="1"/>
  <c r="Q64" i="17" s="1"/>
  <c r="R6" i="14" a="1"/>
  <c r="R6" i="14" s="1"/>
  <c r="Q38" i="17" a="1"/>
  <c r="Q38" i="17" s="1"/>
  <c r="Q8" i="17" a="1"/>
  <c r="Q8" i="17" s="1"/>
  <c r="Q48" i="17" a="1"/>
  <c r="Q48" i="17" s="1"/>
  <c r="R72" i="14" a="1"/>
  <c r="R72" i="14" s="1"/>
  <c r="Q44" i="13" a="1"/>
  <c r="Q44" i="13" s="1"/>
  <c r="Q32" i="17" a="1"/>
  <c r="Q32" i="17" s="1"/>
  <c r="Q46" i="14" a="1"/>
  <c r="Q46" i="14" s="1"/>
  <c r="Q34" i="17" a="1"/>
  <c r="Q34" i="17" s="1"/>
  <c r="Q54" i="17" a="1"/>
  <c r="Q54" i="17" s="1"/>
  <c r="Q80" i="14" a="1"/>
  <c r="Q80" i="14" s="1"/>
  <c r="Q78" i="17" a="1"/>
  <c r="Q78" i="17" s="1"/>
  <c r="Q10" i="13" a="1"/>
  <c r="Q10" i="13" s="1"/>
  <c r="S36" i="9"/>
  <c r="T24" i="14" a="1"/>
  <c r="T24" i="14" s="1"/>
  <c r="Q36" i="13" a="1"/>
  <c r="Q36" i="13" s="1"/>
  <c r="Q58" i="17" a="1"/>
  <c r="Q58" i="17" s="1"/>
  <c r="Q16" i="17" a="1"/>
  <c r="Q16" i="17" s="1"/>
  <c r="Q16" i="13" a="1"/>
  <c r="Q16" i="13" s="1"/>
  <c r="Q52" i="13" a="1"/>
  <c r="Q52" i="13" s="1"/>
  <c r="Q44" i="17" a="1"/>
  <c r="Q44" i="17" s="1"/>
  <c r="Q66" i="14" a="1"/>
  <c r="Q66" i="14" s="1"/>
  <c r="Q8" i="13" a="1"/>
  <c r="Q8" i="13" s="1"/>
  <c r="Q30" i="17" a="1"/>
  <c r="Q30" i="17" s="1"/>
  <c r="Q66" i="13" a="1"/>
  <c r="Q66" i="13" s="1"/>
  <c r="Q52" i="17" a="1"/>
  <c r="Q52" i="17" s="1"/>
  <c r="S24" i="9"/>
  <c r="Q14" i="13" a="1"/>
  <c r="Q14" i="13" s="1"/>
  <c r="Q56" i="13" a="1"/>
  <c r="Q56" i="13" s="1"/>
  <c r="R52" i="14" a="1"/>
  <c r="R52" i="14" s="1"/>
  <c r="Q32" i="14" a="1"/>
  <c r="Q32" i="14" s="1"/>
  <c r="Q86" i="13" a="1"/>
  <c r="Q86" i="13" s="1"/>
  <c r="Q28" i="17" a="1"/>
  <c r="Q28" i="17" s="1"/>
  <c r="Q86" i="17" a="1"/>
  <c r="Q86" i="17" s="1"/>
  <c r="R68" i="14" a="1"/>
  <c r="R68" i="14" s="1"/>
  <c r="Q22" i="13" a="1"/>
  <c r="Q22" i="13" s="1"/>
  <c r="R44" i="14" a="1"/>
  <c r="R44" i="14" s="1"/>
  <c r="Q82" i="17" a="1"/>
  <c r="Q82" i="17" s="1"/>
  <c r="Q32" i="13" a="1"/>
  <c r="Q32" i="13" s="1"/>
  <c r="P16" i="17" a="1"/>
  <c r="P16" i="17" s="1"/>
  <c r="Q14" i="17" a="1"/>
  <c r="Q14" i="17" s="1"/>
  <c r="R8" i="14" a="1"/>
  <c r="R8" i="14" s="1"/>
  <c r="P58" i="13" a="1"/>
  <c r="P58" i="13" s="1"/>
  <c r="R64" i="14" a="1"/>
  <c r="R64" i="14" s="1"/>
  <c r="Q60" i="17" a="1"/>
  <c r="Q60" i="17" s="1"/>
  <c r="R20" i="14" a="1"/>
  <c r="R20" i="14" s="1"/>
  <c r="Q82" i="13" a="1"/>
  <c r="Q82" i="13" s="1"/>
  <c r="Q40" i="17" a="1"/>
  <c r="Q40" i="17" s="1"/>
  <c r="Q74" i="13" a="1"/>
  <c r="Q74" i="13" s="1"/>
  <c r="R74" i="14" a="1"/>
  <c r="R74" i="14" s="1"/>
  <c r="Q50" i="13" a="1"/>
  <c r="Q50" i="13" s="1"/>
  <c r="Q6" i="17" a="1"/>
  <c r="Q6" i="17" s="1"/>
  <c r="Q26" i="17" a="1"/>
  <c r="Q26" i="17" s="1"/>
  <c r="Q56" i="17" a="1"/>
  <c r="Q56" i="17" s="1"/>
  <c r="Q54" i="13" a="1"/>
  <c r="Q54" i="13" s="1"/>
  <c r="S70" i="9"/>
  <c r="T36" i="14" a="1"/>
  <c r="T36" i="14" s="1"/>
  <c r="T54" i="14" a="1"/>
  <c r="T54" i="14" s="1"/>
  <c r="R74" i="17" a="1"/>
  <c r="R74" i="17" s="1"/>
  <c r="R76" i="17" a="1"/>
  <c r="R76" i="17" s="1"/>
  <c r="S52" i="13" a="1"/>
  <c r="S52" i="13" s="1"/>
  <c r="T14" i="14" a="1"/>
  <c r="T14" i="14" s="1"/>
  <c r="R6" i="13" a="1"/>
  <c r="R6" i="13" s="1"/>
  <c r="Q72" i="13" a="1"/>
  <c r="Q72" i="13" s="1"/>
  <c r="S64" i="14" a="1"/>
  <c r="S64" i="14" s="1"/>
  <c r="T84" i="14" a="1"/>
  <c r="T84" i="14" s="1"/>
  <c r="S38" i="17" a="1"/>
  <c r="S38" i="17" s="1"/>
  <c r="S50" i="13" a="1"/>
  <c r="S50" i="13" s="1"/>
  <c r="S18" i="17" a="1"/>
  <c r="S18" i="17" s="1"/>
  <c r="R76" i="13" a="1"/>
  <c r="R76" i="13" s="1"/>
  <c r="S12" i="13" a="1"/>
  <c r="S12" i="13" s="1"/>
  <c r="S64" i="13" a="1"/>
  <c r="S64" i="13" s="1"/>
  <c r="T34" i="14" a="1"/>
  <c r="T34" i="14" s="1"/>
  <c r="Q22" i="17" a="1"/>
  <c r="Q22" i="17" s="1"/>
  <c r="Q68" i="17" a="1"/>
  <c r="Q68" i="17" s="1"/>
  <c r="S68" i="13" a="1"/>
  <c r="S68" i="13" s="1"/>
  <c r="R74" i="13" a="1"/>
  <c r="R74" i="13" s="1"/>
  <c r="S50" i="17" a="1"/>
  <c r="S50" i="17" s="1"/>
  <c r="R56" i="13" a="1"/>
  <c r="R56" i="13" s="1"/>
  <c r="S12" i="14" a="1"/>
  <c r="S12" i="14" s="1"/>
  <c r="R32" i="17" a="1"/>
  <c r="R32" i="17" s="1"/>
  <c r="T74" i="14" a="1"/>
  <c r="T74" i="14" s="1"/>
  <c r="T52" i="14" a="1"/>
  <c r="T52" i="14" s="1"/>
  <c r="R6" i="17" a="1"/>
  <c r="R6" i="17" s="1"/>
  <c r="S80" i="13" a="1"/>
  <c r="S80" i="13" s="1"/>
  <c r="T80" i="14" a="1"/>
  <c r="T80" i="14" s="1"/>
  <c r="T20" i="14" a="1"/>
  <c r="T20" i="14" s="1"/>
  <c r="S86" i="17" a="1"/>
  <c r="S86" i="17" s="1"/>
  <c r="S68" i="14" a="1"/>
  <c r="S68" i="14" s="1"/>
  <c r="R32" i="13" a="1"/>
  <c r="R32" i="13" s="1"/>
  <c r="S62" i="13" a="1"/>
  <c r="S62" i="13" s="1"/>
  <c r="S56" i="13" a="1"/>
  <c r="S56" i="13" s="1"/>
  <c r="S6" i="17" a="1"/>
  <c r="S6" i="17" s="1"/>
  <c r="R78" i="14" a="1"/>
  <c r="R78" i="14" s="1"/>
  <c r="Q48" i="13" a="1"/>
  <c r="Q48" i="13" s="1"/>
  <c r="R10" i="13" a="1"/>
  <c r="R10" i="13" s="1"/>
  <c r="T86" i="14" a="1"/>
  <c r="T86" i="14" s="1"/>
  <c r="S72" i="13" a="1"/>
  <c r="S72" i="13" s="1"/>
  <c r="S28" i="14" a="1"/>
  <c r="S28" i="14" s="1"/>
  <c r="S18" i="13" a="1"/>
  <c r="S18" i="13" s="1"/>
  <c r="R62" i="17" a="1"/>
  <c r="R62" i="17" s="1"/>
  <c r="S78" i="13" a="1"/>
  <c r="S78" i="13" s="1"/>
  <c r="R70" i="14" a="1"/>
  <c r="R70" i="14" s="1"/>
  <c r="S70" i="17" a="1"/>
  <c r="S70" i="17" s="1"/>
  <c r="S36" i="14" a="1"/>
  <c r="S36" i="14" s="1"/>
  <c r="S22" i="14" a="1"/>
  <c r="S22" i="14" s="1"/>
  <c r="S32" i="17" a="1"/>
  <c r="S32" i="17" s="1"/>
  <c r="S54" i="14" a="1"/>
  <c r="S54" i="14" s="1"/>
  <c r="S60" i="13" a="1"/>
  <c r="S60" i="13" s="1"/>
  <c r="R22" i="13" a="1"/>
  <c r="R22" i="13" s="1"/>
  <c r="Q78" i="13" a="1"/>
  <c r="Q78" i="13" s="1"/>
  <c r="R64" i="13" a="1"/>
  <c r="R64" i="13" s="1"/>
  <c r="S26" i="17" a="1"/>
  <c r="S26" i="17" s="1"/>
  <c r="R86" i="14" a="1"/>
  <c r="R86" i="14" s="1"/>
  <c r="T16" i="14" a="1"/>
  <c r="T16" i="14" s="1"/>
  <c r="R10" i="17" a="1"/>
  <c r="R10" i="17" s="1"/>
  <c r="Q50" i="17" a="1"/>
  <c r="Q50" i="17" s="1"/>
  <c r="R20" i="13" a="1"/>
  <c r="R20" i="13" s="1"/>
  <c r="R56" i="17" a="1"/>
  <c r="R56" i="17" s="1"/>
  <c r="R20" i="17" a="1"/>
  <c r="R20" i="17" s="1"/>
  <c r="R36" i="13" a="1"/>
  <c r="R36" i="13" s="1"/>
  <c r="R50" i="14" a="1"/>
  <c r="R50" i="14" s="1"/>
  <c r="R44" i="13" a="1"/>
  <c r="R44" i="13" s="1"/>
  <c r="T22" i="14" a="1"/>
  <c r="T22" i="14" s="1"/>
  <c r="R66" i="17" a="1"/>
  <c r="R66" i="17" s="1"/>
  <c r="T62" i="14" a="1"/>
  <c r="T62" i="14" s="1"/>
  <c r="R18" i="13" a="1"/>
  <c r="R18" i="13" s="1"/>
  <c r="R30" i="13" a="1"/>
  <c r="R30" i="13" s="1"/>
  <c r="S74" i="17" a="1"/>
  <c r="S74" i="17" s="1"/>
  <c r="R68" i="13" a="1"/>
  <c r="R68" i="13" s="1"/>
  <c r="S74" i="14" a="1"/>
  <c r="S74" i="14" s="1"/>
  <c r="R66" i="14" a="1"/>
  <c r="R66" i="14" s="1"/>
  <c r="T70" i="14" a="1"/>
  <c r="T70" i="14" s="1"/>
  <c r="S34" i="14" a="1"/>
  <c r="S34" i="14" s="1"/>
  <c r="R54" i="13" a="1"/>
  <c r="R54" i="13" s="1"/>
  <c r="T6" i="14" a="1"/>
  <c r="T6" i="14" s="1"/>
  <c r="R80" i="14" a="1"/>
  <c r="R80" i="14" s="1"/>
  <c r="R24" i="17" a="1"/>
  <c r="R24" i="17" s="1"/>
  <c r="T42" i="14" a="1"/>
  <c r="T42" i="14" s="1"/>
  <c r="R46" i="13" a="1"/>
  <c r="R46" i="13" s="1"/>
  <c r="T44" i="14" a="1"/>
  <c r="T44" i="14" s="1"/>
  <c r="T10" i="14" a="1"/>
  <c r="T10" i="14" s="1"/>
  <c r="S80" i="14" a="1"/>
  <c r="S80" i="14" s="1"/>
  <c r="Q84" i="13" a="1"/>
  <c r="Q84" i="13" s="1"/>
  <c r="S58" i="13" a="1"/>
  <c r="S58" i="13" s="1"/>
  <c r="T68" i="14" a="1"/>
  <c r="T68" i="14" s="1"/>
  <c r="S72" i="17" a="1"/>
  <c r="S72" i="17" s="1"/>
  <c r="T64" i="14" a="1"/>
  <c r="T64" i="14" s="1"/>
  <c r="S68" i="17" a="1"/>
  <c r="S68" i="17" s="1"/>
  <c r="R78" i="17" a="1"/>
  <c r="R78" i="17" s="1"/>
  <c r="R60" i="13" a="1"/>
  <c r="R60" i="13" s="1"/>
  <c r="S46" i="14" a="1"/>
  <c r="S46" i="14" s="1"/>
  <c r="R22" i="17" a="1"/>
  <c r="R22" i="17" s="1"/>
  <c r="S16" i="14" a="1"/>
  <c r="S16" i="14" s="1"/>
  <c r="S76" i="17" a="1"/>
  <c r="S76" i="17" s="1"/>
  <c r="S22" i="17" a="1"/>
  <c r="S22" i="17" s="1"/>
  <c r="T40" i="14" a="1"/>
  <c r="T40" i="14" s="1"/>
  <c r="R12" i="17" a="1"/>
  <c r="R12" i="17" s="1"/>
  <c r="S6" i="14" a="1"/>
  <c r="S6" i="14" s="1"/>
  <c r="S12" i="17" a="1"/>
  <c r="S12" i="17" s="1"/>
  <c r="T50" i="14" a="1"/>
  <c r="T50" i="14" s="1"/>
  <c r="S54" i="17" a="1"/>
  <c r="S54" i="17" s="1"/>
  <c r="S70" i="13" a="1"/>
  <c r="S70" i="13" s="1"/>
  <c r="S34" i="13" a="1"/>
  <c r="S34" i="13" s="1"/>
  <c r="R86" i="13" a="1"/>
  <c r="R86" i="13" s="1"/>
  <c r="S24" i="14" a="1"/>
  <c r="S24" i="14" s="1"/>
  <c r="T8" i="14" a="1"/>
  <c r="T8" i="14" s="1"/>
  <c r="R26" i="17" a="1"/>
  <c r="R26" i="17" s="1"/>
  <c r="S10" i="14" a="1"/>
  <c r="S10" i="14" s="1"/>
  <c r="S8" i="17" a="1"/>
  <c r="S8" i="17" s="1"/>
  <c r="R82" i="13" a="1"/>
  <c r="R82" i="13" s="1"/>
  <c r="T38" i="14" a="1"/>
  <c r="T38" i="14" s="1"/>
  <c r="S28" i="13" a="1"/>
  <c r="S28" i="13" s="1"/>
  <c r="S38" i="14" a="1"/>
  <c r="S38" i="14" s="1"/>
  <c r="S46" i="17" a="1"/>
  <c r="S46" i="17" s="1"/>
  <c r="R82" i="14" a="1"/>
  <c r="R82" i="14" s="1"/>
  <c r="R50" i="17" a="1"/>
  <c r="R50" i="17" s="1"/>
  <c r="Q76" i="17" a="1"/>
  <c r="Q76" i="17" s="1"/>
  <c r="Q58" i="13" a="1"/>
  <c r="Q58" i="13" s="1"/>
  <c r="S42" i="17" a="1"/>
  <c r="S42" i="17" s="1"/>
  <c r="S10" i="17" a="1"/>
  <c r="S10" i="17" s="1"/>
  <c r="S8" i="14" a="1"/>
  <c r="S8" i="14" s="1"/>
  <c r="S22" i="13" a="1"/>
  <c r="S22" i="13" s="1"/>
  <c r="R58" i="14" a="1"/>
  <c r="R58" i="14" s="1"/>
  <c r="S54" i="13" a="1"/>
  <c r="S54" i="13" s="1"/>
  <c r="T82" i="14" a="1"/>
  <c r="T82" i="14" s="1"/>
  <c r="S46" i="13" a="1"/>
  <c r="S46" i="13" s="1"/>
  <c r="R48" i="13" a="1"/>
  <c r="R48" i="13" s="1"/>
  <c r="R22" i="14" a="1"/>
  <c r="R22" i="14" s="1"/>
  <c r="T78" i="14" a="1"/>
  <c r="T78" i="14" s="1"/>
  <c r="S58" i="17" a="1"/>
  <c r="S58" i="17" s="1"/>
  <c r="S86" i="13" a="1"/>
  <c r="S86" i="13" s="1"/>
  <c r="S86" i="14" a="1"/>
  <c r="S86" i="14" s="1"/>
  <c r="S52" i="17" a="1"/>
  <c r="S52" i="17" s="1"/>
  <c r="S16" i="13" a="1"/>
  <c r="S16" i="13" s="1"/>
  <c r="S82" i="13" a="1"/>
  <c r="S82" i="13" s="1"/>
  <c r="S14" i="13" a="1"/>
  <c r="S14" i="13" s="1"/>
  <c r="R48" i="14" a="1"/>
  <c r="R48" i="14" s="1"/>
  <c r="T32" i="14" a="1"/>
  <c r="T32" i="14" s="1"/>
  <c r="R14" i="13" a="1"/>
  <c r="R14" i="13" s="1"/>
  <c r="S28" i="17" a="1"/>
  <c r="S28" i="17" s="1"/>
  <c r="S6" i="13" a="1"/>
  <c r="S6" i="13" s="1"/>
  <c r="Q62" i="13" a="1"/>
  <c r="Q62" i="13" s="1"/>
  <c r="S36" i="13" a="1"/>
  <c r="S36" i="13" s="1"/>
  <c r="R8" i="13" a="1"/>
  <c r="R8" i="13" s="1"/>
  <c r="Q46" i="17" a="1"/>
  <c r="Q46" i="17" s="1"/>
  <c r="R24" i="13" a="1"/>
  <c r="R24" i="13" s="1"/>
  <c r="R42" i="13" a="1"/>
  <c r="R42" i="13" s="1"/>
  <c r="R58" i="17" a="1"/>
  <c r="R58" i="17" s="1"/>
  <c r="T76" i="14" a="1"/>
  <c r="T76" i="14" s="1"/>
  <c r="S76" i="14" a="1"/>
  <c r="S76" i="14" s="1"/>
  <c r="S52" i="14" a="1"/>
  <c r="S52" i="14" s="1"/>
  <c r="S80" i="17" a="1"/>
  <c r="S80" i="17" s="1"/>
  <c r="S66" i="13" a="1"/>
  <c r="S66" i="13" s="1"/>
  <c r="S72" i="14" a="1"/>
  <c r="S72" i="14" s="1"/>
  <c r="R68" i="17" a="1"/>
  <c r="R68" i="17" s="1"/>
  <c r="S48" i="13" a="1"/>
  <c r="S48" i="13" s="1"/>
  <c r="S18" i="14" a="1"/>
  <c r="S18" i="14" s="1"/>
  <c r="T48" i="14" a="1"/>
  <c r="T48" i="14" s="1"/>
  <c r="S48" i="17" a="1"/>
  <c r="S48" i="17" s="1"/>
  <c r="T46" i="14" a="1"/>
  <c r="T46" i="14" s="1"/>
  <c r="R12" i="13" a="1"/>
  <c r="R12" i="13" s="1"/>
  <c r="S40" i="17" a="1"/>
  <c r="S40" i="17" s="1"/>
  <c r="R64" i="17" a="1"/>
  <c r="R64" i="17" s="1"/>
  <c r="S30" i="17" a="1"/>
  <c r="S30" i="17" s="1"/>
  <c r="R78" i="13" a="1"/>
  <c r="R78" i="13" s="1"/>
  <c r="R46" i="17" a="1"/>
  <c r="R46" i="17" s="1"/>
  <c r="S20" i="17" a="1"/>
  <c r="S20" i="17" s="1"/>
  <c r="S44" i="13" a="1"/>
  <c r="S44" i="13" s="1"/>
  <c r="T56" i="14" a="1"/>
  <c r="T56" i="14" s="1"/>
  <c r="R58" i="13" a="1"/>
  <c r="R58" i="13" s="1"/>
  <c r="T66" i="14" a="1"/>
  <c r="T66" i="14" s="1"/>
  <c r="S42" i="13" a="1"/>
  <c r="S42" i="13" s="1"/>
  <c r="R84" i="13" a="1"/>
  <c r="R84" i="13" s="1"/>
  <c r="R62" i="13" a="1"/>
  <c r="R62" i="13" s="1"/>
  <c r="R52" i="17" a="1"/>
  <c r="R52" i="17" s="1"/>
  <c r="S66" i="14" a="1"/>
  <c r="S66" i="14" s="1"/>
  <c r="R16" i="13" a="1"/>
  <c r="R16" i="13" s="1"/>
  <c r="T58" i="14" a="1"/>
  <c r="T58" i="14" s="1"/>
  <c r="S32" i="13" a="1"/>
  <c r="S32" i="13" s="1"/>
  <c r="R48" i="17" a="1"/>
  <c r="R48" i="17" s="1"/>
  <c r="R34" i="13" a="1"/>
  <c r="R34" i="13" s="1"/>
  <c r="S24" i="13" a="1"/>
  <c r="S24" i="13" s="1"/>
  <c r="R16" i="17" a="1"/>
  <c r="R16" i="17" s="1"/>
  <c r="T28" i="14" a="1"/>
  <c r="T28" i="14" s="1"/>
  <c r="S50" i="14" a="1"/>
  <c r="S50" i="14" s="1"/>
  <c r="S44" i="14" a="1"/>
  <c r="S44" i="14" s="1"/>
  <c r="R60" i="17" a="1"/>
  <c r="R60" i="17" s="1"/>
  <c r="U86" i="14" a="1"/>
  <c r="U86" i="14" s="1"/>
  <c r="S84" i="13" a="1"/>
  <c r="S84" i="13" s="1"/>
  <c r="R8" i="17" a="1"/>
  <c r="R8" i="17" s="1"/>
  <c r="R72" i="13" a="1"/>
  <c r="R72" i="13" s="1"/>
  <c r="S32" i="14" a="1"/>
  <c r="S32" i="14" s="1"/>
  <c r="S20" i="14" a="1"/>
  <c r="S20" i="14" s="1"/>
  <c r="S60" i="14" a="1"/>
  <c r="S60" i="14" s="1"/>
  <c r="S26" i="13" a="1"/>
  <c r="S26" i="13" s="1"/>
  <c r="T12" i="14" a="1"/>
  <c r="T12" i="14" s="1"/>
  <c r="S56" i="14" a="1"/>
  <c r="S56" i="14" s="1"/>
  <c r="R86" i="17" a="1"/>
  <c r="R86" i="17" s="1"/>
  <c r="S10" i="13" a="1"/>
  <c r="S10" i="13" s="1"/>
  <c r="S70" i="14" a="1"/>
  <c r="S70" i="14" s="1"/>
  <c r="S8" i="13" a="1"/>
  <c r="S8" i="13" s="1"/>
  <c r="S78" i="14" a="1"/>
  <c r="S78" i="14" s="1"/>
  <c r="R54" i="17" a="1"/>
  <c r="R54" i="17" s="1"/>
  <c r="S30" i="14" a="1"/>
  <c r="S30" i="14" s="1"/>
  <c r="S40" i="13" a="1"/>
  <c r="S40" i="13" s="1"/>
  <c r="S30" i="13" a="1"/>
  <c r="S30" i="13" s="1"/>
  <c r="S16" i="17" a="1"/>
  <c r="S16" i="17" s="1"/>
  <c r="S24" i="17" a="1"/>
  <c r="S24" i="17" s="1"/>
  <c r="S84" i="14" a="1"/>
  <c r="S84" i="14" s="1"/>
  <c r="R80" i="13" a="1"/>
  <c r="R80" i="13" s="1"/>
  <c r="R38" i="13" a="1"/>
  <c r="R38" i="13" s="1"/>
  <c r="T18" i="14" a="1"/>
  <c r="T18" i="14" s="1"/>
  <c r="R40" i="17" a="1"/>
  <c r="R40" i="17" s="1"/>
  <c r="Q10" i="17" a="1"/>
  <c r="Q10" i="17" s="1"/>
  <c r="S14" i="17" a="1"/>
  <c r="S14" i="17" s="1"/>
  <c r="R66" i="13" a="1"/>
  <c r="R66" i="13" s="1"/>
  <c r="R44" i="17" a="1"/>
  <c r="R44" i="17" s="1"/>
  <c r="S20" i="13" a="1"/>
  <c r="S20" i="13" s="1"/>
  <c r="S62" i="17" a="1"/>
  <c r="S62" i="17" s="1"/>
  <c r="S82" i="14" a="1"/>
  <c r="S82" i="14" s="1"/>
  <c r="S56" i="17" a="1"/>
  <c r="S56" i="17" s="1"/>
  <c r="T30" i="14" a="1"/>
  <c r="T30" i="14" s="1"/>
  <c r="S48" i="14" a="1"/>
  <c r="S48" i="14" s="1"/>
  <c r="S60" i="17" a="1"/>
  <c r="S60" i="17" s="1"/>
  <c r="R82" i="17" a="1"/>
  <c r="R82" i="17" s="1"/>
  <c r="R26" i="13" a="1"/>
  <c r="R26" i="13" s="1"/>
  <c r="R42" i="17" a="1"/>
  <c r="R42" i="17" s="1"/>
  <c r="T60" i="14" a="1"/>
  <c r="T60" i="14" s="1"/>
  <c r="S78" i="17" a="1"/>
  <c r="S78" i="17" s="1"/>
  <c r="T26" i="14" a="1"/>
  <c r="T26" i="14" s="1"/>
  <c r="Q24" i="17" a="1"/>
  <c r="Q24" i="17" s="1"/>
  <c r="R52" i="13" a="1"/>
  <c r="R52" i="13" s="1"/>
  <c r="S14" i="14" a="1"/>
  <c r="S14" i="14" s="1"/>
  <c r="S34" i="17" a="1"/>
  <c r="S34" i="17" s="1"/>
  <c r="S64" i="17" a="1"/>
  <c r="S64" i="17" s="1"/>
  <c r="S42" i="14" a="1"/>
  <c r="S42" i="14" s="1"/>
  <c r="S82" i="17" a="1"/>
  <c r="S82" i="17" s="1"/>
  <c r="R84" i="17" a="1"/>
  <c r="R84" i="17" s="1"/>
  <c r="R38" i="17" a="1"/>
  <c r="R38" i="17" s="1"/>
  <c r="R30" i="17" a="1"/>
  <c r="R30" i="17" s="1"/>
  <c r="S62" i="14" a="1"/>
  <c r="S62" i="14" s="1"/>
  <c r="T18" i="13" a="1"/>
  <c r="T18" i="13" s="1"/>
  <c r="R28" i="13" a="1"/>
  <c r="R28" i="13" s="1"/>
  <c r="Q70" i="17" a="1"/>
  <c r="Q70" i="17" s="1"/>
  <c r="R50" i="13" a="1"/>
  <c r="R50" i="13" s="1"/>
  <c r="S74" i="13" a="1"/>
  <c r="S74" i="13" s="1"/>
  <c r="R36" i="17" a="1"/>
  <c r="R36" i="17" s="1"/>
  <c r="S66" i="17" a="1"/>
  <c r="S66" i="17" s="1"/>
  <c r="S26" i="14" a="1"/>
  <c r="S26" i="14" s="1"/>
  <c r="S76" i="13" a="1"/>
  <c r="S76" i="13" s="1"/>
  <c r="R40" i="13" a="1"/>
  <c r="R40" i="13" s="1"/>
  <c r="S84" i="17" a="1"/>
  <c r="S84" i="17" s="1"/>
  <c r="U74" i="14" a="1"/>
  <c r="U74" i="14" s="1"/>
  <c r="U22" i="17" a="1"/>
  <c r="U22" i="17" s="1"/>
  <c r="V66" i="14" a="1"/>
  <c r="V66" i="14" s="1"/>
  <c r="T76" i="17" a="1"/>
  <c r="T76" i="17" s="1"/>
  <c r="U68" i="14" a="1"/>
  <c r="U68" i="14" s="1"/>
  <c r="T40" i="17" a="1"/>
  <c r="T40" i="17" s="1"/>
  <c r="T54" i="13" a="1"/>
  <c r="T54" i="13" s="1"/>
  <c r="R70" i="13" a="1"/>
  <c r="R70" i="13" s="1"/>
  <c r="T38" i="17" a="1"/>
  <c r="T38" i="17" s="1"/>
  <c r="U10" i="14" a="1"/>
  <c r="U10" i="14" s="1"/>
  <c r="U38" i="13" a="1"/>
  <c r="U38" i="13" s="1"/>
  <c r="T20" i="17" a="1"/>
  <c r="T20" i="17" s="1"/>
  <c r="T72" i="17" a="1"/>
  <c r="T72" i="17" s="1"/>
  <c r="U78" i="14" a="1"/>
  <c r="U78" i="14" s="1"/>
  <c r="S58" i="14" a="1"/>
  <c r="S58" i="14" s="1"/>
  <c r="U46" i="13" a="1"/>
  <c r="U46" i="13" s="1"/>
  <c r="T46" i="17" a="1"/>
  <c r="T46" i="17" s="1"/>
  <c r="T6" i="13" a="1"/>
  <c r="T6" i="13" s="1"/>
  <c r="V58" i="14" a="1"/>
  <c r="V58" i="14" s="1"/>
  <c r="T14" i="13" a="1"/>
  <c r="T14" i="13" s="1"/>
  <c r="T56" i="17" a="1"/>
  <c r="T56" i="17" s="1"/>
  <c r="U8" i="13" a="1"/>
  <c r="U8" i="13" s="1"/>
  <c r="U76" i="14" a="1"/>
  <c r="U76" i="14" s="1"/>
  <c r="V30" i="14" a="1"/>
  <c r="V30" i="14" s="1"/>
  <c r="T54" i="17" a="1"/>
  <c r="T54" i="17" s="1"/>
  <c r="U14" i="13" a="1"/>
  <c r="U14" i="13" s="1"/>
  <c r="V18" i="14" a="1"/>
  <c r="V18" i="14" s="1"/>
  <c r="U24" i="13" a="1"/>
  <c r="U24" i="13" s="1"/>
  <c r="U20" i="13" a="1"/>
  <c r="U20" i="13" s="1"/>
  <c r="T10" i="13" a="1"/>
  <c r="T10" i="13" s="1"/>
  <c r="T50" i="17" a="1"/>
  <c r="T50" i="17" s="1"/>
  <c r="V34" i="14" a="1"/>
  <c r="V34" i="14" s="1"/>
  <c r="U80" i="17" a="1"/>
  <c r="U80" i="17" s="1"/>
  <c r="U66" i="13" a="1"/>
  <c r="U66" i="13" s="1"/>
  <c r="V60" i="14" a="1"/>
  <c r="V60" i="14" s="1"/>
  <c r="V28" i="14" a="1"/>
  <c r="V28" i="14" s="1"/>
  <c r="U6" i="14" a="1"/>
  <c r="U6" i="14" s="1"/>
  <c r="R72" i="17" a="1"/>
  <c r="R72" i="17" s="1"/>
  <c r="S36" i="17" a="1"/>
  <c r="S36" i="17" s="1"/>
  <c r="T8" i="13" a="1"/>
  <c r="T8" i="13" s="1"/>
  <c r="R18" i="17" a="1"/>
  <c r="R18" i="17" s="1"/>
  <c r="U52" i="14" a="1"/>
  <c r="U52" i="14" s="1"/>
  <c r="U82" i="13" a="1"/>
  <c r="U82" i="13" s="1"/>
  <c r="V32" i="14" a="1"/>
  <c r="V32" i="14" s="1"/>
  <c r="U82" i="14" a="1"/>
  <c r="U82" i="14" s="1"/>
  <c r="V64" i="14" a="1"/>
  <c r="V64" i="14" s="1"/>
  <c r="T50" i="13" a="1"/>
  <c r="T50" i="13" s="1"/>
  <c r="T82" i="13" a="1"/>
  <c r="T82" i="13" s="1"/>
  <c r="U30" i="13" a="1"/>
  <c r="U30" i="13" s="1"/>
  <c r="V62" i="14" a="1"/>
  <c r="V62" i="14" s="1"/>
  <c r="V6" i="14" a="1"/>
  <c r="V6" i="14" s="1"/>
  <c r="T66" i="17" a="1"/>
  <c r="T66" i="17" s="1"/>
  <c r="R70" i="17" a="1"/>
  <c r="R70" i="17" s="1"/>
  <c r="U14" i="17" a="1"/>
  <c r="U14" i="17" s="1"/>
  <c r="V24" i="14" a="1"/>
  <c r="V24" i="14" s="1"/>
  <c r="V12" i="14" a="1"/>
  <c r="V12" i="14" s="1"/>
  <c r="T40" i="13" a="1"/>
  <c r="T40" i="13" s="1"/>
  <c r="V42" i="14" a="1"/>
  <c r="V42" i="14" s="1"/>
  <c r="U48" i="13" a="1"/>
  <c r="U48" i="13" s="1"/>
  <c r="V70" i="14" a="1"/>
  <c r="V70" i="14" s="1"/>
  <c r="R14" i="17" a="1"/>
  <c r="R14" i="17" s="1"/>
  <c r="T22" i="13" a="1"/>
  <c r="T22" i="13" s="1"/>
  <c r="V48" i="17" a="1"/>
  <c r="V48" i="17" s="1"/>
  <c r="U76" i="17" a="1"/>
  <c r="U76" i="17" s="1"/>
  <c r="U40" i="17" a="1"/>
  <c r="U40" i="17" s="1"/>
  <c r="V46" i="14" a="1"/>
  <c r="V46" i="14" s="1"/>
  <c r="V14" i="14" a="1"/>
  <c r="V14" i="14" s="1"/>
  <c r="U78" i="13" a="1"/>
  <c r="U78" i="13" s="1"/>
  <c r="U68" i="13" a="1"/>
  <c r="U68" i="13" s="1"/>
  <c r="T58" i="17" a="1"/>
  <c r="T58" i="17" s="1"/>
  <c r="U22" i="14" a="1"/>
  <c r="U22" i="14" s="1"/>
  <c r="T78" i="17" a="1"/>
  <c r="T78" i="17" s="1"/>
  <c r="T24" i="13" a="1"/>
  <c r="T24" i="13" s="1"/>
  <c r="U18" i="17" a="1"/>
  <c r="U18" i="17" s="1"/>
  <c r="T30" i="13" a="1"/>
  <c r="T30" i="13" s="1"/>
  <c r="R80" i="17" a="1"/>
  <c r="R80" i="17" s="1"/>
  <c r="V38" i="14" a="1"/>
  <c r="V38" i="14" s="1"/>
  <c r="V68" i="14" a="1"/>
  <c r="V68" i="14" s="1"/>
  <c r="T6" i="17" a="1"/>
  <c r="T6" i="17" s="1"/>
  <c r="T44" i="13" a="1"/>
  <c r="T44" i="13" s="1"/>
  <c r="U6" i="13" a="1"/>
  <c r="U6" i="13" s="1"/>
  <c r="T32" i="17" a="1"/>
  <c r="T32" i="17" s="1"/>
  <c r="T82" i="17" a="1"/>
  <c r="T82" i="17" s="1"/>
  <c r="U16" i="17" a="1"/>
  <c r="U16" i="17" s="1"/>
  <c r="U80" i="14" a="1"/>
  <c r="U80" i="14" s="1"/>
  <c r="V8" i="14" a="1"/>
  <c r="V8" i="14" s="1"/>
  <c r="U36" i="14" a="1"/>
  <c r="U36" i="14" s="1"/>
  <c r="T80" i="13" a="1"/>
  <c r="T80" i="13" s="1"/>
  <c r="T48" i="17" a="1"/>
  <c r="T48" i="17" s="1"/>
  <c r="T72" i="14" a="1"/>
  <c r="T72" i="14" s="1"/>
  <c r="U18" i="14" a="1"/>
  <c r="U18" i="14" s="1"/>
  <c r="U48" i="17" a="1"/>
  <c r="U48" i="17" s="1"/>
  <c r="U84" i="17" a="1"/>
  <c r="U84" i="17" s="1"/>
  <c r="U44" i="14" a="1"/>
  <c r="U44" i="14" s="1"/>
  <c r="W56" i="14" a="1"/>
  <c r="W56" i="14" s="1"/>
  <c r="U42" i="17" a="1"/>
  <c r="U42" i="17" s="1"/>
  <c r="T14" i="17" a="1"/>
  <c r="T14" i="17" s="1"/>
  <c r="U28" i="17" a="1"/>
  <c r="U28" i="17" s="1"/>
  <c r="U82" i="17" a="1"/>
  <c r="U82" i="17" s="1"/>
  <c r="T84" i="13" a="1"/>
  <c r="T84" i="13" s="1"/>
  <c r="T78" i="13" a="1"/>
  <c r="T78" i="13" s="1"/>
  <c r="U68" i="17" a="1"/>
  <c r="U68" i="17" s="1"/>
  <c r="U24" i="14" a="1"/>
  <c r="U24" i="14" s="1"/>
  <c r="V36" i="14" a="1"/>
  <c r="V36" i="14" s="1"/>
  <c r="V22" i="14" a="1"/>
  <c r="V22" i="14" s="1"/>
  <c r="R28" i="17" a="1"/>
  <c r="R28" i="17" s="1"/>
  <c r="T74" i="13" a="1"/>
  <c r="T74" i="13" s="1"/>
  <c r="U56" i="14" a="1"/>
  <c r="U56" i="14" s="1"/>
  <c r="U72" i="14" a="1"/>
  <c r="U72" i="14" s="1"/>
  <c r="U20" i="14" a="1"/>
  <c r="U20" i="14" s="1"/>
  <c r="U46" i="14" a="1"/>
  <c r="U46" i="14" s="1"/>
  <c r="T64" i="13" a="1"/>
  <c r="T64" i="13" s="1"/>
  <c r="V74" i="14" a="1"/>
  <c r="V74" i="14" s="1"/>
  <c r="U60" i="13" a="1"/>
  <c r="U60" i="13" s="1"/>
  <c r="U34" i="14" a="1"/>
  <c r="U34" i="14" s="1"/>
  <c r="U66" i="14" a="1"/>
  <c r="U66" i="14" s="1"/>
  <c r="U74" i="17" a="1"/>
  <c r="U74" i="17" s="1"/>
  <c r="V62" i="17" a="1"/>
  <c r="V62" i="17" s="1"/>
  <c r="T20" i="13" a="1"/>
  <c r="T20" i="13" s="1"/>
  <c r="U44" i="17" a="1"/>
  <c r="U44" i="17" s="1"/>
  <c r="U54" i="17" a="1"/>
  <c r="U54" i="17" s="1"/>
  <c r="U12" i="13" a="1"/>
  <c r="U12" i="13" s="1"/>
  <c r="T38" i="13" a="1"/>
  <c r="T38" i="13" s="1"/>
  <c r="U8" i="14" a="1"/>
  <c r="U8" i="14" s="1"/>
  <c r="U52" i="13" a="1"/>
  <c r="U52" i="13" s="1"/>
  <c r="U36" i="13" a="1"/>
  <c r="U36" i="13" s="1"/>
  <c r="U64" i="14" a="1"/>
  <c r="U64" i="14" s="1"/>
  <c r="U14" i="14" a="1"/>
  <c r="U14" i="14" s="1"/>
  <c r="T66" i="13" a="1"/>
  <c r="T66" i="13" s="1"/>
  <c r="S44" i="17" a="1"/>
  <c r="S44" i="17" s="1"/>
  <c r="U60" i="14" a="1"/>
  <c r="U60" i="14" s="1"/>
  <c r="T12" i="13" a="1"/>
  <c r="T12" i="13" s="1"/>
  <c r="V80" i="14" a="1"/>
  <c r="V80" i="14" s="1"/>
  <c r="U24" i="17" a="1"/>
  <c r="U24" i="17" s="1"/>
  <c r="T62" i="17" a="1"/>
  <c r="T62" i="17" s="1"/>
  <c r="U54" i="14" a="1"/>
  <c r="U54" i="14" s="1"/>
  <c r="U34" i="17" a="1"/>
  <c r="U34" i="17" s="1"/>
  <c r="R34" i="17" a="1"/>
  <c r="R34" i="17" s="1"/>
  <c r="T42" i="13" a="1"/>
  <c r="T42" i="13" s="1"/>
  <c r="U40" i="13" a="1"/>
  <c r="U40" i="13" s="1"/>
  <c r="U6" i="17" a="1"/>
  <c r="U6" i="17" s="1"/>
  <c r="U64" i="13" a="1"/>
  <c r="U64" i="13" s="1"/>
  <c r="V16" i="14" a="1"/>
  <c r="V16" i="14" s="1"/>
  <c r="V30" i="17" a="1"/>
  <c r="V30" i="17" s="1"/>
  <c r="U62" i="14" a="1"/>
  <c r="U62" i="14" s="1"/>
  <c r="T24" i="17" a="1"/>
  <c r="T24" i="17" s="1"/>
  <c r="V74" i="17" a="1"/>
  <c r="V74" i="17" s="1"/>
  <c r="U70" i="14" a="1"/>
  <c r="U70" i="14" s="1"/>
  <c r="U56" i="13" a="1"/>
  <c r="U56" i="13" s="1"/>
  <c r="U52" i="17" a="1"/>
  <c r="U52" i="17" s="1"/>
  <c r="V86" i="17" a="1"/>
  <c r="V86" i="17" s="1"/>
  <c r="T74" i="17" a="1"/>
  <c r="T74" i="17" s="1"/>
  <c r="T80" i="17" a="1"/>
  <c r="T80" i="17" s="1"/>
  <c r="V14" i="17" a="1"/>
  <c r="V14" i="17" s="1"/>
  <c r="U48" i="14" a="1"/>
  <c r="U48" i="14" s="1"/>
  <c r="U32" i="13" a="1"/>
  <c r="U32" i="13" s="1"/>
  <c r="U46" i="17" a="1"/>
  <c r="U46" i="17" s="1"/>
  <c r="U34" i="13" a="1"/>
  <c r="U34" i="13" s="1"/>
  <c r="T68" i="13" a="1"/>
  <c r="T68" i="13" s="1"/>
  <c r="U32" i="14" a="1"/>
  <c r="U32" i="14" s="1"/>
  <c r="U38" i="17" a="1"/>
  <c r="U38" i="17" s="1"/>
  <c r="U70" i="17" a="1"/>
  <c r="U70" i="17" s="1"/>
  <c r="V22" i="17" a="1"/>
  <c r="V22" i="17" s="1"/>
  <c r="V18" i="17" a="1"/>
  <c r="V18" i="17" s="1"/>
  <c r="T56" i="13" a="1"/>
  <c r="T56" i="13" s="1"/>
  <c r="T68" i="17" a="1"/>
  <c r="T68" i="17" s="1"/>
  <c r="S38" i="13" a="1"/>
  <c r="S38" i="13" s="1"/>
  <c r="T26" i="13" a="1"/>
  <c r="T26" i="13" s="1"/>
  <c r="U30" i="17" a="1"/>
  <c r="U30" i="17" s="1"/>
  <c r="T30" i="17" a="1"/>
  <c r="T30" i="17" s="1"/>
  <c r="T22" i="17" a="1"/>
  <c r="T22" i="17" s="1"/>
  <c r="V48" i="14" a="1"/>
  <c r="V48" i="14" s="1"/>
  <c r="V54" i="14" a="1"/>
  <c r="V54" i="14" s="1"/>
  <c r="T64" i="17" a="1"/>
  <c r="T64" i="17" s="1"/>
  <c r="V38" i="17" a="1"/>
  <c r="V38" i="17" s="1"/>
  <c r="T86" i="17" a="1"/>
  <c r="T86" i="17" s="1"/>
  <c r="U86" i="17" a="1"/>
  <c r="U86" i="17" s="1"/>
  <c r="U42" i="13" a="1"/>
  <c r="U42" i="13" s="1"/>
  <c r="U18" i="13" a="1"/>
  <c r="U18" i="13" s="1"/>
  <c r="U30" i="14" a="1"/>
  <c r="U30" i="14" s="1"/>
  <c r="V10" i="17" a="1"/>
  <c r="V10" i="17" s="1"/>
  <c r="V82" i="14" a="1"/>
  <c r="V82" i="14" s="1"/>
  <c r="U62" i="13" a="1"/>
  <c r="U62" i="13" s="1"/>
  <c r="U54" i="13" a="1"/>
  <c r="U54" i="13" s="1"/>
  <c r="U36" i="17" a="1"/>
  <c r="U36" i="17" s="1"/>
  <c r="V44" i="14" a="1"/>
  <c r="V44" i="14" s="1"/>
  <c r="U50" i="14" a="1"/>
  <c r="U50" i="14" s="1"/>
  <c r="V42" i="17" a="1"/>
  <c r="V42" i="17" s="1"/>
  <c r="V80" i="17" a="1"/>
  <c r="V80" i="17" s="1"/>
  <c r="V86" i="14" a="1"/>
  <c r="V86" i="14" s="1"/>
  <c r="U58" i="13" a="1"/>
  <c r="U58" i="13" s="1"/>
  <c r="V56" i="14" a="1"/>
  <c r="V56" i="14" s="1"/>
  <c r="T42" i="17" a="1"/>
  <c r="T42" i="17" s="1"/>
  <c r="T8" i="17" a="1"/>
  <c r="T8" i="17" s="1"/>
  <c r="U72" i="17" a="1"/>
  <c r="U72" i="17" s="1"/>
  <c r="T70" i="13" a="1"/>
  <c r="T70" i="13" s="1"/>
  <c r="T46" i="13" a="1"/>
  <c r="T46" i="13" s="1"/>
  <c r="U66" i="17" a="1"/>
  <c r="U66" i="17" s="1"/>
  <c r="T52" i="17" a="1"/>
  <c r="T52" i="17" s="1"/>
  <c r="V52" i="14" a="1"/>
  <c r="V52" i="14" s="1"/>
  <c r="T36" i="13" a="1"/>
  <c r="T36" i="13" s="1"/>
  <c r="U26" i="14" a="1"/>
  <c r="U26" i="14" s="1"/>
  <c r="V46" i="17" a="1"/>
  <c r="V46" i="17" s="1"/>
  <c r="T44" i="17" a="1"/>
  <c r="T44" i="17" s="1"/>
  <c r="U10" i="13" a="1"/>
  <c r="U10" i="13" s="1"/>
  <c r="T34" i="17" a="1"/>
  <c r="T34" i="17" s="1"/>
  <c r="U10" i="17" a="1"/>
  <c r="U10" i="17" s="1"/>
  <c r="T58" i="13" a="1"/>
  <c r="T58" i="13" s="1"/>
  <c r="V28" i="17" a="1"/>
  <c r="V28" i="17" s="1"/>
  <c r="U20" i="17" a="1"/>
  <c r="U20" i="17" s="1"/>
  <c r="T26" i="17" a="1"/>
  <c r="T26" i="17" s="1"/>
  <c r="T36" i="17" a="1"/>
  <c r="T36" i="17" s="1"/>
  <c r="U76" i="13" a="1"/>
  <c r="U76" i="13" s="1"/>
  <c r="U26" i="17" a="1"/>
  <c r="U26" i="17" s="1"/>
  <c r="T12" i="17" a="1"/>
  <c r="T12" i="17" s="1"/>
  <c r="V34" i="17" a="1"/>
  <c r="V34" i="17" s="1"/>
  <c r="U12" i="14" a="1"/>
  <c r="U12" i="14" s="1"/>
  <c r="T34" i="13" a="1"/>
  <c r="T34" i="13" s="1"/>
  <c r="U58" i="17" a="1"/>
  <c r="U58" i="17" s="1"/>
  <c r="U62" i="17" a="1"/>
  <c r="U62" i="17" s="1"/>
  <c r="V44" i="17" a="1"/>
  <c r="V44" i="17" s="1"/>
  <c r="T60" i="13" a="1"/>
  <c r="T60" i="13" s="1"/>
  <c r="V76" i="14" a="1"/>
  <c r="V76" i="14" s="1"/>
  <c r="T48" i="13" a="1"/>
  <c r="T48" i="13" s="1"/>
  <c r="T18" i="17" a="1"/>
  <c r="T18" i="17" s="1"/>
  <c r="T70" i="17" a="1"/>
  <c r="T70" i="17" s="1"/>
  <c r="T62" i="13" a="1"/>
  <c r="T62" i="13" s="1"/>
  <c r="V84" i="14" a="1"/>
  <c r="V84" i="14" s="1"/>
  <c r="T16" i="17" a="1"/>
  <c r="T16" i="17" s="1"/>
  <c r="U22" i="13" a="1"/>
  <c r="U22" i="13" s="1"/>
  <c r="U8" i="17" a="1"/>
  <c r="U8" i="17" s="1"/>
  <c r="U16" i="13" a="1"/>
  <c r="U16" i="13" s="1"/>
  <c r="V26" i="14" a="1"/>
  <c r="V26" i="14" s="1"/>
  <c r="U12" i="17" a="1"/>
  <c r="U12" i="17" s="1"/>
  <c r="X8" i="14" a="1"/>
  <c r="X8" i="14" s="1"/>
  <c r="U26" i="13" a="1"/>
  <c r="U26" i="13" s="1"/>
  <c r="V40" i="14" a="1"/>
  <c r="V40" i="14" s="1"/>
  <c r="U70" i="13" a="1"/>
  <c r="U70" i="13" s="1"/>
  <c r="T28" i="17" a="1"/>
  <c r="T28" i="17" s="1"/>
  <c r="V68" i="17" a="1"/>
  <c r="V68" i="17" s="1"/>
  <c r="U74" i="13" a="1"/>
  <c r="U74" i="13" s="1"/>
  <c r="V10" i="14" a="1"/>
  <c r="V10" i="14" s="1"/>
  <c r="T28" i="13" a="1"/>
  <c r="T28" i="13" s="1"/>
  <c r="U44" i="13" a="1"/>
  <c r="U44" i="13" s="1"/>
  <c r="U32" i="17" a="1"/>
  <c r="U32" i="17" s="1"/>
  <c r="T16" i="13" a="1"/>
  <c r="T16" i="13" s="1"/>
  <c r="V72" i="14" a="1"/>
  <c r="V72" i="14" s="1"/>
  <c r="U84" i="14" a="1"/>
  <c r="U84" i="14" s="1"/>
  <c r="V36" i="17" a="1"/>
  <c r="V36" i="17" s="1"/>
  <c r="V12" i="17" a="1"/>
  <c r="V12" i="17" s="1"/>
  <c r="U16" i="14" a="1"/>
  <c r="U16" i="14" s="1"/>
  <c r="U42" i="14" a="1"/>
  <c r="U42" i="14" s="1"/>
  <c r="U80" i="13" a="1"/>
  <c r="U80" i="13" s="1"/>
  <c r="V50" i="14" a="1"/>
  <c r="V50" i="14" s="1"/>
  <c r="U72" i="13" a="1"/>
  <c r="U72" i="13" s="1"/>
  <c r="V70" i="17" a="1"/>
  <c r="V70" i="17" s="1"/>
  <c r="U50" i="17" a="1"/>
  <c r="U50" i="17" s="1"/>
  <c r="V6" i="17" a="1"/>
  <c r="V6" i="17" s="1"/>
  <c r="V78" i="14" a="1"/>
  <c r="V78" i="14" s="1"/>
  <c r="U78" i="17" a="1"/>
  <c r="U78" i="17" s="1"/>
  <c r="T10" i="17" a="1"/>
  <c r="T10" i="17" s="1"/>
  <c r="V50" i="17" a="1"/>
  <c r="V50" i="17" s="1"/>
  <c r="T32" i="13" a="1"/>
  <c r="T32" i="13" s="1"/>
  <c r="V24" i="17" a="1"/>
  <c r="V24" i="17" s="1"/>
  <c r="V36" i="13" a="1"/>
  <c r="V36" i="13" s="1"/>
  <c r="V46" i="13" a="1"/>
  <c r="V46" i="13" s="1"/>
  <c r="W10" i="14" a="1"/>
  <c r="W10" i="14" s="1"/>
  <c r="W68" i="14" a="1"/>
  <c r="W68" i="14" s="1"/>
  <c r="V26" i="13" a="1"/>
  <c r="V26" i="13" s="1"/>
  <c r="W76" i="14" a="1"/>
  <c r="W76" i="14" s="1"/>
  <c r="U58" i="14" a="1"/>
  <c r="U58" i="14" s="1"/>
  <c r="W58" i="14" a="1"/>
  <c r="W58" i="14" s="1"/>
  <c r="U50" i="13" a="1"/>
  <c r="U50" i="13" s="1"/>
  <c r="T86" i="13" a="1"/>
  <c r="T86" i="13" s="1"/>
  <c r="V66" i="17" a="1"/>
  <c r="V66" i="17" s="1"/>
  <c r="V48" i="13" a="1"/>
  <c r="V48" i="13" s="1"/>
  <c r="V74" i="13" a="1"/>
  <c r="V74" i="13" s="1"/>
  <c r="W16" i="14" a="1"/>
  <c r="W16" i="14" s="1"/>
  <c r="W50" i="13" a="1"/>
  <c r="W50" i="13" s="1"/>
  <c r="V12" i="13" a="1"/>
  <c r="V12" i="13" s="1"/>
  <c r="W72" i="13" a="1"/>
  <c r="W72" i="13" s="1"/>
  <c r="W58" i="17" a="1"/>
  <c r="W58" i="17" s="1"/>
  <c r="X84" i="14" a="1"/>
  <c r="X84" i="14" s="1"/>
  <c r="W62" i="17" a="1"/>
  <c r="W62" i="17" s="1"/>
  <c r="W12" i="13" a="1"/>
  <c r="W12" i="13" s="1"/>
  <c r="V80" i="13" a="1"/>
  <c r="V80" i="13" s="1"/>
  <c r="W80" i="13" a="1"/>
  <c r="W80" i="13" s="1"/>
  <c r="W26" i="17" a="1"/>
  <c r="W26" i="17" s="1"/>
  <c r="V8" i="17" a="1"/>
  <c r="V8" i="17" s="1"/>
  <c r="W16" i="17" a="1"/>
  <c r="W16" i="17" s="1"/>
  <c r="W70" i="14" a="1"/>
  <c r="W70" i="14" s="1"/>
  <c r="X80" i="14" a="1"/>
  <c r="X80" i="14" s="1"/>
  <c r="W82" i="17" a="1"/>
  <c r="W82" i="17" s="1"/>
  <c r="W14" i="13" a="1"/>
  <c r="W14" i="13" s="1"/>
  <c r="W30" i="17" a="1"/>
  <c r="W30" i="17" s="1"/>
  <c r="V56" i="17" a="1"/>
  <c r="V56" i="17" s="1"/>
  <c r="V40" i="13" a="1"/>
  <c r="V40" i="13" s="1"/>
  <c r="V84" i="17" a="1"/>
  <c r="V84" i="17" s="1"/>
  <c r="X58" i="14" a="1"/>
  <c r="X58" i="14" s="1"/>
  <c r="W66" i="13" a="1"/>
  <c r="W66" i="13" s="1"/>
  <c r="W26" i="13" a="1"/>
  <c r="W26" i="13" s="1"/>
  <c r="W28" i="14" a="1"/>
  <c r="W28" i="14" s="1"/>
  <c r="W62" i="14" a="1"/>
  <c r="W62" i="14" s="1"/>
  <c r="T76" i="13" a="1"/>
  <c r="T76" i="13" s="1"/>
  <c r="V32" i="17" a="1"/>
  <c r="V32" i="17" s="1"/>
  <c r="W62" i="13" a="1"/>
  <c r="W62" i="13" s="1"/>
  <c r="W40" i="17" a="1"/>
  <c r="W40" i="17" s="1"/>
  <c r="W10" i="13" a="1"/>
  <c r="W10" i="13" s="1"/>
  <c r="V20" i="13" a="1"/>
  <c r="V20" i="13" s="1"/>
  <c r="X34" i="14" a="1"/>
  <c r="X34" i="14" s="1"/>
  <c r="V82" i="17" a="1"/>
  <c r="V82" i="17" s="1"/>
  <c r="V52" i="13" a="1"/>
  <c r="V52" i="13" s="1"/>
  <c r="V50" i="13" a="1"/>
  <c r="V50" i="13" s="1"/>
  <c r="W60" i="14" a="1"/>
  <c r="W60" i="14" s="1"/>
  <c r="U38" i="14" a="1"/>
  <c r="U38" i="14" s="1"/>
  <c r="W76" i="17" a="1"/>
  <c r="W76" i="17" s="1"/>
  <c r="W54" i="17" a="1"/>
  <c r="W54" i="17" s="1"/>
  <c r="X46" i="14" a="1"/>
  <c r="X46" i="14" s="1"/>
  <c r="X56" i="14" a="1"/>
  <c r="X56" i="14" s="1"/>
  <c r="W64" i="14" a="1"/>
  <c r="W64" i="14" s="1"/>
  <c r="X30" i="14" a="1"/>
  <c r="X30" i="14" s="1"/>
  <c r="X72" i="14" a="1"/>
  <c r="X72" i="14" s="1"/>
  <c r="U60" i="17" a="1"/>
  <c r="U60" i="17" s="1"/>
  <c r="W28" i="13" a="1"/>
  <c r="W28" i="13" s="1"/>
  <c r="X74" i="14" a="1"/>
  <c r="X74" i="14" s="1"/>
  <c r="U28" i="13" a="1"/>
  <c r="U28" i="13" s="1"/>
  <c r="V82" i="13" a="1"/>
  <c r="V82" i="13" s="1"/>
  <c r="U64" i="17" a="1"/>
  <c r="U64" i="17" s="1"/>
  <c r="W68" i="17" a="1"/>
  <c r="W68" i="17" s="1"/>
  <c r="V16" i="17" a="1"/>
  <c r="V16" i="17" s="1"/>
  <c r="X16" i="14" a="1"/>
  <c r="X16" i="14" s="1"/>
  <c r="W84" i="14" a="1"/>
  <c r="W84" i="14" s="1"/>
  <c r="X62" i="14" a="1"/>
  <c r="X62" i="14" s="1"/>
  <c r="X12" i="14" a="1"/>
  <c r="X12" i="14" s="1"/>
  <c r="W14" i="17" a="1"/>
  <c r="W14" i="17" s="1"/>
  <c r="W86" i="17" a="1"/>
  <c r="W86" i="17" s="1"/>
  <c r="X66" i="14" a="1"/>
  <c r="X66" i="14" s="1"/>
  <c r="W78" i="13" a="1"/>
  <c r="W78" i="13" s="1"/>
  <c r="V20" i="14" a="1"/>
  <c r="V20" i="14" s="1"/>
  <c r="V52" i="17" a="1"/>
  <c r="V52" i="17" s="1"/>
  <c r="W48" i="13" a="1"/>
  <c r="W48" i="13" s="1"/>
  <c r="T84" i="17" a="1"/>
  <c r="T84" i="17" s="1"/>
  <c r="V6" i="13" a="1"/>
  <c r="V6" i="13" s="1"/>
  <c r="W52" i="14" a="1"/>
  <c r="W52" i="14" s="1"/>
  <c r="V64" i="17" a="1"/>
  <c r="V64" i="17" s="1"/>
  <c r="W46" i="13" a="1"/>
  <c r="W46" i="13" s="1"/>
  <c r="V62" i="13" a="1"/>
  <c r="V62" i="13" s="1"/>
  <c r="W36" i="14" a="1"/>
  <c r="W36" i="14" s="1"/>
  <c r="T72" i="13" a="1"/>
  <c r="T72" i="13" s="1"/>
  <c r="V20" i="17" a="1"/>
  <c r="V20" i="17" s="1"/>
  <c r="X6" i="17" a="1"/>
  <c r="X6" i="17" s="1"/>
  <c r="W42" i="14" a="1"/>
  <c r="W42" i="14" s="1"/>
  <c r="V8" i="13" a="1"/>
  <c r="V8" i="13" s="1"/>
  <c r="W8" i="13" a="1"/>
  <c r="W8" i="13" s="1"/>
  <c r="V78" i="13" a="1"/>
  <c r="V78" i="13" s="1"/>
  <c r="W46" i="17" a="1"/>
  <c r="W46" i="17" s="1"/>
  <c r="U40" i="14" a="1"/>
  <c r="U40" i="14" s="1"/>
  <c r="U84" i="13" a="1"/>
  <c r="U84" i="13" s="1"/>
  <c r="W86" i="14" a="1"/>
  <c r="W86" i="14" s="1"/>
  <c r="W12" i="14" a="1"/>
  <c r="W12" i="14" s="1"/>
  <c r="V18" i="13" a="1"/>
  <c r="V18" i="13" s="1"/>
  <c r="W24" i="17" a="1"/>
  <c r="W24" i="17" s="1"/>
  <c r="W20" i="14" a="1"/>
  <c r="W20" i="14" s="1"/>
  <c r="V78" i="17" a="1"/>
  <c r="V78" i="17" s="1"/>
  <c r="W48" i="14" a="1"/>
  <c r="W48" i="14" s="1"/>
  <c r="W72" i="14" a="1"/>
  <c r="W72" i="14" s="1"/>
  <c r="W44" i="17" a="1"/>
  <c r="W44" i="17" s="1"/>
  <c r="W70" i="17" a="1"/>
  <c r="W70" i="17" s="1"/>
  <c r="V76" i="17" a="1"/>
  <c r="V76" i="17" s="1"/>
  <c r="W18" i="14" a="1"/>
  <c r="W18" i="14" s="1"/>
  <c r="V54" i="13" a="1"/>
  <c r="V54" i="13" s="1"/>
  <c r="V58" i="17" a="1"/>
  <c r="V58" i="17" s="1"/>
  <c r="W36" i="13" a="1"/>
  <c r="W36" i="13" s="1"/>
  <c r="W82" i="14" a="1"/>
  <c r="W82" i="14" s="1"/>
  <c r="X24" i="14" a="1"/>
  <c r="X24" i="14" s="1"/>
  <c r="W46" i="14" a="1"/>
  <c r="W46" i="14" s="1"/>
  <c r="W30" i="14" a="1"/>
  <c r="W30" i="14" s="1"/>
  <c r="W18" i="17" a="1"/>
  <c r="W18" i="17" s="1"/>
  <c r="W22" i="17" a="1"/>
  <c r="W22" i="17" s="1"/>
  <c r="U28" i="14" a="1"/>
  <c r="U28" i="14" s="1"/>
  <c r="W74" i="14" a="1"/>
  <c r="W74" i="14" s="1"/>
  <c r="X32" i="14" a="1"/>
  <c r="X32" i="14" s="1"/>
  <c r="X40" i="14" a="1"/>
  <c r="X40" i="14" s="1"/>
  <c r="W76" i="13" a="1"/>
  <c r="W76" i="13" s="1"/>
  <c r="X60" i="14" a="1"/>
  <c r="X60" i="14" s="1"/>
  <c r="V72" i="17" a="1"/>
  <c r="V72" i="17" s="1"/>
  <c r="W74" i="17" a="1"/>
  <c r="W74" i="17" s="1"/>
  <c r="V28" i="13" a="1"/>
  <c r="V28" i="13" s="1"/>
  <c r="W60" i="17" a="1"/>
  <c r="W60" i="17" s="1"/>
  <c r="T52" i="13" a="1"/>
  <c r="T52" i="13" s="1"/>
  <c r="U86" i="13" a="1"/>
  <c r="U86" i="13" s="1"/>
  <c r="W66" i="14" a="1"/>
  <c r="W66" i="14" s="1"/>
  <c r="W42" i="17" a="1"/>
  <c r="W42" i="17" s="1"/>
  <c r="W38" i="17" a="1"/>
  <c r="W38" i="17" s="1"/>
  <c r="X38" i="14" a="1"/>
  <c r="X38" i="14" s="1"/>
  <c r="V14" i="13" a="1"/>
  <c r="V14" i="13" s="1"/>
  <c r="X86" i="14" a="1"/>
  <c r="X86" i="14" s="1"/>
  <c r="U56" i="17" a="1"/>
  <c r="U56" i="17" s="1"/>
  <c r="X42" i="14" a="1"/>
  <c r="X42" i="14" s="1"/>
  <c r="W86" i="13" a="1"/>
  <c r="W86" i="13" s="1"/>
  <c r="V60" i="17" a="1"/>
  <c r="V60" i="17" s="1"/>
  <c r="X6" i="14" a="1"/>
  <c r="X6" i="14" s="1"/>
  <c r="X70" i="14" a="1"/>
  <c r="X70" i="14" s="1"/>
  <c r="X48" i="14" a="1"/>
  <c r="X48" i="14" s="1"/>
  <c r="W16" i="13" a="1"/>
  <c r="W16" i="13" s="1"/>
  <c r="W32" i="14" a="1"/>
  <c r="W32" i="14" s="1"/>
  <c r="W28" i="17" a="1"/>
  <c r="W28" i="17" s="1"/>
  <c r="W78" i="14" a="1"/>
  <c r="W78" i="14" s="1"/>
  <c r="V26" i="17" a="1"/>
  <c r="V26" i="17" s="1"/>
  <c r="W42" i="13" a="1"/>
  <c r="W42" i="13" s="1"/>
  <c r="W12" i="17" a="1"/>
  <c r="W12" i="17" s="1"/>
  <c r="V16" i="13" a="1"/>
  <c r="V16" i="13" s="1"/>
  <c r="V54" i="17" a="1"/>
  <c r="V54" i="17" s="1"/>
  <c r="T60" i="17" a="1"/>
  <c r="T60" i="17" s="1"/>
  <c r="W82" i="13" a="1"/>
  <c r="W82" i="13" s="1"/>
  <c r="V24" i="13" a="1"/>
  <c r="V24" i="13" s="1"/>
  <c r="V42" i="13" a="1"/>
  <c r="V42" i="13" s="1"/>
  <c r="W80" i="17" a="1"/>
  <c r="W80" i="17" s="1"/>
  <c r="Y46" i="17" a="1"/>
  <c r="Y46" i="17" s="1"/>
  <c r="W32" i="13" a="1"/>
  <c r="W32" i="13" s="1"/>
  <c r="V56" i="13" a="1"/>
  <c r="V56" i="13" s="1"/>
  <c r="X64" i="17" a="1"/>
  <c r="X64" i="17" s="1"/>
  <c r="W50" i="14" a="1"/>
  <c r="W50" i="14" s="1"/>
  <c r="W6" i="13" a="1"/>
  <c r="W6" i="13" s="1"/>
  <c r="X50" i="17" a="1"/>
  <c r="X50" i="17" s="1"/>
  <c r="W58" i="13" a="1"/>
  <c r="W58" i="13" s="1"/>
  <c r="X52" i="14" a="1"/>
  <c r="X52" i="14" s="1"/>
  <c r="X32" i="17" a="1"/>
  <c r="X32" i="17" s="1"/>
  <c r="V76" i="13" a="1"/>
  <c r="V76" i="13" s="1"/>
  <c r="X26" i="17" a="1"/>
  <c r="X26" i="17" s="1"/>
  <c r="V40" i="17" a="1"/>
  <c r="V40" i="17" s="1"/>
  <c r="W44" i="14" a="1"/>
  <c r="W44" i="14" s="1"/>
  <c r="X54" i="17" a="1"/>
  <c r="X54" i="17" s="1"/>
  <c r="W26" i="14" a="1"/>
  <c r="W26" i="14" s="1"/>
  <c r="W36" i="17" a="1"/>
  <c r="W36" i="17" s="1"/>
  <c r="V70" i="13" a="1"/>
  <c r="V70" i="13" s="1"/>
  <c r="W48" i="17" a="1"/>
  <c r="W48" i="17" s="1"/>
  <c r="V68" i="13" a="1"/>
  <c r="V68" i="13" s="1"/>
  <c r="X82" i="14" a="1"/>
  <c r="X82" i="14" s="1"/>
  <c r="W22" i="13" a="1"/>
  <c r="W22" i="13" s="1"/>
  <c r="W64" i="13" a="1"/>
  <c r="W64" i="13" s="1"/>
  <c r="W18" i="13" a="1"/>
  <c r="W18" i="13" s="1"/>
  <c r="W54" i="14" a="1"/>
  <c r="W54" i="14" s="1"/>
  <c r="W50" i="17" a="1"/>
  <c r="W50" i="17" s="1"/>
  <c r="W24" i="14" a="1"/>
  <c r="W24" i="14" s="1"/>
  <c r="X30" i="17" a="1"/>
  <c r="X30" i="17" s="1"/>
  <c r="W80" i="14" a="1"/>
  <c r="W80" i="14" s="1"/>
  <c r="X38" i="17" a="1"/>
  <c r="X38" i="17" s="1"/>
  <c r="X18" i="14" a="1"/>
  <c r="X18" i="14" s="1"/>
  <c r="W22" i="14" a="1"/>
  <c r="W22" i="14" s="1"/>
  <c r="X28" i="17" a="1"/>
  <c r="X28" i="17" s="1"/>
  <c r="W70" i="13" a="1"/>
  <c r="W70" i="13" s="1"/>
  <c r="V66" i="13" a="1"/>
  <c r="V66" i="13" s="1"/>
  <c r="X18" i="17" a="1"/>
  <c r="X18" i="17" s="1"/>
  <c r="X26" i="14" a="1"/>
  <c r="X26" i="14" s="1"/>
  <c r="V58" i="13" a="1"/>
  <c r="V58" i="13" s="1"/>
  <c r="V22" i="13" a="1"/>
  <c r="V22" i="13" s="1"/>
  <c r="W38" i="13" a="1"/>
  <c r="W38" i="13" s="1"/>
  <c r="W56" i="17" a="1"/>
  <c r="W56" i="17" s="1"/>
  <c r="W40" i="13" a="1"/>
  <c r="W40" i="13" s="1"/>
  <c r="V30" i="13" a="1"/>
  <c r="V30" i="13" s="1"/>
  <c r="W32" i="17" a="1"/>
  <c r="W32" i="17" s="1"/>
  <c r="X12" i="13" a="1"/>
  <c r="X12" i="13" s="1"/>
  <c r="W6" i="17" a="1"/>
  <c r="W6" i="17" s="1"/>
  <c r="X52" i="17" a="1"/>
  <c r="X52" i="17" s="1"/>
  <c r="V10" i="13" a="1"/>
  <c r="V10" i="13" s="1"/>
  <c r="W8" i="17" a="1"/>
  <c r="W8" i="17" s="1"/>
  <c r="V32" i="13" a="1"/>
  <c r="V32" i="13" s="1"/>
  <c r="V64" i="13" a="1"/>
  <c r="V64" i="13" s="1"/>
  <c r="W34" i="17" a="1"/>
  <c r="W34" i="17" s="1"/>
  <c r="W38" i="14" a="1"/>
  <c r="W38" i="14" s="1"/>
  <c r="V84" i="13" a="1"/>
  <c r="V84" i="13" s="1"/>
  <c r="V60" i="13" a="1"/>
  <c r="V60" i="13" s="1"/>
  <c r="W64" i="17" a="1"/>
  <c r="W64" i="17" s="1"/>
  <c r="W84" i="17" a="1"/>
  <c r="W84" i="17" s="1"/>
  <c r="W56" i="13" a="1"/>
  <c r="W56" i="13" s="1"/>
  <c r="X42" i="17" a="1"/>
  <c r="X42" i="17" s="1"/>
  <c r="X80" i="17" a="1"/>
  <c r="X80" i="17" s="1"/>
  <c r="X56" i="17" a="1"/>
  <c r="X56" i="17" s="1"/>
  <c r="X12" i="17" a="1"/>
  <c r="X12" i="17" s="1"/>
  <c r="W44" i="13" a="1"/>
  <c r="W44" i="13" s="1"/>
  <c r="W6" i="14" a="1"/>
  <c r="W6" i="14" s="1"/>
  <c r="X22" i="14" a="1"/>
  <c r="X22" i="14" s="1"/>
  <c r="X76" i="14" a="1"/>
  <c r="X76" i="14" s="1"/>
  <c r="X28" i="14" a="1"/>
  <c r="X28" i="14" s="1"/>
  <c r="Y68" i="17" a="1"/>
  <c r="Y68" i="17" s="1"/>
  <c r="W84" i="13" a="1"/>
  <c r="W84" i="13" s="1"/>
  <c r="W30" i="13" a="1"/>
  <c r="W30" i="13" s="1"/>
  <c r="X16" i="17" a="1"/>
  <c r="X16" i="17" s="1"/>
  <c r="W78" i="17" a="1"/>
  <c r="W78" i="17" s="1"/>
  <c r="W60" i="13" a="1"/>
  <c r="W60" i="13" s="1"/>
  <c r="X36" i="14" a="1"/>
  <c r="X36" i="14" s="1"/>
  <c r="X86" i="17" a="1"/>
  <c r="X86" i="17" s="1"/>
  <c r="X78" i="14" a="1"/>
  <c r="X78" i="14" s="1"/>
  <c r="W8" i="14" a="1"/>
  <c r="W8" i="14" s="1"/>
  <c r="X68" i="17" a="1"/>
  <c r="X68" i="17" s="1"/>
  <c r="X84" i="17" a="1"/>
  <c r="X84" i="17" s="1"/>
  <c r="X72" i="17" a="1"/>
  <c r="X72" i="17" s="1"/>
  <c r="W66" i="17" a="1"/>
  <c r="W66" i="17" s="1"/>
  <c r="X76" i="17" a="1"/>
  <c r="X76" i="17" s="1"/>
  <c r="X34" i="17" a="1"/>
  <c r="X34" i="17" s="1"/>
  <c r="V44" i="13" a="1"/>
  <c r="V44" i="13" s="1"/>
  <c r="W24" i="13" a="1"/>
  <c r="W24" i="13" s="1"/>
  <c r="X60" i="17" a="1"/>
  <c r="X60" i="17" s="1"/>
  <c r="X62" i="17" a="1"/>
  <c r="X62" i="17" s="1"/>
  <c r="W52" i="13" a="1"/>
  <c r="W52" i="13" s="1"/>
  <c r="X8" i="17" a="1"/>
  <c r="X8" i="17" s="1"/>
  <c r="X40" i="17" a="1"/>
  <c r="X40" i="17" s="1"/>
  <c r="X82" i="17" a="1"/>
  <c r="X82" i="17" s="1"/>
  <c r="X58" i="17" a="1"/>
  <c r="X58" i="17" s="1"/>
  <c r="X68" i="14" a="1"/>
  <c r="X68" i="14" s="1"/>
  <c r="X36" i="17" a="1"/>
  <c r="X36" i="17" s="1"/>
  <c r="X14" i="14" a="1"/>
  <c r="X14" i="14" s="1"/>
  <c r="V72" i="13" a="1"/>
  <c r="V72" i="13" s="1"/>
  <c r="X10" i="14" a="1"/>
  <c r="X10" i="14" s="1"/>
  <c r="Y28" i="17" a="1"/>
  <c r="Y28" i="17" s="1"/>
  <c r="X24" i="17" a="1"/>
  <c r="X24" i="17" s="1"/>
  <c r="Y76" i="17" a="1"/>
  <c r="Y76" i="17" s="1"/>
  <c r="Y36" i="17" a="1"/>
  <c r="Y36" i="17" s="1"/>
  <c r="X54" i="14" a="1"/>
  <c r="X54" i="14" s="1"/>
  <c r="X64" i="14" a="1"/>
  <c r="X64" i="14" s="1"/>
  <c r="X66" i="17" a="1"/>
  <c r="X66" i="17" s="1"/>
  <c r="X20" i="17" a="1"/>
  <c r="X20" i="17" s="1"/>
  <c r="Y80" i="17" a="1"/>
  <c r="Y80" i="17" s="1"/>
  <c r="W14" i="14" a="1"/>
  <c r="W14" i="14" s="1"/>
  <c r="W40" i="14" a="1"/>
  <c r="W40" i="14" s="1"/>
  <c r="Y16" i="17" a="1"/>
  <c r="Y16" i="17" s="1"/>
  <c r="Y38" i="17" a="1"/>
  <c r="Y38" i="17" s="1"/>
  <c r="X74" i="17" a="1"/>
  <c r="X74" i="17" s="1"/>
  <c r="Z36" i="17" a="1"/>
  <c r="Z36" i="17" s="1"/>
  <c r="Y32" i="17" a="1"/>
  <c r="Y32" i="17" s="1"/>
  <c r="Y66" i="17" a="1"/>
  <c r="Y66" i="17" s="1"/>
  <c r="Y18" i="17" a="1"/>
  <c r="Y18" i="17" s="1"/>
  <c r="Y82" i="17" a="1"/>
  <c r="Y82" i="17" s="1"/>
  <c r="W74" i="13" a="1"/>
  <c r="W74" i="13" s="1"/>
  <c r="Y70" i="17" a="1"/>
  <c r="Y70" i="17" s="1"/>
  <c r="Y84" i="17" a="1"/>
  <c r="Y84" i="17" s="1"/>
  <c r="W52" i="17" a="1"/>
  <c r="W52" i="17" s="1"/>
  <c r="Y6" i="17" a="1"/>
  <c r="Y6" i="17" s="1"/>
  <c r="Y52" i="17" a="1"/>
  <c r="Y52" i="17" s="1"/>
  <c r="W34" i="13" a="1"/>
  <c r="W34" i="13" s="1"/>
  <c r="X70" i="17" a="1"/>
  <c r="X70" i="17" s="1"/>
  <c r="Y12" i="17" a="1"/>
  <c r="Y12" i="17" s="1"/>
  <c r="Y20" i="17" a="1"/>
  <c r="Y20" i="17" s="1"/>
  <c r="Z34" i="17" a="1"/>
  <c r="Z34" i="17" s="1"/>
  <c r="Y54" i="17" a="1"/>
  <c r="Y54" i="17" s="1"/>
  <c r="Y34" i="17" a="1"/>
  <c r="Y34" i="17" s="1"/>
  <c r="X44" i="17" a="1"/>
  <c r="X44" i="17" s="1"/>
  <c r="Y24" i="17" a="1"/>
  <c r="Y24" i="17" s="1"/>
  <c r="W10" i="17" a="1"/>
  <c r="W10" i="17" s="1"/>
  <c r="W20" i="17" a="1"/>
  <c r="W20" i="17" s="1"/>
  <c r="Y22" i="17" a="1"/>
  <c r="Y22" i="17" s="1"/>
  <c r="X48" i="17" a="1"/>
  <c r="X48" i="17" s="1"/>
  <c r="X10" i="17" a="1"/>
  <c r="X10" i="17" s="1"/>
  <c r="W34" i="14" a="1"/>
  <c r="W34" i="14" s="1"/>
  <c r="X50" i="14" a="1"/>
  <c r="X50" i="14" s="1"/>
  <c r="X20" i="14" a="1"/>
  <c r="X20" i="14" s="1"/>
  <c r="W68" i="13" a="1"/>
  <c r="W68" i="13" s="1"/>
  <c r="V38" i="13" a="1"/>
  <c r="V38" i="13" s="1"/>
  <c r="X78" i="17" a="1"/>
  <c r="X78" i="17" s="1"/>
  <c r="Y64" i="17" a="1"/>
  <c r="Y64" i="17" s="1"/>
  <c r="V86" i="13" a="1"/>
  <c r="V86" i="13" s="1"/>
  <c r="W54" i="13" a="1"/>
  <c r="W54" i="13" s="1"/>
  <c r="X22" i="17" a="1"/>
  <c r="X22" i="17" s="1"/>
  <c r="Y10" i="17" a="1"/>
  <c r="Y10" i="17" s="1"/>
  <c r="W72" i="17" a="1"/>
  <c r="W72" i="17" s="1"/>
  <c r="Y14" i="17" a="1"/>
  <c r="Y14" i="17" s="1"/>
  <c r="X14" i="17" a="1"/>
  <c r="X14" i="17" s="1"/>
  <c r="Y78" i="17" a="1"/>
  <c r="Y78" i="17" s="1"/>
  <c r="Y8" i="17" a="1"/>
  <c r="Y8" i="17" s="1"/>
  <c r="V34" i="13" a="1"/>
  <c r="V34" i="13" s="1"/>
  <c r="Z18" i="17" a="1"/>
  <c r="Z18" i="17" s="1"/>
  <c r="Z58" i="17" a="1"/>
  <c r="Z58" i="17" s="1"/>
  <c r="Z50" i="17" a="1"/>
  <c r="Z50" i="17" s="1"/>
  <c r="Y60" i="17" a="1"/>
  <c r="Y60" i="17" s="1"/>
  <c r="AA60" i="17" a="1"/>
  <c r="AA60" i="17" s="1"/>
  <c r="Z32" i="17" a="1"/>
  <c r="Z32" i="17" s="1"/>
  <c r="Z72" i="17" a="1"/>
  <c r="Z72" i="17" s="1"/>
  <c r="Z12" i="17" a="1"/>
  <c r="Z12" i="17" s="1"/>
  <c r="AA58" i="17" a="1"/>
  <c r="AA58" i="17" s="1"/>
  <c r="Y74" i="17" a="1"/>
  <c r="Y74" i="17" s="1"/>
  <c r="Y72" i="17" a="1"/>
  <c r="Y72" i="17" s="1"/>
  <c r="AA34" i="17" a="1"/>
  <c r="AA34" i="17" s="1"/>
  <c r="AA54" i="17" a="1"/>
  <c r="AA54" i="17" s="1"/>
  <c r="Y58" i="17" a="1"/>
  <c r="Y58" i="17" s="1"/>
  <c r="Y26" i="17" a="1"/>
  <c r="Y26" i="17" s="1"/>
  <c r="Y50" i="17" a="1"/>
  <c r="Y50" i="17" s="1"/>
  <c r="AA26" i="17" a="1"/>
  <c r="AA26" i="17" s="1"/>
  <c r="Z14" i="17" a="1"/>
  <c r="Z14" i="17" s="1"/>
  <c r="Z20" i="17" a="1"/>
  <c r="Z20" i="17" s="1"/>
  <c r="Y86" i="17" a="1"/>
  <c r="Y86" i="17" s="1"/>
  <c r="Z28" i="17" a="1"/>
  <c r="Z28" i="17" s="1"/>
  <c r="Z40" i="17" a="1"/>
  <c r="Z40" i="17" s="1"/>
  <c r="Y62" i="17" a="1"/>
  <c r="Y62" i="17" s="1"/>
  <c r="Z76" i="17" a="1"/>
  <c r="Z76" i="17" s="1"/>
  <c r="AA28" i="17" a="1"/>
  <c r="AA28" i="17" s="1"/>
  <c r="Z42" i="17" a="1"/>
  <c r="Z42" i="17" s="1"/>
  <c r="Z6" i="17" a="1"/>
  <c r="Z6" i="17" s="1"/>
  <c r="Z26" i="17" a="1"/>
  <c r="Z26" i="17" s="1"/>
  <c r="AA46" i="17" a="1"/>
  <c r="AA46" i="17" s="1"/>
  <c r="Z84" i="17" a="1"/>
  <c r="Z84" i="17" s="1"/>
  <c r="AA22" i="17" a="1"/>
  <c r="AA22" i="17" s="1"/>
  <c r="Z44" i="17" a="1"/>
  <c r="Z44" i="17" s="1"/>
  <c r="Y42" i="17" a="1"/>
  <c r="Y42" i="17" s="1"/>
  <c r="Z82" i="17" a="1"/>
  <c r="Z82" i="17" s="1"/>
  <c r="Z22" i="17" a="1"/>
  <c r="Z22" i="17" s="1"/>
  <c r="Z74" i="17" a="1"/>
  <c r="Z74" i="17" s="1"/>
  <c r="Z86" i="17" a="1"/>
  <c r="Z86" i="17" s="1"/>
  <c r="Y30" i="17" a="1"/>
  <c r="Y30" i="17" s="1"/>
  <c r="Z8" i="17" a="1"/>
  <c r="Z8" i="17" s="1"/>
  <c r="Z80" i="17" a="1"/>
  <c r="Z80" i="17" s="1"/>
  <c r="Z10" i="17" a="1"/>
  <c r="Z10" i="17" s="1"/>
  <c r="Z30" i="17" a="1"/>
  <c r="Z30" i="17" s="1"/>
  <c r="Y44" i="17" a="1"/>
  <c r="Y44" i="17" s="1"/>
  <c r="Z38" i="17" a="1"/>
  <c r="Z38" i="17" s="1"/>
  <c r="Y40" i="17" a="1"/>
  <c r="Y40" i="17" s="1"/>
  <c r="AA30" i="17" a="1"/>
  <c r="AA30" i="17" s="1"/>
  <c r="Y56" i="17" a="1"/>
  <c r="Y56" i="17" s="1"/>
  <c r="AA78" i="17" a="1"/>
  <c r="AA78" i="17" s="1"/>
  <c r="AB6" i="17" a="1"/>
  <c r="AB6" i="17" s="1"/>
  <c r="AA16" i="17" a="1"/>
  <c r="AA16" i="17" s="1"/>
  <c r="AB40" i="17" a="1"/>
  <c r="AB40" i="17" s="1"/>
  <c r="AB14" i="17" a="1"/>
  <c r="AB14" i="17" s="1"/>
  <c r="AA24" i="17" a="1"/>
  <c r="AA24" i="17" s="1"/>
  <c r="Z54" i="17" a="1"/>
  <c r="Z54" i="17" s="1"/>
  <c r="AB82" i="17" a="1"/>
  <c r="AB82" i="17" s="1"/>
  <c r="AB64" i="17" a="1"/>
  <c r="AB64" i="17" s="1"/>
  <c r="AB56" i="17" a="1"/>
  <c r="AB56" i="17" s="1"/>
  <c r="Z24" i="17" a="1"/>
  <c r="Z24" i="17" s="1"/>
  <c r="Z52" i="17" a="1"/>
  <c r="Z52" i="17" s="1"/>
  <c r="Z66" i="17" a="1"/>
  <c r="Z66" i="17" s="1"/>
  <c r="X46" i="17" a="1"/>
  <c r="X46" i="17" s="1"/>
  <c r="AB44" i="17" a="1"/>
  <c r="AB44" i="17" s="1"/>
  <c r="AA32" i="17" a="1"/>
  <c r="AA32" i="17" s="1"/>
  <c r="AA68" i="17" a="1"/>
  <c r="AA68" i="17" s="1"/>
  <c r="AB16" i="17" a="1"/>
  <c r="AB16" i="17" s="1"/>
  <c r="AB52" i="17" a="1"/>
  <c r="AB52" i="17" s="1"/>
  <c r="AA8" i="17" a="1"/>
  <c r="AA8" i="17" s="1"/>
  <c r="AB20" i="17" a="1"/>
  <c r="AB20" i="17" s="1"/>
  <c r="AA42" i="17" a="1"/>
  <c r="AA42" i="17" s="1"/>
  <c r="AA14" i="17" a="1"/>
  <c r="AA14" i="17" s="1"/>
  <c r="AB86" i="17" a="1"/>
  <c r="AB86" i="17" s="1"/>
  <c r="AB32" i="17" a="1"/>
  <c r="AB32" i="17" s="1"/>
  <c r="Z62" i="17" a="1"/>
  <c r="Z62" i="17" s="1"/>
  <c r="AB70" i="17" a="1"/>
  <c r="AB70" i="17" s="1"/>
  <c r="AB18" i="17" a="1"/>
  <c r="AB18" i="17" s="1"/>
  <c r="Y48" i="17" a="1"/>
  <c r="Y48" i="17" s="1"/>
  <c r="Z68" i="17" a="1"/>
  <c r="Z68" i="17" s="1"/>
  <c r="AA80" i="17" a="1"/>
  <c r="AA80" i="17" s="1"/>
  <c r="Z16" i="17" a="1"/>
  <c r="Z16" i="17" s="1"/>
  <c r="AA72" i="17" a="1"/>
  <c r="AA72" i="17" s="1"/>
  <c r="Z64" i="17" a="1"/>
  <c r="Z64" i="17" s="1"/>
  <c r="Z48" i="17" a="1"/>
  <c r="Z48" i="17" s="1"/>
  <c r="AA36" i="17" a="1"/>
  <c r="AA36" i="17" s="1"/>
  <c r="AB62" i="17" a="1"/>
  <c r="AB62" i="17" s="1"/>
  <c r="AA20" i="17" a="1"/>
  <c r="AA20" i="17" s="1"/>
  <c r="AB22" i="17" a="1"/>
  <c r="AB22" i="17" s="1"/>
  <c r="Z46" i="17" a="1"/>
  <c r="Z46" i="17" s="1"/>
  <c r="Z60" i="17" a="1"/>
  <c r="Z60" i="17" s="1"/>
  <c r="AA84" i="17" a="1"/>
  <c r="AA84" i="17" s="1"/>
  <c r="AA40" i="17" a="1"/>
  <c r="AA40" i="17" s="1"/>
  <c r="AA38" i="17" a="1"/>
  <c r="AA38" i="17" s="1"/>
  <c r="AA66" i="17" a="1"/>
  <c r="AA66" i="17" s="1"/>
  <c r="AA62" i="17" a="1"/>
  <c r="AA62" i="17" s="1"/>
  <c r="AB42" i="17" a="1"/>
  <c r="AB42" i="17" s="1"/>
  <c r="AB66" i="17" a="1"/>
  <c r="AB66" i="17" s="1"/>
  <c r="AA12" i="17" a="1"/>
  <c r="AA12" i="17" s="1"/>
  <c r="AB46" i="17" a="1"/>
  <c r="AB46" i="17" s="1"/>
  <c r="AB10" i="17" a="1"/>
  <c r="AB10" i="17" s="1"/>
  <c r="AA50" i="17" a="1"/>
  <c r="AA50" i="17" s="1"/>
  <c r="AB48" i="17" a="1"/>
  <c r="AB48" i="17" s="1"/>
  <c r="AC84" i="17" a="1"/>
  <c r="AC84" i="17" s="1"/>
  <c r="AA86" i="17" a="1"/>
  <c r="AA86" i="17" s="1"/>
  <c r="AB68" i="17" a="1"/>
  <c r="AB68" i="17" s="1"/>
  <c r="AB78" i="17" a="1"/>
  <c r="AB78" i="17" s="1"/>
  <c r="AB84" i="17" a="1"/>
  <c r="AB84" i="17" s="1"/>
  <c r="AD74" i="17" a="1"/>
  <c r="AD74" i="17" s="1"/>
  <c r="AB60" i="17" a="1"/>
  <c r="AB60" i="17" s="1"/>
  <c r="AB80" i="17" a="1"/>
  <c r="AB80" i="17" s="1"/>
  <c r="AB36" i="17" a="1"/>
  <c r="AB36" i="17" s="1"/>
  <c r="AA18" i="17" a="1"/>
  <c r="AA18" i="17" s="1"/>
  <c r="AB24" i="17" a="1"/>
  <c r="AB24" i="17" s="1"/>
  <c r="Z78" i="17" a="1"/>
  <c r="Z78" i="17" s="1"/>
  <c r="AB54" i="17" a="1"/>
  <c r="AB54" i="17" s="1"/>
  <c r="AC20" i="17" a="1"/>
  <c r="AC20" i="17" s="1"/>
  <c r="AB30" i="17" a="1"/>
  <c r="AB30" i="17" s="1"/>
  <c r="AA48" i="17" a="1"/>
  <c r="AA48" i="17" s="1"/>
  <c r="AB72" i="17" a="1"/>
  <c r="AB72" i="17" s="1"/>
  <c r="AA76" i="17" a="1"/>
  <c r="AA76" i="17" s="1"/>
  <c r="AB38" i="17" a="1"/>
  <c r="AB38" i="17" s="1"/>
  <c r="AB12" i="17" a="1"/>
  <c r="AB12" i="17" s="1"/>
  <c r="AB58" i="17" a="1"/>
  <c r="AB58" i="17" s="1"/>
  <c r="AA70" i="17" a="1"/>
  <c r="AA70" i="17" s="1"/>
  <c r="AA56" i="17" a="1"/>
  <c r="AA56" i="17" s="1"/>
  <c r="AA44" i="17" a="1"/>
  <c r="AA44" i="17" s="1"/>
  <c r="AD56" i="17" a="1"/>
  <c r="AD56" i="17" s="1"/>
  <c r="AC26" i="17" a="1"/>
  <c r="AC26" i="17" s="1"/>
  <c r="AD68" i="17" a="1"/>
  <c r="AD68" i="17" s="1"/>
  <c r="AB34" i="17" a="1"/>
  <c r="AB34" i="17" s="1"/>
  <c r="AC24" i="17" a="1"/>
  <c r="AC24" i="17" s="1"/>
  <c r="AC76" i="17" a="1"/>
  <c r="AC76" i="17" s="1"/>
  <c r="AB8" i="17" a="1"/>
  <c r="AB8" i="17" s="1"/>
  <c r="AC58" i="17" a="1"/>
  <c r="AC58" i="17" s="1"/>
  <c r="AC34" i="17" a="1"/>
  <c r="AC34" i="17" s="1"/>
  <c r="AB26" i="17" a="1"/>
  <c r="AB26" i="17" s="1"/>
  <c r="AB28" i="17" a="1"/>
  <c r="AB28" i="17" s="1"/>
  <c r="AA6" i="17" a="1"/>
  <c r="AA6" i="17" s="1"/>
  <c r="AA52" i="17" a="1"/>
  <c r="AA52" i="17" s="1"/>
  <c r="AE58" i="17" a="1"/>
  <c r="AE58" i="17" s="1"/>
  <c r="AC38" i="17" a="1"/>
  <c r="AC38" i="17" s="1"/>
  <c r="AC50" i="17" a="1"/>
  <c r="AC50" i="17" s="1"/>
  <c r="AC16" i="17" a="1"/>
  <c r="AC16" i="17" s="1"/>
  <c r="AC28" i="17" a="1"/>
  <c r="AC28" i="17" s="1"/>
  <c r="AD64" i="17" a="1"/>
  <c r="AD64" i="17" s="1"/>
  <c r="AA82" i="17" a="1"/>
  <c r="AA82" i="17" s="1"/>
  <c r="AC14" i="17" a="1"/>
  <c r="AC14" i="17" s="1"/>
  <c r="AA10" i="17" a="1"/>
  <c r="AA10" i="17" s="1"/>
  <c r="AC78" i="17" a="1"/>
  <c r="AC78" i="17" s="1"/>
  <c r="AD70" i="17" a="1"/>
  <c r="AD70" i="17" s="1"/>
  <c r="AC70" i="17" a="1"/>
  <c r="AC70" i="17" s="1"/>
  <c r="AD42" i="17" a="1"/>
  <c r="AD42" i="17" s="1"/>
  <c r="AD20" i="17" a="1"/>
  <c r="AD20" i="17" s="1"/>
  <c r="AD58" i="17" a="1"/>
  <c r="AD58" i="17" s="1"/>
  <c r="AD18" i="17" a="1"/>
  <c r="AD18" i="17" s="1"/>
  <c r="AA64" i="17" a="1"/>
  <c r="AA64" i="17" s="1"/>
  <c r="AC40" i="17" a="1"/>
  <c r="AC40" i="17" s="1"/>
  <c r="Z56" i="17" a="1"/>
  <c r="Z56" i="17" s="1"/>
  <c r="AD6" i="17" a="1"/>
  <c r="AD6" i="17" s="1"/>
  <c r="AC80" i="17" a="1"/>
  <c r="AC80" i="17" s="1"/>
  <c r="AC62" i="17" a="1"/>
  <c r="AC62" i="17" s="1"/>
  <c r="AB76" i="17" a="1"/>
  <c r="AB76" i="17" s="1"/>
  <c r="AD66" i="17" a="1"/>
  <c r="AD66" i="17" s="1"/>
  <c r="AD36" i="17" a="1"/>
  <c r="AD36" i="17" s="1"/>
  <c r="AC86" i="17" a="1"/>
  <c r="AC86" i="17" s="1"/>
  <c r="Z70" i="17" a="1"/>
  <c r="Z70" i="17" s="1"/>
  <c r="AD16" i="17" a="1"/>
  <c r="AD16" i="17" s="1"/>
  <c r="AD8" i="17" a="1"/>
  <c r="AD8" i="17" s="1"/>
  <c r="AD34" i="17" a="1"/>
  <c r="AD34" i="17" s="1"/>
  <c r="AD40" i="17" a="1"/>
  <c r="AD40" i="17" s="1"/>
  <c r="AD28" i="17" a="1"/>
  <c r="AD28" i="17" s="1"/>
  <c r="AC10" i="17" a="1"/>
  <c r="AC10" i="17" s="1"/>
  <c r="AC66" i="17" a="1"/>
  <c r="AC66" i="17" s="1"/>
  <c r="AC68" i="17" a="1"/>
  <c r="AC68" i="17" s="1"/>
  <c r="AD46" i="17" a="1"/>
  <c r="AD46" i="17" s="1"/>
  <c r="AC36" i="17" a="1"/>
  <c r="AC36" i="17" s="1"/>
  <c r="AC8" i="17" a="1"/>
  <c r="AC8" i="17" s="1"/>
  <c r="AD38" i="17" a="1"/>
  <c r="AD38" i="17" s="1"/>
  <c r="AC74" i="17" a="1"/>
  <c r="AC74" i="17" s="1"/>
  <c r="AD30" i="17" a="1"/>
  <c r="AD30" i="17" s="1"/>
  <c r="AD78" i="17" a="1"/>
  <c r="AD78" i="17" s="1"/>
  <c r="AC52" i="17" a="1"/>
  <c r="AC52" i="17" s="1"/>
  <c r="AC6" i="17" a="1"/>
  <c r="AC6" i="17" s="1"/>
  <c r="AC12" i="17" a="1"/>
  <c r="AC12" i="17" s="1"/>
  <c r="AD32" i="17" a="1"/>
  <c r="AD32" i="17" s="1"/>
  <c r="AE78" i="17" a="1"/>
  <c r="AE78" i="17" s="1"/>
  <c r="AD52" i="17" a="1"/>
  <c r="AD52" i="17" s="1"/>
  <c r="AD44" i="17" a="1"/>
  <c r="AD44" i="17" s="1"/>
  <c r="AD12" i="17" a="1"/>
  <c r="AD12" i="17" s="1"/>
  <c r="AC82" i="17" a="1"/>
  <c r="AC82" i="17" s="1"/>
  <c r="AD10" i="17" a="1"/>
  <c r="AD10" i="17" s="1"/>
  <c r="AC32" i="17" a="1"/>
  <c r="AC32" i="17" s="1"/>
  <c r="AD22" i="17" a="1"/>
  <c r="AD22" i="17" s="1"/>
  <c r="AC64" i="17" a="1"/>
  <c r="AC64" i="17" s="1"/>
  <c r="AC44" i="17" a="1"/>
  <c r="AC44" i="17" s="1"/>
  <c r="AD82" i="17" a="1"/>
  <c r="AD82" i="17" s="1"/>
  <c r="AA74" i="17" a="1"/>
  <c r="AA74" i="17" s="1"/>
  <c r="AC48" i="17" a="1"/>
  <c r="AC48" i="17" s="1"/>
  <c r="AC46" i="17" a="1"/>
  <c r="AC46" i="17" s="1"/>
  <c r="AC18" i="17" a="1"/>
  <c r="AC18" i="17" s="1"/>
  <c r="AB50" i="17" a="1"/>
  <c r="AB50" i="17" s="1"/>
  <c r="AD54" i="17" a="1"/>
  <c r="AD54" i="17" s="1"/>
  <c r="AE44" i="17" a="1"/>
  <c r="AE44" i="17" s="1"/>
  <c r="AD86" i="17" a="1"/>
  <c r="AD86" i="17" s="1"/>
  <c r="AC72" i="17" a="1"/>
  <c r="AC72" i="17" s="1"/>
  <c r="AE76" i="17" a="1"/>
  <c r="AE76" i="17" s="1"/>
  <c r="AD62" i="17" a="1"/>
  <c r="AD62" i="17" s="1"/>
  <c r="AC60" i="17" a="1"/>
  <c r="AC60" i="17" s="1"/>
  <c r="AD76" i="17" a="1"/>
  <c r="AD76" i="17" s="1"/>
  <c r="AC22" i="17" a="1"/>
  <c r="AC22" i="17" s="1"/>
  <c r="AE82" i="17" a="1"/>
  <c r="AE82" i="17" s="1"/>
  <c r="AC30" i="17" a="1"/>
  <c r="AC30" i="17" s="1"/>
  <c r="AC42" i="17" a="1"/>
  <c r="AC42" i="17" s="1"/>
  <c r="AD50" i="17" a="1"/>
  <c r="AD50" i="17" s="1"/>
  <c r="AE62" i="17" a="1"/>
  <c r="AE62" i="17" s="1"/>
  <c r="AC56" i="17" a="1"/>
  <c r="AC56" i="17" s="1"/>
  <c r="AD60" i="17" a="1"/>
  <c r="AD60" i="17" s="1"/>
  <c r="AF68" i="17" a="1"/>
  <c r="AF68" i="17" s="1"/>
  <c r="AD26" i="17" a="1"/>
  <c r="AD26" i="17" s="1"/>
  <c r="AD72" i="17" a="1"/>
  <c r="AD72" i="17" s="1"/>
  <c r="AD24" i="17" a="1"/>
  <c r="AD24" i="17" s="1"/>
  <c r="AE70" i="17" a="1"/>
  <c r="AE70" i="17" s="1"/>
  <c r="AE64" i="17" a="1"/>
  <c r="AE64" i="17" s="1"/>
  <c r="AF26" i="17" a="1"/>
  <c r="AF26" i="17" s="1"/>
  <c r="AE20" i="17" a="1"/>
  <c r="AE20" i="17" s="1"/>
  <c r="AE52" i="17" a="1"/>
  <c r="AE52" i="17" s="1"/>
  <c r="AE40" i="17" a="1"/>
  <c r="AE40" i="17" s="1"/>
  <c r="AE66" i="17" a="1"/>
  <c r="AE66" i="17" s="1"/>
  <c r="AF62" i="17" a="1"/>
  <c r="AF62" i="17" s="1"/>
  <c r="AE54" i="17" a="1"/>
  <c r="AE54" i="17" s="1"/>
  <c r="AB74" i="17" a="1"/>
  <c r="AB74" i="17" s="1"/>
  <c r="AE10" i="17" a="1"/>
  <c r="AE10" i="17" s="1"/>
  <c r="AE60" i="17" a="1"/>
  <c r="AE60" i="17" s="1"/>
  <c r="AE32" i="17" a="1"/>
  <c r="AE32" i="17" s="1"/>
  <c r="AD84" i="17" a="1"/>
  <c r="AD84" i="17" s="1"/>
  <c r="AC54" i="17" a="1"/>
  <c r="AC54" i="17" s="1"/>
  <c r="AF22" i="17" a="1"/>
  <c r="AF22" i="17" s="1"/>
  <c r="AE14" i="17" a="1"/>
  <c r="AE14" i="17" s="1"/>
  <c r="AE8" i="17" a="1"/>
  <c r="AE8" i="17" s="1"/>
  <c r="AD48" i="17" a="1"/>
  <c r="AD48" i="17" s="1"/>
  <c r="AF42" i="17" a="1"/>
  <c r="AF42" i="17" s="1"/>
  <c r="AF40" i="17" a="1"/>
  <c r="AF40" i="17" s="1"/>
  <c r="AF38" i="17" a="1"/>
  <c r="AF38" i="17" s="1"/>
  <c r="AF60" i="17" a="1"/>
  <c r="AF60" i="17" s="1"/>
  <c r="AE28" i="17" a="1"/>
  <c r="AE28" i="17" s="1"/>
  <c r="AE18" i="17" a="1"/>
  <c r="AE18" i="17" s="1"/>
  <c r="AF66" i="17" a="1"/>
  <c r="AF66" i="17" s="1"/>
  <c r="AF32" i="17" a="1"/>
  <c r="AF32" i="17" s="1"/>
  <c r="AE22" i="17" a="1"/>
  <c r="AE22" i="17" s="1"/>
  <c r="AF80" i="17" a="1"/>
  <c r="AF80" i="17" s="1"/>
  <c r="AF8" i="17" a="1"/>
  <c r="AF8" i="17" s="1"/>
  <c r="AE38" i="17" a="1"/>
  <c r="AE38" i="17" s="1"/>
  <c r="AF34" i="17" a="1"/>
  <c r="AF34" i="17" s="1"/>
  <c r="AE36" i="17" a="1"/>
  <c r="AE36" i="17" s="1"/>
  <c r="AF36" i="17" a="1"/>
  <c r="AF36" i="17" s="1"/>
  <c r="AF70" i="17" a="1"/>
  <c r="AF70" i="17" s="1"/>
  <c r="AF84" i="17" a="1"/>
  <c r="AF84" i="17" s="1"/>
  <c r="AE84" i="17" a="1"/>
  <c r="AE84" i="17" s="1"/>
  <c r="AE50" i="17" a="1"/>
  <c r="AE50" i="17" s="1"/>
  <c r="AG76" i="17" a="1"/>
  <c r="AG76" i="17" s="1"/>
  <c r="AF64" i="17" a="1"/>
  <c r="AF64" i="17" s="1"/>
  <c r="AE68" i="17" a="1"/>
  <c r="AE68" i="17" s="1"/>
  <c r="AF14" i="17" a="1"/>
  <c r="AF14" i="17" s="1"/>
  <c r="AE80" i="17" a="1"/>
  <c r="AE80" i="17" s="1"/>
  <c r="AD14" i="17" a="1"/>
  <c r="AD14" i="17" s="1"/>
  <c r="AE74" i="17" a="1"/>
  <c r="AE74" i="17" s="1"/>
  <c r="AE56" i="17" a="1"/>
  <c r="AE56" i="17" s="1"/>
  <c r="AE86" i="17" a="1"/>
  <c r="AE86" i="17" s="1"/>
  <c r="AE24" i="17" a="1"/>
  <c r="AE24" i="17" s="1"/>
  <c r="AG34" i="17" a="1"/>
  <c r="AG34" i="17" s="1"/>
  <c r="AF54" i="17" a="1"/>
  <c r="AF54" i="17" s="1"/>
  <c r="AE34" i="17" a="1"/>
  <c r="AE34" i="17" s="1"/>
  <c r="AD80" i="17" a="1"/>
  <c r="AD80" i="17" s="1"/>
  <c r="AE48" i="17" a="1"/>
  <c r="AE48" i="17" s="1"/>
  <c r="AF16" i="17" a="1"/>
  <c r="AF16" i="17" s="1"/>
  <c r="AE6" i="17" a="1"/>
  <c r="AE6" i="17" s="1"/>
  <c r="AF10" i="17" a="1"/>
  <c r="AF10" i="17" s="1"/>
  <c r="AF74" i="17" a="1"/>
  <c r="AF74" i="17" s="1"/>
  <c r="AF6" i="17" a="1"/>
  <c r="AF6" i="17" s="1"/>
  <c r="AE16" i="17" a="1"/>
  <c r="AE16" i="17" s="1"/>
  <c r="AF50" i="17" a="1"/>
  <c r="AF50" i="17" s="1"/>
  <c r="AF72" i="17" a="1"/>
  <c r="AF72" i="17" s="1"/>
  <c r="AF18" i="17" a="1"/>
  <c r="AF18" i="17" s="1"/>
  <c r="AE12" i="17" a="1"/>
  <c r="AE12" i="17" s="1"/>
  <c r="AE42" i="17" a="1"/>
  <c r="AE42" i="17" s="1"/>
  <c r="AF48" i="17" a="1"/>
  <c r="AF48" i="17" s="1"/>
  <c r="AF24" i="17" a="1"/>
  <c r="AF24" i="17" s="1"/>
  <c r="AF76" i="17" a="1"/>
  <c r="AF76" i="17" s="1"/>
  <c r="AF20" i="17" a="1"/>
  <c r="AF20" i="17" s="1"/>
  <c r="AE26" i="17" a="1"/>
  <c r="AE26" i="17" s="1"/>
  <c r="AE72" i="17" a="1"/>
  <c r="AE72" i="17" s="1"/>
  <c r="AH62" i="17" a="1"/>
  <c r="AH62" i="17" s="1"/>
  <c r="AG70" i="17" a="1"/>
  <c r="AG70" i="17" s="1"/>
  <c r="AG16" i="17" a="1"/>
  <c r="AG16" i="17" s="1"/>
  <c r="AG22" i="17" a="1"/>
  <c r="AG22" i="17" s="1"/>
  <c r="AE30" i="17" a="1"/>
  <c r="AE30" i="17" s="1"/>
  <c r="AE46" i="17" a="1"/>
  <c r="AE46" i="17" s="1"/>
  <c r="AG66" i="17" a="1"/>
  <c r="AG66" i="17" s="1"/>
  <c r="AF28" i="17" a="1"/>
  <c r="AF28" i="17" s="1"/>
  <c r="AG26" i="17" a="1"/>
  <c r="AG26" i="17" s="1"/>
  <c r="AG84" i="17" a="1"/>
  <c r="AG84" i="17" s="1"/>
  <c r="AH54" i="17" a="1"/>
  <c r="AH54" i="17" s="1"/>
  <c r="AF46" i="17" a="1"/>
  <c r="AF46" i="17" s="1"/>
  <c r="AG44" i="17" a="1"/>
  <c r="AG44" i="17" s="1"/>
  <c r="AG60" i="17" a="1"/>
  <c r="AG60" i="17" s="1"/>
  <c r="AG52" i="17" a="1"/>
  <c r="AG52" i="17" s="1"/>
  <c r="AG42" i="17" a="1"/>
  <c r="AG42" i="17" s="1"/>
  <c r="AG40" i="17" a="1"/>
  <c r="AG40" i="17" s="1"/>
  <c r="AG80" i="17" a="1"/>
  <c r="AG80" i="17" s="1"/>
  <c r="AF82" i="17" a="1"/>
  <c r="AF82" i="17" s="1"/>
  <c r="AG58" i="17" a="1"/>
  <c r="AG58" i="17" s="1"/>
  <c r="AG74" i="17" a="1"/>
  <c r="AG74" i="17" s="1"/>
  <c r="AG54" i="17" a="1"/>
  <c r="AG54" i="17" s="1"/>
  <c r="AF86" i="17" a="1"/>
  <c r="AF86" i="17" s="1"/>
  <c r="AG78" i="17" a="1"/>
  <c r="AG78" i="17" s="1"/>
  <c r="AG64" i="17" a="1"/>
  <c r="AG64" i="17" s="1"/>
  <c r="AF56" i="17" a="1"/>
  <c r="AF56" i="17" s="1"/>
  <c r="AG18" i="17" a="1"/>
  <c r="AG18" i="17" s="1"/>
  <c r="AH46" i="17" a="1"/>
  <c r="AH46" i="17" s="1"/>
  <c r="AF12" i="17" a="1"/>
  <c r="AF12" i="17" s="1"/>
  <c r="AF52" i="17" a="1"/>
  <c r="AF52" i="17" s="1"/>
  <c r="AG50" i="17" a="1"/>
  <c r="AG50" i="17" s="1"/>
  <c r="AG8" i="17" a="1"/>
  <c r="AG8" i="17" s="1"/>
  <c r="AG20" i="17" a="1"/>
  <c r="AG20" i="17" s="1"/>
  <c r="AG56" i="17" a="1"/>
  <c r="AG56" i="17" s="1"/>
  <c r="AF30" i="17" a="1"/>
  <c r="AF30" i="17" s="1"/>
  <c r="AG46" i="17" a="1"/>
  <c r="AG46" i="17" s="1"/>
  <c r="AG68" i="17" a="1"/>
  <c r="AG68" i="17" s="1"/>
  <c r="AH14" i="17" a="1"/>
  <c r="AH14" i="17" s="1"/>
  <c r="AF44" i="17" a="1"/>
  <c r="AF44" i="17" s="1"/>
  <c r="AH34" i="17" a="1"/>
  <c r="AH34" i="17" s="1"/>
  <c r="AH36" i="17" a="1"/>
  <c r="AH36" i="17" s="1"/>
  <c r="AH78" i="17" a="1"/>
  <c r="AH78" i="17" s="1"/>
  <c r="AI44" i="17" a="1"/>
  <c r="AI44" i="17" s="1"/>
  <c r="AH70" i="17" a="1"/>
  <c r="AH70" i="17" s="1"/>
  <c r="AG14" i="17" a="1"/>
  <c r="AG14" i="17" s="1"/>
  <c r="AG36" i="17" a="1"/>
  <c r="AG36" i="17" s="1"/>
  <c r="AG6" i="17" a="1"/>
  <c r="AG6" i="17" s="1"/>
  <c r="AG10" i="17" a="1"/>
  <c r="AG10" i="17" s="1"/>
  <c r="AH72" i="17" a="1"/>
  <c r="AH72" i="17" s="1"/>
  <c r="AH6" i="17" a="1"/>
  <c r="AH6" i="17" s="1"/>
  <c r="AI20" i="17" a="1"/>
  <c r="AI20" i="17" s="1"/>
  <c r="AH30" i="17" a="1"/>
  <c r="AH30" i="17" s="1"/>
  <c r="AG30" i="17" a="1"/>
  <c r="AG30" i="17" s="1"/>
  <c r="AH84" i="17" a="1"/>
  <c r="AH84" i="17" s="1"/>
  <c r="AF78" i="17" a="1"/>
  <c r="AF78" i="17" s="1"/>
  <c r="AH10" i="17" a="1"/>
  <c r="AH10" i="17" s="1"/>
  <c r="AH80" i="17" a="1"/>
  <c r="AH80" i="17" s="1"/>
  <c r="AI14" i="17" a="1"/>
  <c r="AI14" i="17" s="1"/>
  <c r="AF58" i="17" a="1"/>
  <c r="AF58" i="17" s="1"/>
  <c r="AH74" i="17" a="1"/>
  <c r="AH74" i="17" s="1"/>
  <c r="AG82" i="17" a="1"/>
  <c r="AG82" i="17" s="1"/>
  <c r="AH52" i="17" a="1"/>
  <c r="AH52" i="17" s="1"/>
  <c r="AG32" i="17" a="1"/>
  <c r="AG32" i="17" s="1"/>
  <c r="AG12" i="17" a="1"/>
  <c r="AG12" i="17" s="1"/>
  <c r="AG72" i="17" a="1"/>
  <c r="AG72" i="17" s="1"/>
  <c r="AH60" i="17" a="1"/>
  <c r="AH60" i="17" s="1"/>
  <c r="AH58" i="17" a="1"/>
  <c r="AH58" i="17" s="1"/>
  <c r="AI72" i="17" a="1"/>
  <c r="AI72" i="17" s="1"/>
  <c r="AI86" i="17" a="1"/>
  <c r="AI86" i="17" s="1"/>
  <c r="AG24" i="17" a="1"/>
  <c r="AG24" i="17" s="1"/>
  <c r="AH8" i="17" a="1"/>
  <c r="AH8" i="17" s="1"/>
  <c r="AI36" i="17" a="1"/>
  <c r="AI36" i="17" s="1"/>
  <c r="AH28" i="17" a="1"/>
  <c r="AH28" i="17" s="1"/>
  <c r="AG62" i="17" a="1"/>
  <c r="AG62" i="17" s="1"/>
  <c r="AH56" i="17" a="1"/>
  <c r="AH56" i="17" s="1"/>
  <c r="AH24" i="17" a="1"/>
  <c r="AH24" i="17" s="1"/>
  <c r="AH42" i="17" a="1"/>
  <c r="AH42" i="17" s="1"/>
  <c r="AH50" i="17" a="1"/>
  <c r="AH50" i="17" s="1"/>
  <c r="AI12" i="17" a="1"/>
  <c r="AI12" i="17" s="1"/>
  <c r="AG48" i="17" a="1"/>
  <c r="AG48" i="17" s="1"/>
  <c r="AG28" i="17" a="1"/>
  <c r="AG28" i="17" s="1"/>
  <c r="AJ84" i="17" a="1"/>
  <c r="AJ84" i="17" s="1"/>
  <c r="AJ32" i="17" a="1"/>
  <c r="AJ32" i="17" s="1"/>
  <c r="AH44" i="17" a="1"/>
  <c r="AH44" i="17" s="1"/>
  <c r="AI40" i="17" a="1"/>
  <c r="AI40" i="17" s="1"/>
  <c r="AH40" i="17" a="1"/>
  <c r="AH40" i="17" s="1"/>
  <c r="AJ10" i="17" a="1"/>
  <c r="AJ10" i="17" s="1"/>
  <c r="AI50" i="17" a="1"/>
  <c r="AI50" i="17" s="1"/>
  <c r="AH64" i="17" a="1"/>
  <c r="AH64" i="17" s="1"/>
  <c r="AH26" i="17" a="1"/>
  <c r="AH26" i="17" s="1"/>
  <c r="AJ50" i="17" a="1"/>
  <c r="AJ50" i="17" s="1"/>
  <c r="AJ54" i="17" a="1"/>
  <c r="AJ54" i="17" s="1"/>
  <c r="AH12" i="17" a="1"/>
  <c r="AH12" i="17" s="1"/>
  <c r="AJ30" i="17" a="1"/>
  <c r="AJ30" i="17" s="1"/>
  <c r="AH66" i="17" a="1"/>
  <c r="AH66" i="17" s="1"/>
  <c r="AG86" i="17" a="1"/>
  <c r="AG86" i="17" s="1"/>
  <c r="AI84" i="17" a="1"/>
  <c r="AI84" i="17" s="1"/>
  <c r="AH20" i="17" a="1"/>
  <c r="AH20" i="17" s="1"/>
  <c r="AI16" i="17" a="1"/>
  <c r="AI16" i="17" s="1"/>
  <c r="AJ6" i="17" a="1"/>
  <c r="AJ6" i="17" s="1"/>
  <c r="AI64" i="17" a="1"/>
  <c r="AI64" i="17" s="1"/>
  <c r="AI80" i="17" a="1"/>
  <c r="AI80" i="17" s="1"/>
  <c r="AJ52" i="17" a="1"/>
  <c r="AJ52" i="17" s="1"/>
  <c r="AI30" i="17" a="1"/>
  <c r="AI30" i="17" s="1"/>
  <c r="AI62" i="17" a="1"/>
  <c r="AI62" i="17" s="1"/>
  <c r="AJ64" i="17" a="1"/>
  <c r="AJ64" i="17" s="1"/>
  <c r="AJ20" i="17" a="1"/>
  <c r="AJ20" i="17" s="1"/>
  <c r="AI18" i="17" a="1"/>
  <c r="AI18" i="17" s="1"/>
  <c r="AI42" i="17" a="1"/>
  <c r="AI42" i="17" s="1"/>
  <c r="AI78" i="17" a="1"/>
  <c r="AI78" i="17" s="1"/>
  <c r="AI54" i="17" a="1"/>
  <c r="AI54" i="17" s="1"/>
  <c r="AI46" i="17" a="1"/>
  <c r="AI46" i="17" s="1"/>
  <c r="AI32" i="17" a="1"/>
  <c r="AI32" i="17" s="1"/>
  <c r="AH76" i="17" a="1"/>
  <c r="AH76" i="17" s="1"/>
  <c r="AI48" i="17" a="1"/>
  <c r="AI48" i="17" s="1"/>
  <c r="AI74" i="17" a="1"/>
  <c r="AI74" i="17" s="1"/>
  <c r="AG38" i="17" a="1"/>
  <c r="AG38" i="17" s="1"/>
  <c r="AI8" i="17" a="1"/>
  <c r="AI8" i="17" s="1"/>
  <c r="AI10" i="17" a="1"/>
  <c r="AI10" i="17" s="1"/>
  <c r="AJ58" i="17" a="1"/>
  <c r="AJ58" i="17" s="1"/>
  <c r="AI76" i="17" a="1"/>
  <c r="AI76" i="17" s="1"/>
  <c r="AH86" i="17" a="1"/>
  <c r="AH86" i="17" s="1"/>
  <c r="AH82" i="17" a="1"/>
  <c r="AH82" i="17" s="1"/>
  <c r="AJ56" i="17" a="1"/>
  <c r="AJ56" i="17" s="1"/>
  <c r="AH18" i="17" a="1"/>
  <c r="AH18" i="17" s="1"/>
  <c r="AH22" i="17" a="1"/>
  <c r="AH22" i="17" s="1"/>
  <c r="AH32" i="17" a="1"/>
  <c r="AH32" i="17" s="1"/>
  <c r="AJ44" i="17" a="1"/>
  <c r="AJ44" i="17" s="1"/>
  <c r="AI38" i="17" a="1"/>
  <c r="AI38" i="17" s="1"/>
  <c r="AH16" i="17" a="1"/>
  <c r="AH16" i="17" s="1"/>
  <c r="AI58" i="17" a="1"/>
  <c r="AI58" i="17" s="1"/>
  <c r="AJ46" i="17" a="1"/>
  <c r="AJ46" i="17" s="1"/>
  <c r="AJ24" i="17" a="1"/>
  <c r="AJ24" i="17" s="1"/>
  <c r="AJ60" i="17" a="1"/>
  <c r="AJ60" i="17" s="1"/>
  <c r="AJ66" i="17" a="1"/>
  <c r="AJ66" i="17" s="1"/>
  <c r="AJ8" i="17" a="1"/>
  <c r="AJ8" i="17" s="1"/>
  <c r="AI68" i="17" a="1"/>
  <c r="AI68" i="17" s="1"/>
  <c r="AI66" i="17" a="1"/>
  <c r="AI66" i="17" s="1"/>
  <c r="AH38" i="17" a="1"/>
  <c r="AH38" i="17" s="1"/>
  <c r="AJ36" i="17" a="1"/>
  <c r="AJ36" i="17" s="1"/>
  <c r="AJ74" i="17" a="1"/>
  <c r="AJ74" i="17" s="1"/>
  <c r="AI28" i="17" a="1"/>
  <c r="AI28" i="17" s="1"/>
  <c r="AJ76" i="17" a="1"/>
  <c r="AJ76" i="17" s="1"/>
  <c r="AJ72" i="17" a="1"/>
  <c r="AJ72" i="17" s="1"/>
  <c r="AI22" i="17" a="1"/>
  <c r="AI22" i="17" s="1"/>
  <c r="AI70" i="17" a="1"/>
  <c r="AI70" i="17" s="1"/>
  <c r="AJ70" i="17" a="1"/>
  <c r="AJ70" i="17" s="1"/>
  <c r="AJ42" i="17" a="1"/>
  <c r="AJ42" i="17" s="1"/>
  <c r="AJ18" i="17" a="1"/>
  <c r="AJ18" i="17" s="1"/>
  <c r="AK16" i="17" a="1"/>
  <c r="AK16" i="17" s="1"/>
  <c r="AJ82" i="17" a="1"/>
  <c r="AJ82" i="17" s="1"/>
  <c r="AI6" i="17" a="1"/>
  <c r="AI6" i="17" s="1"/>
  <c r="AI60" i="17" a="1"/>
  <c r="AI60" i="17" s="1"/>
  <c r="AI24" i="17" a="1"/>
  <c r="AI24" i="17" s="1"/>
  <c r="AJ78" i="17" a="1"/>
  <c r="AJ78" i="17" s="1"/>
  <c r="AH48" i="17" a="1"/>
  <c r="AH48" i="17" s="1"/>
  <c r="AJ28" i="17" a="1"/>
  <c r="AJ28" i="17" s="1"/>
  <c r="AJ14" i="17" a="1"/>
  <c r="AJ14" i="17" s="1"/>
  <c r="AJ48" i="17" a="1"/>
  <c r="AJ48" i="17" s="1"/>
  <c r="AJ62" i="17" a="1"/>
  <c r="AJ62" i="17" s="1"/>
  <c r="AI34" i="17" a="1"/>
  <c r="AI34" i="17" s="1"/>
  <c r="AH68" i="17" a="1"/>
  <c r="AH68" i="17" s="1"/>
  <c r="AJ12" i="17" a="1"/>
  <c r="AJ12" i="17" s="1"/>
  <c r="AK44" i="17" a="1"/>
  <c r="AK44" i="17" s="1"/>
  <c r="AJ40" i="17" a="1"/>
  <c r="AJ40" i="17" s="1"/>
  <c r="AL40" i="17" a="1"/>
  <c r="AL40" i="17" s="1"/>
  <c r="AK38" i="17" a="1"/>
  <c r="AK38" i="17" s="1"/>
  <c r="AK78" i="17" a="1"/>
  <c r="AK78" i="17" s="1"/>
  <c r="AJ22" i="17" a="1"/>
  <c r="AJ22" i="17" s="1"/>
  <c r="AK70" i="17" a="1"/>
  <c r="AK70" i="17" s="1"/>
  <c r="AI82" i="17" a="1"/>
  <c r="AI82" i="17" s="1"/>
  <c r="AK34" i="17" a="1"/>
  <c r="AK34" i="17" s="1"/>
  <c r="AK82" i="17" a="1"/>
  <c r="AK82" i="17" s="1"/>
  <c r="AJ16" i="17" a="1"/>
  <c r="AJ16" i="17" s="1"/>
  <c r="AK50" i="17" a="1"/>
  <c r="AK50" i="17" s="1"/>
  <c r="AK66" i="17" a="1"/>
  <c r="AK66" i="17" s="1"/>
  <c r="AL30" i="17" a="1"/>
  <c r="AL30" i="17" s="1"/>
  <c r="AK64" i="17" a="1"/>
  <c r="AK64" i="17" s="1"/>
  <c r="AK18" i="17" a="1"/>
  <c r="AK18" i="17" s="1"/>
  <c r="AJ80" i="17" a="1"/>
  <c r="AJ80" i="17" s="1"/>
  <c r="AJ34" i="17" a="1"/>
  <c r="AJ34" i="17" s="1"/>
  <c r="AL54" i="17" a="1"/>
  <c r="AL54" i="17" s="1"/>
  <c r="AK62" i="17" a="1"/>
  <c r="AK62" i="17" s="1"/>
  <c r="AK10" i="17" a="1"/>
  <c r="AK10" i="17" s="1"/>
  <c r="AK76" i="17" a="1"/>
  <c r="AK76" i="17" s="1"/>
  <c r="AK48" i="17" a="1"/>
  <c r="AK48" i="17" s="1"/>
  <c r="AK24" i="17" a="1"/>
  <c r="AK24" i="17" s="1"/>
  <c r="AK56" i="17" a="1"/>
  <c r="AK56" i="17" s="1"/>
  <c r="AK22" i="17" a="1"/>
  <c r="AK22" i="17" s="1"/>
  <c r="AK42" i="17" a="1"/>
  <c r="AK42" i="17" s="1"/>
  <c r="AK32" i="17" a="1"/>
  <c r="AK32" i="17" s="1"/>
  <c r="AI56" i="17" a="1"/>
  <c r="AI56" i="17" s="1"/>
  <c r="AI26" i="17" a="1"/>
  <c r="AI26" i="17" s="1"/>
  <c r="AK6" i="17" a="1"/>
  <c r="AK6" i="17" s="1"/>
  <c r="AK26" i="17" a="1"/>
  <c r="AK26" i="17" s="1"/>
  <c r="AK86" i="17" a="1"/>
  <c r="AK86" i="17" s="1"/>
  <c r="AJ38" i="17" a="1"/>
  <c r="AJ38" i="17" s="1"/>
  <c r="AJ86" i="17" a="1"/>
  <c r="AJ86" i="17" s="1"/>
  <c r="AJ68" i="17" a="1"/>
  <c r="AJ68" i="17" s="1"/>
  <c r="AK74" i="17" a="1"/>
  <c r="AK74" i="17" s="1"/>
  <c r="AK68" i="17" a="1"/>
  <c r="AK68" i="17" s="1"/>
  <c r="AI52" i="17" a="1"/>
  <c r="AI52" i="17" s="1"/>
  <c r="AK14" i="17" a="1"/>
  <c r="AK14" i="17" s="1"/>
  <c r="AL46" i="17" a="1"/>
  <c r="AL46" i="17" s="1"/>
  <c r="AL28" i="17" a="1"/>
  <c r="AL28" i="17" s="1"/>
  <c r="AK30" i="17" a="1"/>
  <c r="AK30" i="17" s="1"/>
  <c r="AM16" i="17" a="1"/>
  <c r="AM16" i="17" s="1"/>
  <c r="AK36" i="17" a="1"/>
  <c r="AK36" i="17" s="1"/>
  <c r="AL44" i="17" a="1"/>
  <c r="AL44" i="17" s="1"/>
  <c r="AL42" i="17" a="1"/>
  <c r="AL42" i="17" s="1"/>
  <c r="AL74" i="17" a="1"/>
  <c r="AL74" i="17" s="1"/>
  <c r="AK52" i="17" a="1"/>
  <c r="AK52" i="17" s="1"/>
  <c r="AJ26" i="17" a="1"/>
  <c r="AJ26" i="17" s="1"/>
  <c r="AL84" i="17" a="1"/>
  <c r="AL84" i="17" s="1"/>
  <c r="AK8" i="17" a="1"/>
  <c r="AK8" i="17" s="1"/>
  <c r="AK84" i="17" a="1"/>
  <c r="AK84" i="17" s="1"/>
  <c r="AL18" i="17" a="1"/>
  <c r="AL18" i="17" s="1"/>
  <c r="AK60" i="17" a="1"/>
  <c r="AK60" i="17" s="1"/>
  <c r="AK46" i="17" a="1"/>
  <c r="AK46" i="17" s="1"/>
  <c r="AM64" i="17" a="1"/>
  <c r="AM64" i="17" s="1"/>
  <c r="AK72" i="17" a="1"/>
  <c r="AK72" i="17" s="1"/>
  <c r="AK54" i="17" a="1"/>
  <c r="AK54" i="17" s="1"/>
  <c r="AK12" i="17" a="1"/>
  <c r="AK12" i="17" s="1"/>
  <c r="AL12" i="17" a="1"/>
  <c r="AL12" i="17" s="1"/>
  <c r="AL48" i="17" a="1"/>
  <c r="AL48" i="17" s="1"/>
  <c r="AL76" i="17" a="1"/>
  <c r="AL76" i="17" s="1"/>
  <c r="AL32" i="17" a="1"/>
  <c r="AL32" i="17" s="1"/>
  <c r="AK80" i="17" a="1"/>
  <c r="AK80" i="17" s="1"/>
  <c r="AL60" i="17" a="1"/>
  <c r="AL60" i="17" s="1"/>
  <c r="AL6" i="17" a="1"/>
  <c r="AL6" i="17" s="1"/>
  <c r="AK28" i="17" a="1"/>
  <c r="AK28" i="17" s="1"/>
  <c r="AL58" i="17" a="1"/>
  <c r="AL58" i="17" s="1"/>
  <c r="AM18" i="17" a="1"/>
  <c r="AM18" i="17" s="1"/>
  <c r="AL56" i="17" a="1"/>
  <c r="AL56" i="17" s="1"/>
  <c r="AK20" i="17" a="1"/>
  <c r="AK20" i="17" s="1"/>
  <c r="AL64" i="17" a="1"/>
  <c r="AL64" i="17" s="1"/>
  <c r="AL70" i="17" a="1"/>
  <c r="AL70" i="17" s="1"/>
  <c r="AN74" i="17" a="1"/>
  <c r="AN74" i="17" s="1"/>
  <c r="AM28" i="17" a="1"/>
  <c r="AM28" i="17" s="1"/>
  <c r="AL80" i="17" a="1"/>
  <c r="AL80" i="17" s="1"/>
  <c r="AS20" i="17" a="1"/>
  <c r="AS20" i="17" s="1"/>
  <c r="AR84" i="17" a="1"/>
  <c r="AR84" i="17" s="1"/>
  <c r="AS32" i="17" a="1"/>
  <c r="AS32" i="17" s="1"/>
  <c r="AM32" i="17" a="1"/>
  <c r="AM32" i="17" s="1"/>
  <c r="AM62" i="17" a="1"/>
  <c r="AM62" i="17" s="1"/>
  <c r="AL52" i="17" a="1"/>
  <c r="AL52" i="17" s="1"/>
  <c r="AM6" i="17" a="1"/>
  <c r="AM6" i="17" s="1"/>
  <c r="AL62" i="17" a="1"/>
  <c r="AL62" i="17" s="1"/>
  <c r="AL72" i="17" a="1"/>
  <c r="AL72" i="17" s="1"/>
  <c r="AS30" i="17" a="1"/>
  <c r="AS30" i="17" s="1"/>
  <c r="AS34" i="17" a="1"/>
  <c r="AS34" i="17" s="1"/>
  <c r="AS72" i="17" a="1"/>
  <c r="AS72" i="17" s="1"/>
  <c r="AL38" i="17" a="1"/>
  <c r="AL38" i="17" s="1"/>
  <c r="AL78" i="17" a="1"/>
  <c r="AL78" i="17" s="1"/>
  <c r="AM70" i="17" a="1"/>
  <c r="AM70" i="17" s="1"/>
  <c r="AL36" i="17" a="1"/>
  <c r="AL36" i="17" s="1"/>
  <c r="AM42" i="17" a="1"/>
  <c r="AM42" i="17" s="1"/>
  <c r="AS70" i="17" a="1"/>
  <c r="AS70" i="17" s="1"/>
  <c r="AS22" i="17" a="1"/>
  <c r="AS22" i="17" s="1"/>
  <c r="AS40" i="17" a="1"/>
  <c r="AS40" i="17" s="1"/>
  <c r="AS80" i="17" a="1"/>
  <c r="AS80" i="17" s="1"/>
  <c r="AL26" i="17" a="1"/>
  <c r="AL26" i="17" s="1"/>
  <c r="AM60" i="17" a="1"/>
  <c r="AM60" i="17" s="1"/>
  <c r="AM24" i="17" a="1"/>
  <c r="AM24" i="17" s="1"/>
  <c r="AS28" i="17" a="1"/>
  <c r="AS28" i="17" s="1"/>
  <c r="AS10" i="17" a="1"/>
  <c r="AS10" i="17" s="1"/>
  <c r="AS68" i="17" a="1"/>
  <c r="AS68" i="17" s="1"/>
  <c r="AS36" i="17" a="1"/>
  <c r="AS36" i="17" s="1"/>
  <c r="AL66" i="17" a="1"/>
  <c r="AL66" i="17" s="1"/>
  <c r="AL8" i="17" a="1"/>
  <c r="AL8" i="17" s="1"/>
  <c r="AR86" i="17" a="1"/>
  <c r="AR86" i="17" s="1"/>
  <c r="AS58" i="17" a="1"/>
  <c r="AS58" i="17" s="1"/>
  <c r="AS18" i="17" a="1"/>
  <c r="AS18" i="17" s="1"/>
  <c r="AS56" i="17" a="1"/>
  <c r="AS56" i="17" s="1"/>
  <c r="AM86" i="17" a="1"/>
  <c r="AM86" i="17" s="1"/>
  <c r="AK40" i="17" a="1"/>
  <c r="AK40" i="17" s="1"/>
  <c r="AS66" i="17" a="1"/>
  <c r="AS66" i="17" s="1"/>
  <c r="AS64" i="17" a="1"/>
  <c r="AS64" i="17" s="1"/>
  <c r="AL10" i="17" a="1"/>
  <c r="AL10" i="17" s="1"/>
  <c r="AM80" i="17" a="1"/>
  <c r="AM80" i="17" s="1"/>
  <c r="AM72" i="17" a="1"/>
  <c r="AM72" i="17" s="1"/>
  <c r="AS52" i="17" a="1"/>
  <c r="AS52" i="17" s="1"/>
  <c r="AS48" i="17" a="1"/>
  <c r="AS48" i="17" s="1"/>
  <c r="AL82" i="17" a="1"/>
  <c r="AL82" i="17" s="1"/>
  <c r="AM30" i="17" a="1"/>
  <c r="AM30" i="17" s="1"/>
  <c r="AP50" i="17" a="1"/>
  <c r="AP50" i="17" s="1"/>
  <c r="AM58" i="17" a="1"/>
  <c r="AM58" i="17" s="1"/>
  <c r="AS50" i="17" a="1"/>
  <c r="AS50" i="17" s="1"/>
  <c r="AN82" i="17" a="1"/>
  <c r="AN82" i="17" s="1"/>
  <c r="AM14" i="17" a="1"/>
  <c r="AM14" i="17" s="1"/>
  <c r="AM34" i="17" a="1"/>
  <c r="AM34" i="17" s="1"/>
  <c r="AM8" i="17" a="1"/>
  <c r="AM8" i="17" s="1"/>
  <c r="AL68" i="17" a="1"/>
  <c r="AL68" i="17" s="1"/>
  <c r="AS86" i="17" a="1"/>
  <c r="AS86" i="17" s="1"/>
  <c r="AS84" i="17" a="1"/>
  <c r="AS84" i="17" s="1"/>
  <c r="AL86" i="17" a="1"/>
  <c r="AL86" i="17" s="1"/>
  <c r="AK58" i="17" a="1"/>
  <c r="AK58" i="17" s="1"/>
  <c r="AM78" i="17" a="1"/>
  <c r="AM78" i="17" s="1"/>
  <c r="AM22" i="17" a="1"/>
  <c r="AM22" i="17" s="1"/>
  <c r="AL34" i="17" a="1"/>
  <c r="AL34" i="17" s="1"/>
  <c r="AM26" i="17" a="1"/>
  <c r="AM26" i="17" s="1"/>
  <c r="AM20" i="17" a="1"/>
  <c r="AM20" i="17" s="1"/>
  <c r="AL16" i="17" a="1"/>
  <c r="AL16" i="17" s="1"/>
  <c r="AO78" i="17" a="1"/>
  <c r="AO78" i="17" s="1"/>
  <c r="AS82" i="17" a="1"/>
  <c r="AS82" i="17" s="1"/>
  <c r="AM40" i="17" a="1"/>
  <c r="AM40" i="17" s="1"/>
  <c r="AM10" i="17" a="1"/>
  <c r="AM10" i="17" s="1"/>
  <c r="AN10" i="17" a="1"/>
  <c r="AN10" i="17" s="1"/>
  <c r="AS46" i="17" a="1"/>
  <c r="AS46" i="17" s="1"/>
  <c r="AS38" i="17" a="1"/>
  <c r="AS38" i="17" s="1"/>
  <c r="AS12" i="17" a="1"/>
  <c r="AS12" i="17" s="1"/>
  <c r="AS26" i="17" a="1"/>
  <c r="AS26" i="17" s="1"/>
  <c r="AM36" i="17" a="1"/>
  <c r="AM36" i="17" s="1"/>
  <c r="AR68" i="17" a="1"/>
  <c r="AR68" i="17" s="1"/>
  <c r="AQ30" i="17" a="1"/>
  <c r="AQ30" i="17" s="1"/>
  <c r="AM46" i="17" a="1"/>
  <c r="AM46" i="17" s="1"/>
  <c r="AS6" i="17" a="1"/>
  <c r="AS6" i="17" s="1"/>
  <c r="AL20" i="17" a="1"/>
  <c r="AL20" i="17" s="1"/>
  <c r="AM44" i="17" a="1"/>
  <c r="AM44" i="17" s="1"/>
  <c r="AS60" i="17" a="1"/>
  <c r="AS60" i="17" s="1"/>
  <c r="AS42" i="17" a="1"/>
  <c r="AS42" i="17" s="1"/>
  <c r="AS54" i="17" a="1"/>
  <c r="AS54" i="17" s="1"/>
  <c r="AM12" i="17" a="1"/>
  <c r="AM12" i="17" s="1"/>
  <c r="AM50" i="17" a="1"/>
  <c r="AM50" i="17" s="1"/>
  <c r="AM76" i="17" a="1"/>
  <c r="AM76" i="17" s="1"/>
  <c r="AN86" i="17" a="1"/>
  <c r="AN86" i="17" s="1"/>
  <c r="AS8" i="17" a="1"/>
  <c r="AS8" i="17" s="1"/>
  <c r="AP10" i="17" a="1"/>
  <c r="AP10" i="17" s="1"/>
  <c r="AL14" i="17" a="1"/>
  <c r="AL14" i="17" s="1"/>
  <c r="AM68" i="17" a="1"/>
  <c r="AM68" i="17" s="1"/>
  <c r="AL24" i="17" a="1"/>
  <c r="AL24" i="17" s="1"/>
  <c r="AQ34" i="17" a="1"/>
  <c r="AQ34" i="17" s="1"/>
  <c r="AS78" i="17" a="1"/>
  <c r="AS78" i="17" s="1"/>
  <c r="AM54" i="17" a="1"/>
  <c r="AM54" i="17" s="1"/>
  <c r="AM56" i="17" a="1"/>
  <c r="AM56" i="17" s="1"/>
  <c r="AL50" i="17" a="1"/>
  <c r="AL50" i="17" s="1"/>
  <c r="AM74" i="17" a="1"/>
  <c r="AM74" i="17" s="1"/>
  <c r="AN26" i="17" a="1"/>
  <c r="AN26" i="17" s="1"/>
  <c r="AN78" i="17" a="1"/>
  <c r="AN78" i="17" s="1"/>
  <c r="AS16" i="17" a="1"/>
  <c r="AS16" i="17" s="1"/>
  <c r="AO14" i="17" a="1"/>
  <c r="AO14" i="17" s="1"/>
  <c r="AM82" i="17" a="1"/>
  <c r="AM82" i="17" s="1"/>
  <c r="AN48" i="17" a="1"/>
  <c r="AN48" i="17" s="1"/>
  <c r="AN66" i="17" a="1"/>
  <c r="AN66" i="17" s="1"/>
  <c r="AO56" i="17" a="1"/>
  <c r="AO56" i="17" s="1"/>
  <c r="AR14" i="17" a="1"/>
  <c r="AR14" i="17" s="1"/>
  <c r="AP62" i="17" a="1"/>
  <c r="AP62" i="17" s="1"/>
  <c r="AP18" i="17" a="1"/>
  <c r="AP18" i="17" s="1"/>
  <c r="AQ22" i="17" a="1"/>
  <c r="AQ22" i="17" s="1"/>
  <c r="AO20" i="17" a="1"/>
  <c r="AO20" i="17" s="1"/>
  <c r="AP32" i="17" a="1"/>
  <c r="AP32" i="17" s="1"/>
  <c r="AP22" i="17" a="1"/>
  <c r="AP22" i="17" s="1"/>
  <c r="AN58" i="17" a="1"/>
  <c r="AN58" i="17" s="1"/>
  <c r="AN46" i="17" a="1"/>
  <c r="AN46" i="17" s="1"/>
  <c r="AP20" i="17" a="1"/>
  <c r="AP20" i="17" s="1"/>
  <c r="AN44" i="17" a="1"/>
  <c r="AN44" i="17" s="1"/>
  <c r="AQ52" i="17" a="1"/>
  <c r="AQ52" i="17" s="1"/>
  <c r="AR60" i="17" a="1"/>
  <c r="AR60" i="17" s="1"/>
  <c r="AO16" i="17" a="1"/>
  <c r="AO16" i="17" s="1"/>
  <c r="AR6" i="17" a="1"/>
  <c r="AR6" i="17" s="1"/>
  <c r="AP54" i="17" a="1"/>
  <c r="AP54" i="17" s="1"/>
  <c r="AQ62" i="17" a="1"/>
  <c r="AQ62" i="17" s="1"/>
  <c r="AN20" i="17" a="1"/>
  <c r="AN20" i="17" s="1"/>
  <c r="AN62" i="17" a="1"/>
  <c r="AN62" i="17" s="1"/>
  <c r="AO66" i="17" a="1"/>
  <c r="AO66" i="17" s="1"/>
  <c r="AN68" i="17" a="1"/>
  <c r="AN68" i="17" s="1"/>
  <c r="AQ6" i="17" a="1"/>
  <c r="AQ6" i="17" s="1"/>
  <c r="AP84" i="17" a="1"/>
  <c r="AP84" i="17" s="1"/>
  <c r="AO8" i="17" a="1"/>
  <c r="AO8" i="17" s="1"/>
  <c r="AR72" i="17" a="1"/>
  <c r="AR72" i="17" s="1"/>
  <c r="AQ16" i="17" a="1"/>
  <c r="AQ16" i="17" s="1"/>
  <c r="AP12" i="17" a="1"/>
  <c r="AP12" i="17" s="1"/>
  <c r="AM52" i="17" a="1"/>
  <c r="AM52" i="17" s="1"/>
  <c r="AN52" i="17" a="1"/>
  <c r="AN52" i="17" s="1"/>
  <c r="AO58" i="17" a="1"/>
  <c r="AO58" i="17" s="1"/>
  <c r="AN50" i="17" a="1"/>
  <c r="AN50" i="17" s="1"/>
  <c r="AO40" i="17" a="1"/>
  <c r="AO40" i="17" s="1"/>
  <c r="AP14" i="17" a="1"/>
  <c r="AP14" i="17" s="1"/>
  <c r="AR42" i="17" a="1"/>
  <c r="AR42" i="17" s="1"/>
  <c r="AO82" i="17" a="1"/>
  <c r="AO82" i="17" s="1"/>
  <c r="AQ28" i="17" a="1"/>
  <c r="AQ28" i="17" s="1"/>
  <c r="AQ32" i="17" a="1"/>
  <c r="AQ32" i="17" s="1"/>
  <c r="AR20" i="17" a="1"/>
  <c r="AR20" i="17" s="1"/>
  <c r="AQ44" i="17" a="1"/>
  <c r="AQ44" i="17" s="1"/>
  <c r="AO26" i="17" a="1"/>
  <c r="AO26" i="17" s="1"/>
  <c r="AO54" i="17" a="1"/>
  <c r="AO54" i="17" s="1"/>
  <c r="AN54" i="17" a="1"/>
  <c r="AN54" i="17" s="1"/>
  <c r="AN38" i="17" a="1"/>
  <c r="AN38" i="17" s="1"/>
  <c r="AN64" i="17" a="1"/>
  <c r="AN64" i="17" s="1"/>
  <c r="AQ74" i="17" a="1"/>
  <c r="AQ74" i="17" s="1"/>
  <c r="AR78" i="17" a="1"/>
  <c r="AR78" i="17" s="1"/>
  <c r="AQ80" i="17" a="1"/>
  <c r="AQ80" i="17" s="1"/>
  <c r="AS76" i="17" a="1"/>
  <c r="AS76" i="17" s="1"/>
  <c r="AO70" i="17" a="1"/>
  <c r="AO70" i="17" s="1"/>
  <c r="AO30" i="17" a="1"/>
  <c r="AO30" i="17" s="1"/>
  <c r="AP30" i="17" a="1"/>
  <c r="AP30" i="17" s="1"/>
  <c r="AQ86" i="17" a="1"/>
  <c r="AQ86" i="17" s="1"/>
  <c r="AN56" i="17" a="1"/>
  <c r="AN56" i="17" s="1"/>
  <c r="AR40" i="17" a="1"/>
  <c r="AR40" i="17" s="1"/>
  <c r="AN6" i="17" a="1"/>
  <c r="AN6" i="17" s="1"/>
  <c r="AP86" i="17" a="1"/>
  <c r="AP86" i="17" s="1"/>
  <c r="AO42" i="17" a="1"/>
  <c r="AO42" i="17" s="1"/>
  <c r="AQ50" i="17" a="1"/>
  <c r="AQ50" i="17" s="1"/>
  <c r="AR16" i="17" a="1"/>
  <c r="AR16" i="17" s="1"/>
  <c r="AQ70" i="17" a="1"/>
  <c r="AQ70" i="17" s="1"/>
  <c r="AO48" i="17" a="1"/>
  <c r="AO48" i="17" s="1"/>
  <c r="AO6" i="17" a="1"/>
  <c r="AO6" i="17" s="1"/>
  <c r="AO10" i="17" a="1"/>
  <c r="AO10" i="17" s="1"/>
  <c r="AP36" i="17" a="1"/>
  <c r="AP36" i="17" s="1"/>
  <c r="AN40" i="17" a="1"/>
  <c r="AN40" i="17" s="1"/>
  <c r="AP64" i="17" a="1"/>
  <c r="AP64" i="17" s="1"/>
  <c r="AP58" i="17" a="1"/>
  <c r="AP58" i="17" s="1"/>
  <c r="AQ76" i="17" a="1"/>
  <c r="AQ76" i="17" s="1"/>
  <c r="AN32" i="17" a="1"/>
  <c r="AN32" i="17" s="1"/>
  <c r="AR62" i="17" a="1"/>
  <c r="AR62" i="17" s="1"/>
  <c r="AR8" i="17" a="1"/>
  <c r="AR8" i="17" s="1"/>
  <c r="AQ12" i="17" a="1"/>
  <c r="AQ12" i="17" s="1"/>
  <c r="AQ60" i="17" a="1"/>
  <c r="AQ60" i="17" s="1"/>
  <c r="AQ42" i="17" a="1"/>
  <c r="AQ42" i="17" s="1"/>
  <c r="AR56" i="17" a="1"/>
  <c r="AR56" i="17" s="1"/>
  <c r="AO46" i="17" a="1"/>
  <c r="AO46" i="17" s="1"/>
  <c r="AQ36" i="17" a="1"/>
  <c r="AQ36" i="17" s="1"/>
  <c r="AQ24" i="17" a="1"/>
  <c r="AQ24" i="17" s="1"/>
  <c r="AP8" i="17" a="1"/>
  <c r="AP8" i="17" s="1"/>
  <c r="AP70" i="17" a="1"/>
  <c r="AP70" i="17" s="1"/>
  <c r="AO38" i="17" a="1"/>
  <c r="AO38" i="17" s="1"/>
  <c r="AN24" i="17" a="1"/>
  <c r="AN24" i="17" s="1"/>
  <c r="AQ54" i="17" a="1"/>
  <c r="AQ54" i="17" s="1"/>
  <c r="AR30" i="17" a="1"/>
  <c r="AR30" i="17" s="1"/>
  <c r="AR48" i="17" a="1"/>
  <c r="AR48" i="17" s="1"/>
  <c r="AR44" i="17" a="1"/>
  <c r="AR44" i="17" s="1"/>
  <c r="AQ58" i="17" a="1"/>
  <c r="AQ58" i="17" s="1"/>
  <c r="AP82" i="17" a="1"/>
  <c r="AP82" i="17" s="1"/>
  <c r="AO72" i="17" a="1"/>
  <c r="AO72" i="17" s="1"/>
  <c r="AO50" i="17" a="1"/>
  <c r="AO50" i="17" s="1"/>
  <c r="AO84" i="17" a="1"/>
  <c r="AO84" i="17" s="1"/>
  <c r="AN18" i="17" a="1"/>
  <c r="AN18" i="17" s="1"/>
  <c r="AO32" i="17" a="1"/>
  <c r="AO32" i="17" s="1"/>
  <c r="AQ38" i="17" a="1"/>
  <c r="AQ38" i="17" s="1"/>
  <c r="AP72" i="17" a="1"/>
  <c r="AP72" i="17" s="1"/>
  <c r="AN70" i="17" a="1"/>
  <c r="AN70" i="17" s="1"/>
  <c r="AP60" i="17" a="1"/>
  <c r="AP60" i="17" s="1"/>
  <c r="AQ72" i="17" a="1"/>
  <c r="AQ72" i="17" s="1"/>
  <c r="AR80" i="17" a="1"/>
  <c r="AR80" i="17" s="1"/>
  <c r="AO52" i="17" a="1"/>
  <c r="AO52" i="17" s="1"/>
  <c r="AO74" i="17" a="1"/>
  <c r="AO74" i="17" s="1"/>
  <c r="AP68" i="17" a="1"/>
  <c r="AP68" i="17" s="1"/>
  <c r="AO64" i="17" a="1"/>
  <c r="AO64" i="17" s="1"/>
  <c r="AN34" i="17" a="1"/>
  <c r="AN34" i="17" s="1"/>
  <c r="AM66" i="17" a="1"/>
  <c r="AM66" i="17" s="1"/>
  <c r="AQ40" i="17" a="1"/>
  <c r="AQ40" i="17" s="1"/>
  <c r="AP52" i="17" a="1"/>
  <c r="AP52" i="17" s="1"/>
  <c r="AR76" i="17" a="1"/>
  <c r="AR76" i="17" s="1"/>
  <c r="AO60" i="17" a="1"/>
  <c r="AO60" i="17" s="1"/>
  <c r="AR12" i="17" a="1"/>
  <c r="AR12" i="17" s="1"/>
  <c r="AQ84" i="17" a="1"/>
  <c r="AQ84" i="17" s="1"/>
  <c r="AR74" i="17" a="1"/>
  <c r="AR74" i="17" s="1"/>
  <c r="AO22" i="17" a="1"/>
  <c r="AO22" i="17" s="1"/>
  <c r="AO28" i="17" a="1"/>
  <c r="AO28" i="17" s="1"/>
  <c r="AN14" i="17" a="1"/>
  <c r="AN14" i="17" s="1"/>
  <c r="AN30" i="17" a="1"/>
  <c r="AN30" i="17" s="1"/>
  <c r="AP66" i="17" a="1"/>
  <c r="AP66" i="17" s="1"/>
  <c r="AP26" i="17" a="1"/>
  <c r="AP26" i="17" s="1"/>
  <c r="AS44" i="17" a="1"/>
  <c r="AS44" i="17" s="1"/>
  <c r="AO80" i="17" a="1"/>
  <c r="AO80" i="17" s="1"/>
  <c r="AR46" i="17" a="1"/>
  <c r="AR46" i="17" s="1"/>
  <c r="AR18" i="17" a="1"/>
  <c r="AR18" i="17" s="1"/>
  <c r="AM84" i="17" a="1"/>
  <c r="AM84" i="17" s="1"/>
  <c r="AR32" i="17" a="1"/>
  <c r="AR32" i="17" s="1"/>
  <c r="AQ46" i="17" a="1"/>
  <c r="AQ46" i="17" s="1"/>
  <c r="AR66" i="17" a="1"/>
  <c r="AR66" i="17" s="1"/>
  <c r="AQ56" i="17" a="1"/>
  <c r="AQ56" i="17" s="1"/>
  <c r="AP56" i="17" a="1"/>
  <c r="AP56" i="17" s="1"/>
  <c r="AP16" i="17" a="1"/>
  <c r="AP16" i="17" s="1"/>
  <c r="AN28" i="17" a="1"/>
  <c r="AN28" i="17" s="1"/>
  <c r="AN60" i="17" a="1"/>
  <c r="AN60" i="17" s="1"/>
  <c r="AS14" i="17" a="1"/>
  <c r="AS14" i="17" s="1"/>
  <c r="AR28" i="17" a="1"/>
  <c r="AR28" i="17" s="1"/>
  <c r="AO76" i="17" a="1"/>
  <c r="AO76" i="17" s="1"/>
  <c r="AR34" i="17" a="1"/>
  <c r="AR34" i="17" s="1"/>
  <c r="AR54" i="17" a="1"/>
  <c r="AR54" i="17" s="1"/>
  <c r="AR24" i="17" a="1"/>
  <c r="AR24" i="17" s="1"/>
  <c r="AN8" i="17" a="1"/>
  <c r="AN8" i="17" s="1"/>
  <c r="AP46" i="17" a="1"/>
  <c r="AP46" i="17" s="1"/>
  <c r="AQ18" i="17" a="1"/>
  <c r="AQ18" i="17" s="1"/>
  <c r="AP38" i="17" a="1"/>
  <c r="AP38" i="17" s="1"/>
  <c r="AN42" i="17" a="1"/>
  <c r="AN42" i="17" s="1"/>
  <c r="AM38" i="17" a="1"/>
  <c r="AM38" i="17" s="1"/>
  <c r="AQ64" i="17" a="1"/>
  <c r="AQ64" i="17" s="1"/>
  <c r="AO34" i="17" a="1"/>
  <c r="AO34" i="17" s="1"/>
  <c r="AR52" i="17" a="1"/>
  <c r="AR52" i="17" s="1"/>
  <c r="AR50" i="17" a="1"/>
  <c r="AR50" i="17" s="1"/>
  <c r="AO18" i="17" a="1"/>
  <c r="AO18" i="17" s="1"/>
  <c r="AR22" i="17" a="1"/>
  <c r="AR22" i="17" s="1"/>
  <c r="AR82" i="17" a="1"/>
  <c r="AR82" i="17" s="1"/>
  <c r="AQ26" i="17" a="1"/>
  <c r="AQ26" i="17" s="1"/>
  <c r="AP6" i="17" a="1"/>
  <c r="AP6" i="17" s="1"/>
  <c r="AQ20" i="17" a="1"/>
  <c r="AQ20" i="17" s="1"/>
  <c r="AO24" i="17" a="1"/>
  <c r="AO24" i="17" s="1"/>
  <c r="AN22" i="17" a="1"/>
  <c r="AN22" i="17" s="1"/>
  <c r="AP48" i="17" a="1"/>
  <c r="AP48" i="17" s="1"/>
  <c r="AT70" i="17" a="1"/>
  <c r="AT70" i="17" s="1"/>
  <c r="X72" i="13" a="1"/>
  <c r="X72" i="13" s="1"/>
  <c r="AO16" i="14" a="1"/>
  <c r="AO16" i="14" s="1"/>
  <c r="AL8" i="14" a="1"/>
  <c r="AL8" i="14" s="1"/>
  <c r="AH76" i="13" a="1"/>
  <c r="AH76" i="13" s="1"/>
  <c r="AJ16" i="13" a="1"/>
  <c r="AJ16" i="13" s="1"/>
  <c r="AM30" i="13" a="1"/>
  <c r="AM30" i="13" s="1"/>
  <c r="AE50" i="13" a="1"/>
  <c r="AE50" i="13" s="1"/>
  <c r="AF16" i="14" a="1"/>
  <c r="AF16" i="14" s="1"/>
  <c r="Y10" i="14" a="1"/>
  <c r="Y10" i="14" s="1"/>
  <c r="AK42" i="13" a="1"/>
  <c r="AK42" i="13" s="1"/>
  <c r="X50" i="13" a="1"/>
  <c r="X50" i="13" s="1"/>
  <c r="AJ70" i="14" a="1"/>
  <c r="AJ70" i="14" s="1"/>
  <c r="AK14" i="14" a="1"/>
  <c r="AK14" i="14" s="1"/>
  <c r="AA40" i="14" a="1"/>
  <c r="AA40" i="14" s="1"/>
  <c r="Y12" i="14" a="1"/>
  <c r="Y12" i="14" s="1"/>
  <c r="AB18" i="13" a="1"/>
  <c r="AB18" i="13" s="1"/>
  <c r="AM22" i="13" a="1"/>
  <c r="AM22" i="13" s="1"/>
  <c r="AP12" i="14" a="1"/>
  <c r="AP12" i="14" s="1"/>
  <c r="AH34" i="13" a="1"/>
  <c r="AH34" i="13" s="1"/>
  <c r="Z86" i="14" a="1"/>
  <c r="Z86" i="14" s="1"/>
  <c r="AO12" i="14" a="1"/>
  <c r="AO12" i="14" s="1"/>
  <c r="AN74" i="14" a="1"/>
  <c r="AN74" i="14" s="1"/>
  <c r="AI10" i="14" a="1"/>
  <c r="AI10" i="14" s="1"/>
  <c r="AB52" i="14" a="1"/>
  <c r="AB52" i="14" s="1"/>
  <c r="AM50" i="13" a="1"/>
  <c r="AM50" i="13" s="1"/>
  <c r="AF14" i="13" a="1"/>
  <c r="AF14" i="13" s="1"/>
  <c r="AA16" i="13" a="1"/>
  <c r="AA16" i="13" s="1"/>
  <c r="W20" i="13" a="1"/>
  <c r="W20" i="13" s="1"/>
  <c r="AD18" i="13" a="1"/>
  <c r="AD18" i="13" s="1"/>
  <c r="AO60" i="14" a="1"/>
  <c r="AO60" i="14" s="1"/>
  <c r="AH74" i="13" a="1"/>
  <c r="AH74" i="13" s="1"/>
  <c r="AJ76" i="14" a="1"/>
  <c r="AJ76" i="14" s="1"/>
  <c r="AL84" i="13" a="1"/>
  <c r="AL84" i="13" s="1"/>
  <c r="AR44" i="14" a="1"/>
  <c r="AR44" i="14" s="1"/>
  <c r="AH40" i="14" a="1"/>
  <c r="AH40" i="14" s="1"/>
  <c r="AI44" i="13" a="1"/>
  <c r="AI44" i="13" s="1"/>
  <c r="AI70" i="13" a="1"/>
  <c r="AI70" i="13" s="1"/>
  <c r="AJ36" i="13" a="1"/>
  <c r="AJ36" i="13" s="1"/>
  <c r="AE76" i="13" a="1"/>
  <c r="AE76" i="13" s="1"/>
  <c r="AL40" i="14" a="1"/>
  <c r="AL40" i="14" s="1"/>
  <c r="X70" i="13" a="1"/>
  <c r="X70" i="13" s="1"/>
  <c r="AO42" i="13" a="1"/>
  <c r="AO42" i="13" s="1"/>
  <c r="AR50" i="13" a="1"/>
  <c r="AR50" i="13" s="1"/>
  <c r="AM46" i="14" a="1"/>
  <c r="AM46" i="14" s="1"/>
  <c r="AN32" i="13" a="1"/>
  <c r="AN32" i="13" s="1"/>
  <c r="AN10" i="14" a="1"/>
  <c r="AN10" i="14" s="1"/>
  <c r="X44" i="14" a="1"/>
  <c r="X44" i="14" s="1"/>
  <c r="AN36" i="13" a="1"/>
  <c r="AN36" i="13" s="1"/>
  <c r="AS60" i="13" a="1"/>
  <c r="AS60" i="13" s="1"/>
  <c r="Y30" i="14" a="1"/>
  <c r="Y30" i="14" s="1"/>
  <c r="AM64" i="14" a="1"/>
  <c r="AM64" i="14" s="1"/>
  <c r="AT10" i="14" a="1"/>
  <c r="AT10" i="14" s="1"/>
  <c r="AU26" i="14" a="1"/>
  <c r="AU26" i="14" s="1"/>
  <c r="AI46" i="13" a="1"/>
  <c r="AI46" i="13" s="1"/>
  <c r="Y60" i="13" a="1"/>
  <c r="Y60" i="13" s="1"/>
  <c r="AM74" i="13" a="1"/>
  <c r="AM74" i="13" s="1"/>
  <c r="Y56" i="14" a="1"/>
  <c r="Y56" i="14" s="1"/>
  <c r="AJ26" i="13" a="1"/>
  <c r="AJ26" i="13" s="1"/>
  <c r="AD30" i="13" a="1"/>
  <c r="AD30" i="13" s="1"/>
  <c r="AJ10" i="13" a="1"/>
  <c r="AJ10" i="13" s="1"/>
  <c r="AQ50" i="13" a="1"/>
  <c r="AQ50" i="13" s="1"/>
  <c r="AG66" i="14" a="1"/>
  <c r="AG66" i="14" s="1"/>
  <c r="AL84" i="14" a="1"/>
  <c r="AL84" i="14" s="1"/>
  <c r="AE76" i="14" a="1"/>
  <c r="AE76" i="14" s="1"/>
  <c r="AJ46" i="13" a="1"/>
  <c r="AJ46" i="13" s="1"/>
  <c r="AN78" i="14" a="1"/>
  <c r="AN78" i="14" s="1"/>
  <c r="AC68" i="14" a="1"/>
  <c r="AC68" i="14" s="1"/>
  <c r="AN46" i="14" a="1"/>
  <c r="AN46" i="14" s="1"/>
  <c r="AE68" i="13" a="1"/>
  <c r="AE68" i="13" s="1"/>
  <c r="AE34" i="13" a="1"/>
  <c r="AE34" i="13" s="1"/>
  <c r="AD60" i="14" a="1"/>
  <c r="AD60" i="14" s="1"/>
  <c r="AP80" i="14" a="1"/>
  <c r="AP80" i="14" s="1"/>
  <c r="Z22" i="14" a="1"/>
  <c r="Z22" i="14" s="1"/>
  <c r="X78" i="13" a="1"/>
  <c r="X78" i="13" s="1"/>
  <c r="AG36" i="14" a="1"/>
  <c r="AG36" i="14" s="1"/>
  <c r="AF78" i="14" a="1"/>
  <c r="AF78" i="14" s="1"/>
  <c r="AC34" i="14" a="1"/>
  <c r="AC34" i="14" s="1"/>
  <c r="AD72" i="13" a="1"/>
  <c r="AD72" i="13" s="1"/>
  <c r="AD24" i="13" a="1"/>
  <c r="AD24" i="13" s="1"/>
  <c r="AF50" i="14" a="1"/>
  <c r="AF50" i="14" s="1"/>
  <c r="AN28" i="13" a="1"/>
  <c r="AN28" i="13" s="1"/>
  <c r="AQ16" i="14" a="1"/>
  <c r="AQ16" i="14" s="1"/>
  <c r="AR18" i="14" a="1"/>
  <c r="AR18" i="14" s="1"/>
  <c r="AP76" i="14" a="1"/>
  <c r="AP76" i="14" s="1"/>
  <c r="AC52" i="14" a="1"/>
  <c r="AC52" i="14" s="1"/>
  <c r="AA46" i="14" a="1"/>
  <c r="AA46" i="14" s="1"/>
  <c r="AS74" i="13" a="1"/>
  <c r="AS74" i="13" s="1"/>
  <c r="X44" i="13" a="1"/>
  <c r="X44" i="13" s="1"/>
  <c r="AO74" i="14" a="1"/>
  <c r="AO74" i="14" s="1"/>
  <c r="AG38" i="13" a="1"/>
  <c r="AG38" i="13" s="1"/>
  <c r="AC20" i="14" a="1"/>
  <c r="AC20" i="14" s="1"/>
  <c r="AG30" i="13" a="1"/>
  <c r="AG30" i="13" s="1"/>
  <c r="AB12" i="13" a="1"/>
  <c r="AB12" i="13" s="1"/>
  <c r="X46" i="13" a="1"/>
  <c r="X46" i="13" s="1"/>
  <c r="AK54" i="14" a="1"/>
  <c r="AK54" i="14" s="1"/>
  <c r="AK34" i="14" a="1"/>
  <c r="AK34" i="14" s="1"/>
  <c r="AM70" i="13" a="1"/>
  <c r="AM70" i="13" s="1"/>
  <c r="AN30" i="14" a="1"/>
  <c r="AN30" i="14" s="1"/>
  <c r="AL20" i="14" a="1"/>
  <c r="AL20" i="14" s="1"/>
  <c r="AO66" i="13" a="1"/>
  <c r="AO66" i="13" s="1"/>
  <c r="AK46" i="14" a="1"/>
  <c r="AK46" i="14" s="1"/>
  <c r="AF66" i="13" a="1"/>
  <c r="AF66" i="13" s="1"/>
  <c r="AS18" i="14" a="1"/>
  <c r="AS18" i="14" s="1"/>
  <c r="AS58" i="14" a="1"/>
  <c r="AS58" i="14" s="1"/>
  <c r="AC64" i="14" a="1"/>
  <c r="AC64" i="14" s="1"/>
  <c r="AI68" i="14" a="1"/>
  <c r="AI68" i="14" s="1"/>
  <c r="AN22" i="14" a="1"/>
  <c r="AN22" i="14" s="1"/>
  <c r="AT80" i="14" a="1"/>
  <c r="AT80" i="14" s="1"/>
  <c r="AT18" i="14" a="1"/>
  <c r="AT18" i="14" s="1"/>
  <c r="AE66" i="13" a="1"/>
  <c r="AE66" i="13" s="1"/>
  <c r="AI84" i="14" a="1"/>
  <c r="AI84" i="14" s="1"/>
  <c r="Z78" i="14" a="1"/>
  <c r="Z78" i="14" s="1"/>
  <c r="Z68" i="13" a="1"/>
  <c r="Z68" i="13" s="1"/>
  <c r="AM64" i="13" a="1"/>
  <c r="AM64" i="13" s="1"/>
  <c r="Z46" i="13" a="1"/>
  <c r="Z46" i="13" s="1"/>
  <c r="AL22" i="13" a="1"/>
  <c r="AL22" i="13" s="1"/>
  <c r="AF12" i="13" a="1"/>
  <c r="AF12" i="13" s="1"/>
  <c r="Y30" i="13" a="1"/>
  <c r="Y30" i="13" s="1"/>
  <c r="AE6" i="13" a="1"/>
  <c r="AE6" i="13" s="1"/>
  <c r="AM18" i="13" a="1"/>
  <c r="AM18" i="13" s="1"/>
  <c r="AF8" i="14" a="1"/>
  <c r="AF8" i="14" s="1"/>
  <c r="AH44" i="14" a="1"/>
  <c r="AH44" i="14" s="1"/>
  <c r="AD10" i="13" a="1"/>
  <c r="AD10" i="13" s="1"/>
  <c r="AA28" i="14" a="1"/>
  <c r="AA28" i="14" s="1"/>
  <c r="AB74" i="13" a="1"/>
  <c r="AB74" i="13" s="1"/>
  <c r="AU52" i="14" a="1"/>
  <c r="AU52" i="14" s="1"/>
  <c r="AF46" i="14" a="1"/>
  <c r="AF46" i="14" s="1"/>
  <c r="AN82" i="13" a="1"/>
  <c r="AN82" i="13" s="1"/>
  <c r="AL44" i="14" a="1"/>
  <c r="AL44" i="14" s="1"/>
  <c r="AN86" i="13" a="1"/>
  <c r="AN86" i="13" s="1"/>
  <c r="Y24" i="13" a="1"/>
  <c r="Y24" i="13" s="1"/>
  <c r="AD70" i="14" a="1"/>
  <c r="AD70" i="14" s="1"/>
  <c r="AT40" i="14" a="1"/>
  <c r="AT40" i="14" s="1"/>
  <c r="AE54" i="13" a="1"/>
  <c r="AE54" i="13" s="1"/>
  <c r="AE30" i="14" a="1"/>
  <c r="AE30" i="14" s="1"/>
  <c r="AC46" i="13" a="1"/>
  <c r="AC46" i="13" s="1"/>
  <c r="AL78" i="14" a="1"/>
  <c r="AL78" i="14" s="1"/>
  <c r="AQ36" i="14" a="1"/>
  <c r="AQ36" i="14" s="1"/>
  <c r="AA8" i="13" a="1"/>
  <c r="AA8" i="13" s="1"/>
  <c r="AJ68" i="13" a="1"/>
  <c r="AJ68" i="13" s="1"/>
  <c r="AI54" i="13" a="1"/>
  <c r="AI54" i="13" s="1"/>
  <c r="AA46" i="13" a="1"/>
  <c r="AA46" i="13" s="1"/>
  <c r="AG26" i="14" a="1"/>
  <c r="AG26" i="14" s="1"/>
  <c r="AC42" i="14" a="1"/>
  <c r="AC42" i="14" s="1"/>
  <c r="AM58" i="14" a="1"/>
  <c r="AM58" i="14" s="1"/>
  <c r="AG40" i="14" a="1"/>
  <c r="AG40" i="14" s="1"/>
  <c r="AS74" i="14" a="1"/>
  <c r="AS74" i="14" s="1"/>
  <c r="AL72" i="14" a="1"/>
  <c r="AL72" i="14" s="1"/>
  <c r="AG68" i="13" a="1"/>
  <c r="AG68" i="13" s="1"/>
  <c r="AG56" i="13" a="1"/>
  <c r="AG56" i="13" s="1"/>
  <c r="AA76" i="14" a="1"/>
  <c r="AA76" i="14" s="1"/>
  <c r="AJ74" i="14" a="1"/>
  <c r="AJ74" i="14" s="1"/>
  <c r="AE12" i="14" a="1"/>
  <c r="AE12" i="14" s="1"/>
  <c r="AP58" i="14" a="1"/>
  <c r="AP58" i="14" s="1"/>
  <c r="AN22" i="13" a="1"/>
  <c r="AN22" i="13" s="1"/>
  <c r="AQ60" i="14" a="1"/>
  <c r="AQ60" i="14" s="1"/>
  <c r="AC44" i="14" a="1"/>
  <c r="AC44" i="14" s="1"/>
  <c r="AE28" i="13" a="1"/>
  <c r="AE28" i="13" s="1"/>
  <c r="AI40" i="13" a="1"/>
  <c r="AI40" i="13" s="1"/>
  <c r="AU80" i="14" a="1"/>
  <c r="AU80" i="14" s="1"/>
  <c r="Y50" i="13" a="1"/>
  <c r="Y50" i="13" s="1"/>
  <c r="AM44" i="13" a="1"/>
  <c r="AM44" i="13" s="1"/>
  <c r="Y62" i="13" a="1"/>
  <c r="Y62" i="13" s="1"/>
  <c r="AP62" i="14" a="1"/>
  <c r="AP62" i="14" s="1"/>
  <c r="AS54" i="13" a="1"/>
  <c r="AS54" i="13" s="1"/>
  <c r="AA56" i="13" a="1"/>
  <c r="AA56" i="13" s="1"/>
  <c r="AQ74" i="14" a="1"/>
  <c r="AQ74" i="14" s="1"/>
  <c r="AP26" i="14" a="1"/>
  <c r="AP26" i="14" s="1"/>
  <c r="AA64" i="13" a="1"/>
  <c r="AA64" i="13" s="1"/>
  <c r="AR46" i="13" a="1"/>
  <c r="AR46" i="13" s="1"/>
  <c r="Z62" i="14" a="1"/>
  <c r="Z62" i="14" s="1"/>
  <c r="AG84" i="14" a="1"/>
  <c r="AG84" i="14" s="1"/>
  <c r="AO30" i="14" a="1"/>
  <c r="AO30" i="14" s="1"/>
  <c r="AD22" i="13" a="1"/>
  <c r="AD22" i="13" s="1"/>
  <c r="AT62" i="13" a="1"/>
  <c r="AT62" i="13" s="1"/>
  <c r="AQ66" i="14" a="1"/>
  <c r="AQ66" i="14" s="1"/>
  <c r="AT30" i="14" a="1"/>
  <c r="AT30" i="14" s="1"/>
  <c r="AT60" i="13" a="1"/>
  <c r="AT60" i="13" s="1"/>
  <c r="AR24" i="14" a="1"/>
  <c r="AR24" i="14" s="1"/>
  <c r="AE48" i="14" a="1"/>
  <c r="AE48" i="14" s="1"/>
  <c r="AT26" i="14" a="1"/>
  <c r="AT26" i="14" s="1"/>
  <c r="AP70" i="14" a="1"/>
  <c r="AP70" i="14" s="1"/>
  <c r="AK20" i="13" a="1"/>
  <c r="AK20" i="13" s="1"/>
  <c r="AM26" i="14" a="1"/>
  <c r="AM26" i="14" s="1"/>
  <c r="AL86" i="14" a="1"/>
  <c r="AL86" i="14" s="1"/>
  <c r="AM82" i="13" a="1"/>
  <c r="AM82" i="13" s="1"/>
  <c r="AR60" i="13" a="1"/>
  <c r="AR60" i="13" s="1"/>
  <c r="AC60" i="14" a="1"/>
  <c r="AC60" i="14" s="1"/>
  <c r="AH34" i="14" a="1"/>
  <c r="AH34" i="14" s="1"/>
  <c r="AD68" i="13" a="1"/>
  <c r="AD68" i="13" s="1"/>
  <c r="AM86" i="13" a="1"/>
  <c r="AM86" i="13" s="1"/>
  <c r="AC62" i="14" a="1"/>
  <c r="AC62" i="14" s="1"/>
  <c r="Z76" i="14" a="1"/>
  <c r="Z76" i="14" s="1"/>
  <c r="AJ12" i="14" a="1"/>
  <c r="AJ12" i="14" s="1"/>
  <c r="AK72" i="13" a="1"/>
  <c r="AK72" i="13" s="1"/>
  <c r="AP44" i="14" a="1"/>
  <c r="AP44" i="14" s="1"/>
  <c r="AR62" i="13" a="1"/>
  <c r="AR62" i="13" s="1"/>
  <c r="AC84" i="13" a="1"/>
  <c r="AC84" i="13" s="1"/>
  <c r="AQ70" i="13" a="1"/>
  <c r="AQ70" i="13" s="1"/>
  <c r="AU6" i="14" a="1"/>
  <c r="AU6" i="14" s="1"/>
  <c r="AC78" i="14" a="1"/>
  <c r="AC78" i="14" s="1"/>
  <c r="AB46" i="13" a="1"/>
  <c r="AB46" i="13" s="1"/>
  <c r="AD36" i="13" a="1"/>
  <c r="AD36" i="13" s="1"/>
  <c r="AI76" i="13" a="1"/>
  <c r="AI76" i="13" s="1"/>
  <c r="AO26" i="14" a="1"/>
  <c r="AO26" i="14" s="1"/>
  <c r="AH8" i="14" a="1"/>
  <c r="AH8" i="14" s="1"/>
  <c r="AO40" i="13" a="1"/>
  <c r="AO40" i="13" s="1"/>
  <c r="AU54" i="14" a="1"/>
  <c r="AU54" i="14" s="1"/>
  <c r="AO66" i="14" a="1"/>
  <c r="AO66" i="14" s="1"/>
  <c r="AG12" i="14" a="1"/>
  <c r="AG12" i="14" s="1"/>
  <c r="AF66" i="14" a="1"/>
  <c r="AF66" i="14" s="1"/>
  <c r="AI16" i="13" a="1"/>
  <c r="AI16" i="13" s="1"/>
  <c r="AB32" i="14" a="1"/>
  <c r="AB32" i="14" s="1"/>
  <c r="AB86" i="14" a="1"/>
  <c r="AB86" i="14" s="1"/>
  <c r="Y8" i="14" a="1"/>
  <c r="Y8" i="14" s="1"/>
  <c r="AK26" i="13" a="1"/>
  <c r="AK26" i="13" s="1"/>
  <c r="AL72" i="13" a="1"/>
  <c r="AL72" i="13" s="1"/>
  <c r="AH52" i="13" a="1"/>
  <c r="AH52" i="13" s="1"/>
  <c r="AC44" i="13" a="1"/>
  <c r="AC44" i="13" s="1"/>
  <c r="AQ48" i="13" a="1"/>
  <c r="AQ48" i="13" s="1"/>
  <c r="AR56" i="13" a="1"/>
  <c r="AR56" i="13" s="1"/>
  <c r="AS8" i="14" a="1"/>
  <c r="AS8" i="14" s="1"/>
  <c r="AN8" i="14" a="1"/>
  <c r="AN8" i="14" s="1"/>
  <c r="AD66" i="14" a="1"/>
  <c r="AD66" i="14" s="1"/>
  <c r="AQ8" i="13" a="1"/>
  <c r="AQ8" i="13" s="1"/>
  <c r="AA28" i="13" a="1"/>
  <c r="AA28" i="13" s="1"/>
  <c r="AS42" i="14" a="1"/>
  <c r="AS42" i="14" s="1"/>
  <c r="AG76" i="14" a="1"/>
  <c r="AG76" i="14" s="1"/>
  <c r="AR22" i="13" a="1"/>
  <c r="AR22" i="13" s="1"/>
  <c r="AD28" i="14" a="1"/>
  <c r="AD28" i="14" s="1"/>
  <c r="AM80" i="14" a="1"/>
  <c r="AM80" i="14" s="1"/>
  <c r="AR34" i="14" a="1"/>
  <c r="AR34" i="14" s="1"/>
  <c r="AT82" i="13" a="1"/>
  <c r="AT82" i="13" s="1"/>
  <c r="Y78" i="14" a="1"/>
  <c r="Y78" i="14" s="1"/>
  <c r="AM50" i="14" a="1"/>
  <c r="AM50" i="14" s="1"/>
  <c r="AR40" i="14" a="1"/>
  <c r="AR40" i="14" s="1"/>
  <c r="AA58" i="14" a="1"/>
  <c r="AA58" i="14" s="1"/>
  <c r="AI72" i="14" a="1"/>
  <c r="AI72" i="14" s="1"/>
  <c r="AC40" i="13" a="1"/>
  <c r="AC40" i="13" s="1"/>
  <c r="AO50" i="14" a="1"/>
  <c r="AO50" i="14" s="1"/>
  <c r="AP10" i="13" a="1"/>
  <c r="AP10" i="13" s="1"/>
  <c r="AN10" i="13" a="1"/>
  <c r="AN10" i="13" s="1"/>
  <c r="AF30" i="14" a="1"/>
  <c r="AF30" i="14" s="1"/>
  <c r="AM84" i="14" a="1"/>
  <c r="AM84" i="14" s="1"/>
  <c r="AK14" i="13" a="1"/>
  <c r="AK14" i="13" s="1"/>
  <c r="AT38" i="14" a="1"/>
  <c r="AT38" i="14" s="1"/>
  <c r="AL66" i="14" a="1"/>
  <c r="AL66" i="14" s="1"/>
  <c r="AN12" i="14" a="1"/>
  <c r="AN12" i="14" s="1"/>
  <c r="AG12" i="13" a="1"/>
  <c r="AG12" i="13" s="1"/>
  <c r="AN66" i="14" a="1"/>
  <c r="AN66" i="14" s="1"/>
  <c r="AI20" i="13" a="1"/>
  <c r="AI20" i="13" s="1"/>
  <c r="AR16" i="13" a="1"/>
  <c r="AR16" i="13" s="1"/>
  <c r="AK24" i="14" a="1"/>
  <c r="AK24" i="14" s="1"/>
  <c r="Z8" i="13" a="1"/>
  <c r="Z8" i="13" s="1"/>
  <c r="AI78" i="14" a="1"/>
  <c r="AI78" i="14" s="1"/>
  <c r="AM74" i="14" a="1"/>
  <c r="AM74" i="14" s="1"/>
  <c r="AS16" i="13" a="1"/>
  <c r="AS16" i="13" s="1"/>
  <c r="Y20" i="13" a="1"/>
  <c r="Y20" i="13" s="1"/>
  <c r="AK38" i="14" a="1"/>
  <c r="AK38" i="14" s="1"/>
  <c r="AB82" i="14" a="1"/>
  <c r="AB82" i="14" s="1"/>
  <c r="AD48" i="14" a="1"/>
  <c r="AD48" i="14" s="1"/>
  <c r="AG86" i="14" a="1"/>
  <c r="AG86" i="14" s="1"/>
  <c r="AC56" i="14" a="1"/>
  <c r="AC56" i="14" s="1"/>
  <c r="AU20" i="14" a="1"/>
  <c r="AU20" i="14" s="1"/>
  <c r="AP22" i="13" a="1"/>
  <c r="AP22" i="13" s="1"/>
  <c r="AH70" i="14" a="1"/>
  <c r="AH70" i="14" s="1"/>
  <c r="AG62" i="14" a="1"/>
  <c r="AG62" i="14" s="1"/>
  <c r="Z76" i="13" a="1"/>
  <c r="Z76" i="13" s="1"/>
  <c r="AD76" i="14" a="1"/>
  <c r="AD76" i="14" s="1"/>
  <c r="AJ38" i="13" a="1"/>
  <c r="AJ38" i="13" s="1"/>
  <c r="AM34" i="14" a="1"/>
  <c r="AM34" i="14" s="1"/>
  <c r="AR48" i="13" a="1"/>
  <c r="AR48" i="13" s="1"/>
  <c r="AM54" i="14" a="1"/>
  <c r="AM54" i="14" s="1"/>
  <c r="AH24" i="14" a="1"/>
  <c r="AH24" i="14" s="1"/>
  <c r="AC28" i="13" a="1"/>
  <c r="AC28" i="13" s="1"/>
  <c r="AD44" i="14" a="1"/>
  <c r="AD44" i="14" s="1"/>
  <c r="AF40" i="14" a="1"/>
  <c r="AF40" i="14" s="1"/>
  <c r="AI14" i="13" a="1"/>
  <c r="AI14" i="13" s="1"/>
  <c r="Z16" i="14" a="1"/>
  <c r="Z16" i="14" s="1"/>
  <c r="AE50" i="14" a="1"/>
  <c r="AE50" i="14" s="1"/>
  <c r="AO76" i="14" a="1"/>
  <c r="AO76" i="14" s="1"/>
  <c r="AQ18" i="13" a="1"/>
  <c r="AQ18" i="13" s="1"/>
  <c r="AH40" i="13" a="1"/>
  <c r="AH40" i="13" s="1"/>
  <c r="AL48" i="13" a="1"/>
  <c r="AL48" i="13" s="1"/>
  <c r="AJ32" i="13" a="1"/>
  <c r="AJ32" i="13" s="1"/>
  <c r="AQ76" i="13" a="1"/>
  <c r="AQ76" i="13" s="1"/>
  <c r="AS86" i="13" a="1"/>
  <c r="AS86" i="13" s="1"/>
  <c r="AO68" i="14" a="1"/>
  <c r="AO68" i="14" s="1"/>
  <c r="AO32" i="13" a="1"/>
  <c r="AO32" i="13" s="1"/>
  <c r="AB14" i="13" a="1"/>
  <c r="AB14" i="13" s="1"/>
  <c r="AM28" i="13" a="1"/>
  <c r="AM28" i="13" s="1"/>
  <c r="AM86" i="14" a="1"/>
  <c r="AM86" i="14" s="1"/>
  <c r="AA24" i="13" a="1"/>
  <c r="AA24" i="13" s="1"/>
  <c r="AB58" i="13" a="1"/>
  <c r="AB58" i="13" s="1"/>
  <c r="Z42" i="13" a="1"/>
  <c r="Z42" i="13" s="1"/>
  <c r="X56" i="13" a="1"/>
  <c r="X56" i="13" s="1"/>
  <c r="Y20" i="14" a="1"/>
  <c r="Y20" i="14" s="1"/>
  <c r="AS30" i="13" a="1"/>
  <c r="AS30" i="13" s="1"/>
  <c r="AQ12" i="13" a="1"/>
  <c r="AQ12" i="13" s="1"/>
  <c r="X68" i="13" a="1"/>
  <c r="X68" i="13" s="1"/>
  <c r="AC68" i="13" a="1"/>
  <c r="AC68" i="13" s="1"/>
  <c r="AQ76" i="14" a="1"/>
  <c r="AQ76" i="14" s="1"/>
  <c r="AA36" i="13" a="1"/>
  <c r="AA36" i="13" s="1"/>
  <c r="AT34" i="14" a="1"/>
  <c r="AT34" i="14" s="1"/>
  <c r="AU64" i="14" a="1"/>
  <c r="AU64" i="14" s="1"/>
  <c r="AC58" i="13" a="1"/>
  <c r="AC58" i="13" s="1"/>
  <c r="AR32" i="13" a="1"/>
  <c r="AR32" i="13" s="1"/>
  <c r="AA20" i="14" a="1"/>
  <c r="AA20" i="14" s="1"/>
  <c r="AP16" i="13" a="1"/>
  <c r="AP16" i="13" s="1"/>
  <c r="AT6" i="14" a="1"/>
  <c r="AT6" i="14" s="1"/>
  <c r="AD78" i="14" a="1"/>
  <c r="AD78" i="14" s="1"/>
  <c r="AR74" i="13" a="1"/>
  <c r="AR74" i="13" s="1"/>
  <c r="AE36" i="14" a="1"/>
  <c r="AE36" i="14" s="1"/>
  <c r="AG70" i="14" a="1"/>
  <c r="AG70" i="14" s="1"/>
  <c r="AH44" i="13" a="1"/>
  <c r="AH44" i="13" s="1"/>
  <c r="AR26" i="14" a="1"/>
  <c r="AR26" i="14" s="1"/>
  <c r="AN66" i="13" a="1"/>
  <c r="AN66" i="13" s="1"/>
  <c r="AU12" i="14" a="1"/>
  <c r="AU12" i="14" s="1"/>
  <c r="Z74" i="13" a="1"/>
  <c r="Z74" i="13" s="1"/>
  <c r="AQ34" i="13" a="1"/>
  <c r="AQ34" i="13" s="1"/>
  <c r="AI14" i="14" a="1"/>
  <c r="AI14" i="14" s="1"/>
  <c r="AG34" i="14" a="1"/>
  <c r="AG34" i="14" s="1"/>
  <c r="AF18" i="13" a="1"/>
  <c r="AF18" i="13" s="1"/>
  <c r="Z60" i="14" a="1"/>
  <c r="Z60" i="14" s="1"/>
  <c r="AG32" i="13" a="1"/>
  <c r="AG32" i="13" s="1"/>
  <c r="AS86" i="14" a="1"/>
  <c r="AS86" i="14" s="1"/>
  <c r="AN52" i="13" a="1"/>
  <c r="AN52" i="13" s="1"/>
  <c r="Y34" i="14" a="1"/>
  <c r="Y34" i="14" s="1"/>
  <c r="AK18" i="14" a="1"/>
  <c r="AK18" i="14" s="1"/>
  <c r="AJ82" i="14" a="1"/>
  <c r="AJ82" i="14" s="1"/>
  <c r="AQ28" i="13" a="1"/>
  <c r="AQ28" i="13" s="1"/>
  <c r="AB84" i="14" a="1"/>
  <c r="AB84" i="14" s="1"/>
  <c r="AS40" i="14" a="1"/>
  <c r="AS40" i="14" s="1"/>
  <c r="Y82" i="14" a="1"/>
  <c r="Y82" i="14" s="1"/>
  <c r="AT56" i="13" a="1"/>
  <c r="AT56" i="13" s="1"/>
  <c r="Y68" i="14" a="1"/>
  <c r="Y68" i="14" s="1"/>
  <c r="AB54" i="13" a="1"/>
  <c r="AB54" i="13" s="1"/>
  <c r="AP48" i="14" a="1"/>
  <c r="AP48" i="14" s="1"/>
  <c r="AS58" i="13" a="1"/>
  <c r="AS58" i="13" s="1"/>
  <c r="AT74" i="14" a="1"/>
  <c r="AT74" i="14" s="1"/>
  <c r="AE58" i="13" a="1"/>
  <c r="AE58" i="13" s="1"/>
  <c r="AC40" i="14" a="1"/>
  <c r="AC40" i="14" s="1"/>
  <c r="AJ82" i="13" a="1"/>
  <c r="AJ82" i="13" s="1"/>
  <c r="AB70" i="14" a="1"/>
  <c r="AB70" i="14" s="1"/>
  <c r="AL38" i="14" a="1"/>
  <c r="AL38" i="14" s="1"/>
  <c r="AO36" i="13" a="1"/>
  <c r="AO36" i="13" s="1"/>
  <c r="AB68" i="14" a="1"/>
  <c r="AB68" i="14" s="1"/>
  <c r="AB84" i="13" a="1"/>
  <c r="AB84" i="13" s="1"/>
  <c r="AS50" i="14" a="1"/>
  <c r="AS50" i="14" s="1"/>
  <c r="AR82" i="14" a="1"/>
  <c r="AR82" i="14" s="1"/>
  <c r="AN34" i="14" a="1"/>
  <c r="AN34" i="14" s="1"/>
  <c r="AD46" i="14" a="1"/>
  <c r="AD46" i="14" s="1"/>
  <c r="AR60" i="14" a="1"/>
  <c r="AR60" i="14" s="1"/>
  <c r="AP80" i="13" a="1"/>
  <c r="AP80" i="13" s="1"/>
  <c r="AG56" i="14" a="1"/>
  <c r="AG56" i="14" s="1"/>
  <c r="Z34" i="14" a="1"/>
  <c r="Z34" i="14" s="1"/>
  <c r="AH74" i="14" a="1"/>
  <c r="AH74" i="14" s="1"/>
  <c r="AQ42" i="14" a="1"/>
  <c r="AQ42" i="14" s="1"/>
  <c r="AJ40" i="14" a="1"/>
  <c r="AJ40" i="14" s="1"/>
  <c r="AP28" i="13" a="1"/>
  <c r="AP28" i="13" s="1"/>
  <c r="AF6" i="14" a="1"/>
  <c r="AF6" i="14" s="1"/>
  <c r="AA36" i="14" a="1"/>
  <c r="AA36" i="14" s="1"/>
  <c r="AP20" i="13" a="1"/>
  <c r="AP20" i="13" s="1"/>
  <c r="AM8" i="14" a="1"/>
  <c r="AM8" i="14" s="1"/>
  <c r="AJ10" i="14" a="1"/>
  <c r="AJ10" i="14" s="1"/>
  <c r="AS80" i="13" a="1"/>
  <c r="AS80" i="13" s="1"/>
  <c r="Z72" i="14" a="1"/>
  <c r="Z72" i="14" s="1"/>
  <c r="AP62" i="13" a="1"/>
  <c r="AP62" i="13" s="1"/>
  <c r="Z84" i="14" a="1"/>
  <c r="Z84" i="14" s="1"/>
  <c r="AD12" i="13" a="1"/>
  <c r="AD12" i="13" s="1"/>
  <c r="AH10" i="13" a="1"/>
  <c r="AH10" i="13" s="1"/>
  <c r="AD20" i="14" a="1"/>
  <c r="AD20" i="14" s="1"/>
  <c r="AF60" i="13" a="1"/>
  <c r="AF60" i="13" s="1"/>
  <c r="Z62" i="13" a="1"/>
  <c r="Z62" i="13" s="1"/>
  <c r="AT74" i="13" a="1"/>
  <c r="AT74" i="13" s="1"/>
  <c r="AG54" i="13" a="1"/>
  <c r="AG54" i="13" s="1"/>
  <c r="AQ78" i="13" a="1"/>
  <c r="AQ78" i="13" s="1"/>
  <c r="AP76" i="13" a="1"/>
  <c r="AP76" i="13" s="1"/>
  <c r="AD82" i="14" a="1"/>
  <c r="AD82" i="14" s="1"/>
  <c r="AA22" i="14" a="1"/>
  <c r="AA22" i="14" s="1"/>
  <c r="AG44" i="14" a="1"/>
  <c r="AG44" i="14" s="1"/>
  <c r="X52" i="13" a="1"/>
  <c r="X52" i="13" s="1"/>
  <c r="AS38" i="14" a="1"/>
  <c r="AS38" i="14" s="1"/>
  <c r="AF80" i="13" a="1"/>
  <c r="AF80" i="13" s="1"/>
  <c r="AG86" i="13" a="1"/>
  <c r="AG86" i="13" s="1"/>
  <c r="AJ86" i="13" a="1"/>
  <c r="AJ86" i="13" s="1"/>
  <c r="AL64" i="14" a="1"/>
  <c r="AL64" i="14" s="1"/>
  <c r="AI38" i="13" a="1"/>
  <c r="AI38" i="13" s="1"/>
  <c r="AM8" i="13" a="1"/>
  <c r="AM8" i="13" s="1"/>
  <c r="Y78" i="13" a="1"/>
  <c r="Y78" i="13" s="1"/>
  <c r="AT70" i="14" a="1"/>
  <c r="AT70" i="14" s="1"/>
  <c r="AK56" i="14" a="1"/>
  <c r="AK56" i="14" s="1"/>
  <c r="AQ24" i="13" a="1"/>
  <c r="AQ24" i="13" s="1"/>
  <c r="AS28" i="13" a="1"/>
  <c r="AS28" i="13" s="1"/>
  <c r="AH18" i="14" a="1"/>
  <c r="AH18" i="14" s="1"/>
  <c r="AK50" i="14" a="1"/>
  <c r="AK50" i="14" s="1"/>
  <c r="AS10" i="14" a="1"/>
  <c r="AS10" i="14" s="1"/>
  <c r="AA86" i="14" a="1"/>
  <c r="AA86" i="14" s="1"/>
  <c r="AO30" i="13" a="1"/>
  <c r="AO30" i="13" s="1"/>
  <c r="Y82" i="13" a="1"/>
  <c r="Y82" i="13" s="1"/>
  <c r="AR12" i="14" a="1"/>
  <c r="AR12" i="14" s="1"/>
  <c r="AS24" i="13" a="1"/>
  <c r="AS24" i="13" s="1"/>
  <c r="AL6" i="14" a="1"/>
  <c r="AL6" i="14" s="1"/>
  <c r="AB52" i="13" a="1"/>
  <c r="AB52" i="13" s="1"/>
  <c r="AI62" i="14" a="1"/>
  <c r="AI62" i="14" s="1"/>
  <c r="Y48" i="14" a="1"/>
  <c r="Y48" i="14" s="1"/>
  <c r="AQ26" i="14" a="1"/>
  <c r="AQ26" i="14" s="1"/>
  <c r="AO20" i="14" a="1"/>
  <c r="AO20" i="14" s="1"/>
  <c r="AO78" i="14" a="1"/>
  <c r="AO78" i="14" s="1"/>
  <c r="AK54" i="13" a="1"/>
  <c r="AK54" i="13" s="1"/>
  <c r="AG6" i="13" a="1"/>
  <c r="AG6" i="13" s="1"/>
  <c r="AF62" i="13" a="1"/>
  <c r="AF62" i="13" s="1"/>
  <c r="AK66" i="13" a="1"/>
  <c r="AK66" i="13" s="1"/>
  <c r="AS56" i="14" a="1"/>
  <c r="AS56" i="14" s="1"/>
  <c r="AO78" i="13" a="1"/>
  <c r="AO78" i="13" s="1"/>
  <c r="X14" i="13" a="1"/>
  <c r="X14" i="13" s="1"/>
  <c r="AL60" i="14" a="1"/>
  <c r="AL60" i="14" s="1"/>
  <c r="AO14" i="13" a="1"/>
  <c r="AO14" i="13" s="1"/>
  <c r="AM54" i="13" a="1"/>
  <c r="AM54" i="13" s="1"/>
  <c r="Y86" i="14" a="1"/>
  <c r="Y86" i="14" s="1"/>
  <c r="AB40" i="13" a="1"/>
  <c r="AB40" i="13" s="1"/>
  <c r="AA26" i="14" a="1"/>
  <c r="AA26" i="14" s="1"/>
  <c r="AI52" i="14" a="1"/>
  <c r="AI52" i="14" s="1"/>
  <c r="Z58" i="13" a="1"/>
  <c r="Z58" i="13" s="1"/>
  <c r="AR48" i="14" a="1"/>
  <c r="AR48" i="14" s="1"/>
  <c r="AO46" i="14" a="1"/>
  <c r="AO46" i="14" s="1"/>
  <c r="AT34" i="13" a="1"/>
  <c r="AT34" i="13" s="1"/>
  <c r="AQ84" i="14" a="1"/>
  <c r="AQ84" i="14" s="1"/>
  <c r="AF68" i="13" a="1"/>
  <c r="AF68" i="13" s="1"/>
  <c r="AO48" i="13" a="1"/>
  <c r="AO48" i="13" s="1"/>
  <c r="AC64" i="13" a="1"/>
  <c r="AC64" i="13" s="1"/>
  <c r="AC86" i="13" a="1"/>
  <c r="AC86" i="13" s="1"/>
  <c r="AF80" i="14" a="1"/>
  <c r="AF80" i="14" s="1"/>
  <c r="Y12" i="13" a="1"/>
  <c r="Y12" i="13" s="1"/>
  <c r="AL76" i="14" a="1"/>
  <c r="AL76" i="14" s="1"/>
  <c r="AP14" i="13" a="1"/>
  <c r="AP14" i="13" s="1"/>
  <c r="X10" i="13" a="1"/>
  <c r="X10" i="13" s="1"/>
  <c r="AL10" i="13" a="1"/>
  <c r="AL10" i="13" s="1"/>
  <c r="AI58" i="14" a="1"/>
  <c r="AI58" i="14" s="1"/>
  <c r="AN76" i="13" a="1"/>
  <c r="AN76" i="13" s="1"/>
  <c r="AE78" i="14" a="1"/>
  <c r="AE78" i="14" s="1"/>
  <c r="AM12" i="13" a="1"/>
  <c r="AM12" i="13" s="1"/>
  <c r="AR56" i="14" a="1"/>
  <c r="AR56" i="14" s="1"/>
  <c r="AC48" i="13" a="1"/>
  <c r="AC48" i="13" s="1"/>
  <c r="AQ38" i="13" a="1"/>
  <c r="AQ38" i="13" s="1"/>
  <c r="AK28" i="14" a="1"/>
  <c r="AK28" i="14" s="1"/>
  <c r="AK64" i="14" a="1"/>
  <c r="AK64" i="14" s="1"/>
  <c r="AJ28" i="14" a="1"/>
  <c r="AJ28" i="14" s="1"/>
  <c r="AC84" i="14" a="1"/>
  <c r="AC84" i="14" s="1"/>
  <c r="AM48" i="13" a="1"/>
  <c r="AM48" i="13" s="1"/>
  <c r="AM22" i="14" a="1"/>
  <c r="AM22" i="14" s="1"/>
  <c r="AQ32" i="13" a="1"/>
  <c r="AQ32" i="13" s="1"/>
  <c r="AO20" i="13" a="1"/>
  <c r="AO20" i="13" s="1"/>
  <c r="AJ6" i="14" a="1"/>
  <c r="AJ6" i="14" s="1"/>
  <c r="AI6" i="13" a="1"/>
  <c r="AI6" i="13" s="1"/>
  <c r="AP84" i="13" a="1"/>
  <c r="AP84" i="13" s="1"/>
  <c r="AP24" i="13" a="1"/>
  <c r="AP24" i="13" s="1"/>
  <c r="AD66" i="13" a="1"/>
  <c r="AD66" i="13" s="1"/>
  <c r="AF84" i="13" a="1"/>
  <c r="AF84" i="13" s="1"/>
  <c r="AQ58" i="14" a="1"/>
  <c r="AQ58" i="14" s="1"/>
  <c r="AD70" i="13" a="1"/>
  <c r="AD70" i="13" s="1"/>
  <c r="AF58" i="14" a="1"/>
  <c r="AF58" i="14" s="1"/>
  <c r="AL70" i="14" a="1"/>
  <c r="AL70" i="14" s="1"/>
  <c r="AL38" i="13" a="1"/>
  <c r="AL38" i="13" s="1"/>
  <c r="AF28" i="13" a="1"/>
  <c r="AF28" i="13" s="1"/>
  <c r="AH38" i="14" a="1"/>
  <c r="AH38" i="14" s="1"/>
  <c r="AR20" i="13" a="1"/>
  <c r="AR20" i="13" s="1"/>
  <c r="AA30" i="14" a="1"/>
  <c r="AA30" i="14" s="1"/>
  <c r="AI56" i="14" a="1"/>
  <c r="AI56" i="14" s="1"/>
  <c r="AH52" i="14" a="1"/>
  <c r="AH52" i="14" s="1"/>
  <c r="AH82" i="14" a="1"/>
  <c r="AH82" i="14" s="1"/>
  <c r="Z44" i="14" a="1"/>
  <c r="Z44" i="14" s="1"/>
  <c r="AH50" i="13" a="1"/>
  <c r="AH50" i="13" s="1"/>
  <c r="AM36" i="13" a="1"/>
  <c r="AM36" i="13" s="1"/>
  <c r="AU40" i="14" a="1"/>
  <c r="AU40" i="14" s="1"/>
  <c r="Y58" i="14" a="1"/>
  <c r="Y58" i="14" s="1"/>
  <c r="AN68" i="14" a="1"/>
  <c r="AN68" i="14" s="1"/>
  <c r="AB58" i="14" a="1"/>
  <c r="AB58" i="14" s="1"/>
  <c r="AQ22" i="13" a="1"/>
  <c r="AQ22" i="13" s="1"/>
  <c r="AK44" i="14" a="1"/>
  <c r="AK44" i="14" s="1"/>
  <c r="AT68" i="14" a="1"/>
  <c r="AT68" i="14" s="1"/>
  <c r="AP12" i="13" a="1"/>
  <c r="AP12" i="13" s="1"/>
  <c r="AP26" i="13" a="1"/>
  <c r="AP26" i="13" s="1"/>
  <c r="AA32" i="14" a="1"/>
  <c r="AA32" i="14" s="1"/>
  <c r="AO48" i="14" a="1"/>
  <c r="AO48" i="14" s="1"/>
  <c r="AM76" i="13" a="1"/>
  <c r="AM76" i="13" s="1"/>
  <c r="AU36" i="14" a="1"/>
  <c r="AU36" i="14" s="1"/>
  <c r="Y38" i="14" a="1"/>
  <c r="Y38" i="14" s="1"/>
  <c r="AD78" i="13" a="1"/>
  <c r="AD78" i="13" s="1"/>
  <c r="AD6" i="14" a="1"/>
  <c r="AD6" i="14" s="1"/>
  <c r="AB24" i="14" a="1"/>
  <c r="AB24" i="14" s="1"/>
  <c r="AF56" i="14" a="1"/>
  <c r="AF56" i="14" s="1"/>
  <c r="AL42" i="14" a="1"/>
  <c r="AL42" i="14" s="1"/>
  <c r="AR36" i="14" a="1"/>
  <c r="AR36" i="14" s="1"/>
  <c r="AN62" i="14" a="1"/>
  <c r="AN62" i="14" s="1"/>
  <c r="AB28" i="13" a="1"/>
  <c r="AB28" i="13" s="1"/>
  <c r="AI18" i="13" a="1"/>
  <c r="AI18" i="13" s="1"/>
  <c r="X40" i="13" a="1"/>
  <c r="X40" i="13" s="1"/>
  <c r="AQ20" i="14" a="1"/>
  <c r="AQ20" i="14" s="1"/>
  <c r="AT24" i="14" a="1"/>
  <c r="AT24" i="14" s="1"/>
  <c r="AG50" i="13" a="1"/>
  <c r="AG50" i="13" s="1"/>
  <c r="X54" i="13" a="1"/>
  <c r="X54" i="13" s="1"/>
  <c r="AI82" i="14" a="1"/>
  <c r="AI82" i="14" s="1"/>
  <c r="AH76" i="14" a="1"/>
  <c r="AH76" i="14" s="1"/>
  <c r="AN24" i="14" a="1"/>
  <c r="AN24" i="14" s="1"/>
  <c r="AO34" i="14" a="1"/>
  <c r="AO34" i="14" s="1"/>
  <c r="AQ74" i="13" a="1"/>
  <c r="AQ74" i="13" s="1"/>
  <c r="AQ36" i="13" a="1"/>
  <c r="AQ36" i="13" s="1"/>
  <c r="AQ30" i="13" a="1"/>
  <c r="AQ30" i="13" s="1"/>
  <c r="AH58" i="14" a="1"/>
  <c r="AH58" i="14" s="1"/>
  <c r="AA82" i="14" a="1"/>
  <c r="AA82" i="14" s="1"/>
  <c r="AO72" i="14" a="1"/>
  <c r="AO72" i="14" s="1"/>
  <c r="X64" i="13" a="1"/>
  <c r="X64" i="13" s="1"/>
  <c r="AI64" i="14" a="1"/>
  <c r="AI64" i="14" s="1"/>
  <c r="AK78" i="13" a="1"/>
  <c r="AK78" i="13" s="1"/>
  <c r="AE40" i="14" a="1"/>
  <c r="AE40" i="14" s="1"/>
  <c r="AM6" i="13" a="1"/>
  <c r="AM6" i="13" s="1"/>
  <c r="AG58" i="14" a="1"/>
  <c r="AG58" i="14" s="1"/>
  <c r="AH36" i="14" a="1"/>
  <c r="AH36" i="14" s="1"/>
  <c r="AR28" i="14" a="1"/>
  <c r="AR28" i="14" s="1"/>
  <c r="AN56" i="14" a="1"/>
  <c r="AN56" i="14" s="1"/>
  <c r="Z18" i="14" a="1"/>
  <c r="Z18" i="14" s="1"/>
  <c r="AF36" i="13" a="1"/>
  <c r="AF36" i="13" s="1"/>
  <c r="AS66" i="14" a="1"/>
  <c r="AS66" i="14" s="1"/>
  <c r="AG6" i="14" a="1"/>
  <c r="AG6" i="14" s="1"/>
  <c r="AG60" i="13" a="1"/>
  <c r="AG60" i="13" s="1"/>
  <c r="AT50" i="13" a="1"/>
  <c r="AT50" i="13" s="1"/>
  <c r="AB12" i="14" a="1"/>
  <c r="AB12" i="14" s="1"/>
  <c r="AN40" i="14" a="1"/>
  <c r="AN40" i="14" s="1"/>
  <c r="AB56" i="13" a="1"/>
  <c r="AB56" i="13" s="1"/>
  <c r="AS28" i="14" a="1"/>
  <c r="AS28" i="14" s="1"/>
  <c r="AR30" i="13" a="1"/>
  <c r="AR30" i="13" s="1"/>
  <c r="AC18" i="14" a="1"/>
  <c r="AC18" i="14" s="1"/>
  <c r="AH10" i="14" a="1"/>
  <c r="AH10" i="14" s="1"/>
  <c r="AA12" i="14" a="1"/>
  <c r="AA12" i="14" s="1"/>
  <c r="AM6" i="14" a="1"/>
  <c r="AM6" i="14" s="1"/>
  <c r="AQ28" i="14" a="1"/>
  <c r="AQ28" i="14" s="1"/>
  <c r="AN42" i="13" a="1"/>
  <c r="AN42" i="13" s="1"/>
  <c r="AK70" i="14" a="1"/>
  <c r="AK70" i="14" s="1"/>
  <c r="AR50" i="14" a="1"/>
  <c r="AR50" i="14" s="1"/>
  <c r="Y66" i="14" a="1"/>
  <c r="Y66" i="14" s="1"/>
  <c r="Z28" i="13" a="1"/>
  <c r="Z28" i="13" s="1"/>
  <c r="AD8" i="13" a="1"/>
  <c r="AD8" i="13" s="1"/>
  <c r="AG24" i="13" a="1"/>
  <c r="AG24" i="13" s="1"/>
  <c r="AL14" i="13" a="1"/>
  <c r="AL14" i="13" s="1"/>
  <c r="AT18" i="13" a="1"/>
  <c r="AT18" i="13" s="1"/>
  <c r="AD24" i="14" a="1"/>
  <c r="AD24" i="14" s="1"/>
  <c r="Y46" i="14" a="1"/>
  <c r="Y46" i="14" s="1"/>
  <c r="AO84" i="14" a="1"/>
  <c r="AO84" i="14" s="1"/>
  <c r="AB78" i="14" a="1"/>
  <c r="AB78" i="14" s="1"/>
  <c r="AG26" i="13" a="1"/>
  <c r="AG26" i="13" s="1"/>
  <c r="AH20" i="13" a="1"/>
  <c r="AH20" i="13" s="1"/>
  <c r="Z54" i="14" a="1"/>
  <c r="Z54" i="14" s="1"/>
  <c r="AP74" i="14" a="1"/>
  <c r="AP74" i="14" s="1"/>
  <c r="AG78" i="14" a="1"/>
  <c r="AG78" i="14" s="1"/>
  <c r="AJ72" i="13" a="1"/>
  <c r="AJ72" i="13" s="1"/>
  <c r="AQ72" i="14" a="1"/>
  <c r="AQ72" i="14" s="1"/>
  <c r="AE56" i="14" a="1"/>
  <c r="AE56" i="14" s="1"/>
  <c r="AG58" i="13" a="1"/>
  <c r="AG58" i="13" s="1"/>
  <c r="AD12" i="14" a="1"/>
  <c r="AD12" i="14" s="1"/>
  <c r="AJ24" i="14" a="1"/>
  <c r="AJ24" i="14" s="1"/>
  <c r="AA52" i="14" a="1"/>
  <c r="AA52" i="14" s="1"/>
  <c r="AO28" i="14" a="1"/>
  <c r="AO28" i="14" s="1"/>
  <c r="Y72" i="13" a="1"/>
  <c r="Y72" i="13" s="1"/>
  <c r="AG78" i="13" a="1"/>
  <c r="AG78" i="13" s="1"/>
  <c r="AH36" i="13" a="1"/>
  <c r="AH36" i="13" s="1"/>
  <c r="AA50" i="14" a="1"/>
  <c r="AA50" i="14" s="1"/>
  <c r="AO52" i="14" a="1"/>
  <c r="AO52" i="14" s="1"/>
  <c r="AE74" i="13" a="1"/>
  <c r="AE74" i="13" s="1"/>
  <c r="AB20" i="14" a="1"/>
  <c r="AB20" i="14" s="1"/>
  <c r="AC70" i="14" a="1"/>
  <c r="AC70" i="14" s="1"/>
  <c r="Z26" i="14" a="1"/>
  <c r="Z26" i="14" s="1"/>
  <c r="Y36" i="14" a="1"/>
  <c r="Y36" i="14" s="1"/>
  <c r="Z82" i="13" a="1"/>
  <c r="Z82" i="13" s="1"/>
  <c r="AE42" i="14" a="1"/>
  <c r="AE42" i="14" s="1"/>
  <c r="AL20" i="13" a="1"/>
  <c r="AL20" i="13" s="1"/>
  <c r="AD22" i="14" a="1"/>
  <c r="AD22" i="14" s="1"/>
  <c r="AC82" i="13" a="1"/>
  <c r="AC82" i="13" s="1"/>
  <c r="AJ64" i="13" a="1"/>
  <c r="AJ64" i="13" s="1"/>
  <c r="AK78" i="14" a="1"/>
  <c r="AK78" i="14" s="1"/>
  <c r="AS34" i="14" a="1"/>
  <c r="AS34" i="14" s="1"/>
  <c r="AC74" i="13" a="1"/>
  <c r="AC74" i="13" s="1"/>
  <c r="AG42" i="14" a="1"/>
  <c r="AG42" i="14" s="1"/>
  <c r="AE82" i="14" a="1"/>
  <c r="AE82" i="14" s="1"/>
  <c r="AM30" i="14" a="1"/>
  <c r="AM30" i="14" s="1"/>
  <c r="AH20" i="14" a="1"/>
  <c r="AH20" i="14" s="1"/>
  <c r="AD60" i="13" a="1"/>
  <c r="AD60" i="13" s="1"/>
  <c r="Z52" i="14" a="1"/>
  <c r="Z52" i="14" s="1"/>
  <c r="AI12" i="13" a="1"/>
  <c r="AI12" i="13" s="1"/>
  <c r="AO82" i="13" a="1"/>
  <c r="AO82" i="13" s="1"/>
  <c r="AG30" i="14" a="1"/>
  <c r="AG30" i="14" s="1"/>
  <c r="AS82" i="13" a="1"/>
  <c r="AS82" i="13" s="1"/>
  <c r="AP50" i="13" a="1"/>
  <c r="AP50" i="13" s="1"/>
  <c r="AJ50" i="14" a="1"/>
  <c r="AJ50" i="14" s="1"/>
  <c r="AL12" i="14" a="1"/>
  <c r="AL12" i="14" s="1"/>
  <c r="AK36" i="13" a="1"/>
  <c r="AK36" i="13" s="1"/>
  <c r="AN44" i="14" a="1"/>
  <c r="AN44" i="14" s="1"/>
  <c r="AG64" i="13" a="1"/>
  <c r="AG64" i="13" s="1"/>
  <c r="AF74" i="13" a="1"/>
  <c r="AF74" i="13" s="1"/>
  <c r="AQ80" i="14" a="1"/>
  <c r="AQ80" i="14" s="1"/>
  <c r="AH46" i="14" a="1"/>
  <c r="AH46" i="14" s="1"/>
  <c r="AK36" i="14" a="1"/>
  <c r="AK36" i="14" s="1"/>
  <c r="AT84" i="14" a="1"/>
  <c r="AT84" i="14" s="1"/>
  <c r="AE74" i="14" a="1"/>
  <c r="AE74" i="14" s="1"/>
  <c r="AS48" i="13" a="1"/>
  <c r="AS48" i="13" s="1"/>
  <c r="AB10" i="13" a="1"/>
  <c r="AB10" i="13" s="1"/>
  <c r="Z30" i="14" a="1"/>
  <c r="Z30" i="14" s="1"/>
  <c r="AS6" i="14" a="1"/>
  <c r="AS6" i="14" s="1"/>
  <c r="X20" i="13" a="1"/>
  <c r="X20" i="13" s="1"/>
  <c r="AT12" i="13" a="1"/>
  <c r="AT12" i="13" s="1"/>
  <c r="AH78" i="13" a="1"/>
  <c r="AH78" i="13" s="1"/>
  <c r="AJ30" i="14" a="1"/>
  <c r="AJ30" i="14" s="1"/>
  <c r="AT78" i="14" a="1"/>
  <c r="AT78" i="14" s="1"/>
  <c r="AI74" i="14" a="1"/>
  <c r="AI74" i="14" s="1"/>
  <c r="AF24" i="14" a="1"/>
  <c r="AF24" i="14" s="1"/>
  <c r="AP72" i="13" a="1"/>
  <c r="AP72" i="13" s="1"/>
  <c r="AC86" i="14" a="1"/>
  <c r="AC86" i="14" s="1"/>
  <c r="AF40" i="13" a="1"/>
  <c r="AF40" i="13" s="1"/>
  <c r="AS32" i="14" a="1"/>
  <c r="AS32" i="14" s="1"/>
  <c r="AO54" i="13" a="1"/>
  <c r="AO54" i="13" s="1"/>
  <c r="AN74" i="13" a="1"/>
  <c r="AN74" i="13" s="1"/>
  <c r="AD32" i="14" a="1"/>
  <c r="AD32" i="14" s="1"/>
  <c r="AT66" i="14" a="1"/>
  <c r="AT66" i="14" s="1"/>
  <c r="AS30" i="14" a="1"/>
  <c r="AS30" i="14" s="1"/>
  <c r="AQ54" i="13" a="1"/>
  <c r="AQ54" i="13" s="1"/>
  <c r="AP40" i="13" a="1"/>
  <c r="AP40" i="13" s="1"/>
  <c r="AQ86" i="14" a="1"/>
  <c r="AQ86" i="14" s="1"/>
  <c r="AH84" i="13" a="1"/>
  <c r="AH84" i="13" s="1"/>
  <c r="AE62" i="13" a="1"/>
  <c r="AE62" i="13" s="1"/>
  <c r="AS6" i="13" a="1"/>
  <c r="AS6" i="13" s="1"/>
  <c r="AB80" i="14" a="1"/>
  <c r="AB80" i="14" s="1"/>
  <c r="X82" i="13" a="1"/>
  <c r="X82" i="13" s="1"/>
  <c r="AN20" i="13" a="1"/>
  <c r="AN20" i="13" s="1"/>
  <c r="AO40" i="14" a="1"/>
  <c r="AO40" i="14" s="1"/>
  <c r="AE38" i="14" a="1"/>
  <c r="AE38" i="14" s="1"/>
  <c r="AN26" i="13" a="1"/>
  <c r="AN26" i="13" s="1"/>
  <c r="AQ42" i="13" a="1"/>
  <c r="AQ42" i="13" s="1"/>
  <c r="AL40" i="13" a="1"/>
  <c r="AL40" i="13" s="1"/>
  <c r="AU48" i="14" a="1"/>
  <c r="AU48" i="14" s="1"/>
  <c r="AQ62" i="14" a="1"/>
  <c r="AQ62" i="14" s="1"/>
  <c r="AG62" i="13" a="1"/>
  <c r="AG62" i="13" s="1"/>
  <c r="AJ84" i="13" a="1"/>
  <c r="AJ84" i="13" s="1"/>
  <c r="AU76" i="14" a="1"/>
  <c r="AU76" i="14" s="1"/>
  <c r="AG54" i="14" a="1"/>
  <c r="AG54" i="14" s="1"/>
  <c r="Y80" i="13" a="1"/>
  <c r="Y80" i="13" s="1"/>
  <c r="AH30" i="13" a="1"/>
  <c r="AH30" i="13" s="1"/>
  <c r="AB66" i="14" a="1"/>
  <c r="AB66" i="14" s="1"/>
  <c r="AH12" i="14" a="1"/>
  <c r="AH12" i="14" s="1"/>
  <c r="AL18" i="13" a="1"/>
  <c r="AL18" i="13" s="1"/>
  <c r="AF62" i="14" a="1"/>
  <c r="AF62" i="14" s="1"/>
  <c r="AC32" i="14" a="1"/>
  <c r="AC32" i="14" s="1"/>
  <c r="AI64" i="13" a="1"/>
  <c r="AI64" i="13" s="1"/>
  <c r="AK8" i="14" a="1"/>
  <c r="AK8" i="14" s="1"/>
  <c r="AE38" i="13" a="1"/>
  <c r="AE38" i="13" s="1"/>
  <c r="AU32" i="14" a="1"/>
  <c r="AU32" i="14" s="1"/>
  <c r="AB68" i="13" a="1"/>
  <c r="AB68" i="13" s="1"/>
  <c r="AD56" i="14" a="1"/>
  <c r="AD56" i="14" s="1"/>
  <c r="AS70" i="14" a="1"/>
  <c r="AS70" i="14" s="1"/>
  <c r="AQ58" i="13" a="1"/>
  <c r="AQ58" i="13" s="1"/>
  <c r="AI34" i="13" a="1"/>
  <c r="AI34" i="13" s="1"/>
  <c r="AM28" i="14" a="1"/>
  <c r="AM28" i="14" s="1"/>
  <c r="AH32" i="13" a="1"/>
  <c r="AH32" i="13" s="1"/>
  <c r="AG66" i="13" a="1"/>
  <c r="AG66" i="13" s="1"/>
  <c r="AB26" i="13" a="1"/>
  <c r="AB26" i="13" s="1"/>
  <c r="Z72" i="13" a="1"/>
  <c r="Z72" i="13" s="1"/>
  <c r="AF52" i="14" a="1"/>
  <c r="AF52" i="14" s="1"/>
  <c r="AO52" i="13" a="1"/>
  <c r="AO52" i="13" s="1"/>
  <c r="AS82" i="14" a="1"/>
  <c r="AS82" i="14" s="1"/>
  <c r="AK30" i="13" a="1"/>
  <c r="AK30" i="13" s="1"/>
  <c r="AJ62" i="13" a="1"/>
  <c r="AJ62" i="13" s="1"/>
  <c r="AL86" i="13" a="1"/>
  <c r="AL86" i="13" s="1"/>
  <c r="AG16" i="14" a="1"/>
  <c r="AG16" i="14" s="1"/>
  <c r="AI36" i="13" a="1"/>
  <c r="AI36" i="13" s="1"/>
  <c r="AN8" i="13" a="1"/>
  <c r="AN8" i="13" s="1"/>
  <c r="AO82" i="14" a="1"/>
  <c r="AO82" i="14" s="1"/>
  <c r="AH70" i="13" a="1"/>
  <c r="AH70" i="13" s="1"/>
  <c r="AG38" i="14" a="1"/>
  <c r="AG38" i="14" s="1"/>
  <c r="AG76" i="13" a="1"/>
  <c r="AG76" i="13" s="1"/>
  <c r="AD76" i="13" a="1"/>
  <c r="AD76" i="13" s="1"/>
  <c r="AN82" i="14" a="1"/>
  <c r="AN82" i="14" s="1"/>
  <c r="AJ46" i="14" a="1"/>
  <c r="AJ46" i="14" s="1"/>
  <c r="AM36" i="14" a="1"/>
  <c r="AM36" i="14" s="1"/>
  <c r="AR76" i="13" a="1"/>
  <c r="AR76" i="13" s="1"/>
  <c r="AK20" i="14" a="1"/>
  <c r="AK20" i="14" s="1"/>
  <c r="AS84" i="13" a="1"/>
  <c r="AS84" i="13" s="1"/>
  <c r="AB34" i="13" a="1"/>
  <c r="AB34" i="13" s="1"/>
  <c r="AO12" i="13" a="1"/>
  <c r="AO12" i="13" s="1"/>
  <c r="AG8" i="13" a="1"/>
  <c r="AG8" i="13" s="1"/>
  <c r="AO22" i="14" a="1"/>
  <c r="AO22" i="14" s="1"/>
  <c r="AE26" i="13" a="1"/>
  <c r="AE26" i="13" s="1"/>
  <c r="AQ24" i="14" a="1"/>
  <c r="AQ24" i="14" s="1"/>
  <c r="AP40" i="14" a="1"/>
  <c r="AP40" i="14" s="1"/>
  <c r="Y56" i="13" a="1"/>
  <c r="Y56" i="13" s="1"/>
  <c r="AH48" i="13" a="1"/>
  <c r="AH48" i="13" s="1"/>
  <c r="X22" i="13" a="1"/>
  <c r="X22" i="13" s="1"/>
  <c r="AM26" i="13" a="1"/>
  <c r="AM26" i="13" s="1"/>
  <c r="AT28" i="13" a="1"/>
  <c r="AT28" i="13" s="1"/>
  <c r="AH82" i="13" a="1"/>
  <c r="AH82" i="13" s="1"/>
  <c r="AG72" i="13" a="1"/>
  <c r="AG72" i="13" s="1"/>
  <c r="AI48" i="14" a="1"/>
  <c r="AI48" i="14" s="1"/>
  <c r="AF26" i="14" a="1"/>
  <c r="AF26" i="14" s="1"/>
  <c r="AN12" i="13" a="1"/>
  <c r="AN12" i="13" s="1"/>
  <c r="AK28" i="13" a="1"/>
  <c r="AK28" i="13" s="1"/>
  <c r="AR80" i="13" a="1"/>
  <c r="AR80" i="13" s="1"/>
  <c r="AU44" i="14" a="1"/>
  <c r="AU44" i="14" s="1"/>
  <c r="AN36" i="14" a="1"/>
  <c r="AN36" i="14" s="1"/>
  <c r="AL36" i="14" a="1"/>
  <c r="AL36" i="14" s="1"/>
  <c r="X26" i="13" a="1"/>
  <c r="X26" i="13" s="1"/>
  <c r="AQ72" i="13" a="1"/>
  <c r="AQ72" i="13" s="1"/>
  <c r="AI70" i="14" a="1"/>
  <c r="AI70" i="14" s="1"/>
  <c r="AF42" i="13" a="1"/>
  <c r="AF42" i="13" s="1"/>
  <c r="AB54" i="14" a="1"/>
  <c r="AB54" i="14" s="1"/>
  <c r="AP14" i="14" a="1"/>
  <c r="AP14" i="14" s="1"/>
  <c r="AT24" i="13" a="1"/>
  <c r="AT24" i="13" s="1"/>
  <c r="AR42" i="13" a="1"/>
  <c r="AR42" i="13" s="1"/>
  <c r="AI60" i="14" a="1"/>
  <c r="AI60" i="14" s="1"/>
  <c r="AL22" i="14" a="1"/>
  <c r="AL22" i="14" s="1"/>
  <c r="AP32" i="13" a="1"/>
  <c r="AP32" i="13" s="1"/>
  <c r="AE60" i="14" a="1"/>
  <c r="AE60" i="14" s="1"/>
  <c r="Z48" i="14" a="1"/>
  <c r="Z48" i="14" s="1"/>
  <c r="Z24" i="14" a="1"/>
  <c r="Z24" i="14" s="1"/>
  <c r="AE70" i="14" a="1"/>
  <c r="AE70" i="14" s="1"/>
  <c r="AU46" i="14" a="1"/>
  <c r="AU46" i="14" s="1"/>
  <c r="AT26" i="13" a="1"/>
  <c r="AT26" i="13" s="1"/>
  <c r="Y50" i="14" a="1"/>
  <c r="Y50" i="14" s="1"/>
  <c r="AD84" i="14" a="1"/>
  <c r="AD84" i="14" s="1"/>
  <c r="AJ34" i="14" a="1"/>
  <c r="AJ34" i="14" s="1"/>
  <c r="AI66" i="14" a="1"/>
  <c r="AI66" i="14" s="1"/>
  <c r="AS22" i="13" a="1"/>
  <c r="AS22" i="13" s="1"/>
  <c r="AB38" i="14" a="1"/>
  <c r="AB38" i="14" s="1"/>
  <c r="Y76" i="14" a="1"/>
  <c r="Y76" i="14" s="1"/>
  <c r="AS12" i="14" a="1"/>
  <c r="AS12" i="14" s="1"/>
  <c r="AN80" i="14" a="1"/>
  <c r="AN80" i="14" s="1"/>
  <c r="AD6" i="13" a="1"/>
  <c r="AD6" i="13" s="1"/>
  <c r="AQ66" i="13" a="1"/>
  <c r="AQ66" i="13" s="1"/>
  <c r="AH30" i="14" a="1"/>
  <c r="AH30" i="14" s="1"/>
  <c r="AR12" i="13" a="1"/>
  <c r="AR12" i="13" s="1"/>
  <c r="AQ12" i="14" a="1"/>
  <c r="AQ12" i="14" s="1"/>
  <c r="AM62" i="14" a="1"/>
  <c r="AM62" i="14" s="1"/>
  <c r="Z68" i="14" a="1"/>
  <c r="Z68" i="14" s="1"/>
  <c r="AH68" i="13" a="1"/>
  <c r="AH68" i="13" s="1"/>
  <c r="AA50" i="13" a="1"/>
  <c r="AA50" i="13" s="1"/>
  <c r="AE44" i="13" a="1"/>
  <c r="AE44" i="13" s="1"/>
  <c r="AA72" i="14" a="1"/>
  <c r="AA72" i="14" s="1"/>
  <c r="Y32" i="14" a="1"/>
  <c r="Y32" i="14" s="1"/>
  <c r="Z6" i="14" a="1"/>
  <c r="Z6" i="14" s="1"/>
  <c r="AN48" i="13" a="1"/>
  <c r="AN48" i="13" s="1"/>
  <c r="AT62" i="14" a="1"/>
  <c r="AT62" i="14" s="1"/>
  <c r="AU28" i="14" a="1"/>
  <c r="AU28" i="14" s="1"/>
  <c r="Y18" i="13" a="1"/>
  <c r="Y18" i="13" s="1"/>
  <c r="AK86" i="13" a="1"/>
  <c r="AK86" i="13" s="1"/>
  <c r="AJ60" i="13" a="1"/>
  <c r="AJ60" i="13" s="1"/>
  <c r="AI86" i="13" a="1"/>
  <c r="AI86" i="13" s="1"/>
  <c r="AP60" i="14" a="1"/>
  <c r="AP60" i="14" s="1"/>
  <c r="AE32" i="13" a="1"/>
  <c r="AE32" i="13" s="1"/>
  <c r="AM16" i="14" a="1"/>
  <c r="AM16" i="14" s="1"/>
  <c r="Y40" i="14" a="1"/>
  <c r="Y40" i="14" s="1"/>
  <c r="AB48" i="14" a="1"/>
  <c r="AB48" i="14" s="1"/>
  <c r="AT56" i="14" a="1"/>
  <c r="AT56" i="14" s="1"/>
  <c r="AH26" i="14" a="1"/>
  <c r="AH26" i="14" s="1"/>
  <c r="AT8" i="13" a="1"/>
  <c r="AT8" i="13" s="1"/>
  <c r="AP48" i="13" a="1"/>
  <c r="AP48" i="13" s="1"/>
  <c r="Z54" i="13" a="1"/>
  <c r="Z54" i="13" s="1"/>
  <c r="AE60" i="13" a="1"/>
  <c r="AE60" i="13" s="1"/>
  <c r="AI48" i="13" a="1"/>
  <c r="AI48" i="13" s="1"/>
  <c r="AO54" i="14" a="1"/>
  <c r="AO54" i="14" s="1"/>
  <c r="AC26" i="13" a="1"/>
  <c r="AC26" i="13" s="1"/>
  <c r="AG68" i="14" a="1"/>
  <c r="AG68" i="14" s="1"/>
  <c r="AK26" i="14" a="1"/>
  <c r="AK26" i="14" s="1"/>
  <c r="X76" i="13" a="1"/>
  <c r="X76" i="13" s="1"/>
  <c r="AS64" i="14" a="1"/>
  <c r="AS64" i="14" s="1"/>
  <c r="AT46" i="14" a="1"/>
  <c r="AT46" i="14" s="1"/>
  <c r="AK64" i="13" a="1"/>
  <c r="AK64" i="13" s="1"/>
  <c r="AM76" i="14" a="1"/>
  <c r="AM76" i="14" s="1"/>
  <c r="AC76" i="13" a="1"/>
  <c r="AC76" i="13" s="1"/>
  <c r="AM82" i="14" a="1"/>
  <c r="AM82" i="14" s="1"/>
  <c r="AB60" i="13" a="1"/>
  <c r="AB60" i="13" s="1"/>
  <c r="Y14" i="14" a="1"/>
  <c r="Y14" i="14" s="1"/>
  <c r="AH64" i="13" a="1"/>
  <c r="AH64" i="13" s="1"/>
  <c r="AR36" i="13" a="1"/>
  <c r="AR36" i="13" s="1"/>
  <c r="AH42" i="14" a="1"/>
  <c r="AH42" i="14" s="1"/>
  <c r="AA38" i="13" a="1"/>
  <c r="AA38" i="13" s="1"/>
  <c r="AT28" i="14" a="1"/>
  <c r="AT28" i="14" s="1"/>
  <c r="Z30" i="13" a="1"/>
  <c r="Z30" i="13" s="1"/>
  <c r="Z12" i="14" a="1"/>
  <c r="Z12" i="14" s="1"/>
  <c r="AR86" i="14" a="1"/>
  <c r="AR86" i="14" s="1"/>
  <c r="AC58" i="14" a="1"/>
  <c r="AC58" i="14" s="1"/>
  <c r="AR74" i="14" a="1"/>
  <c r="AR74" i="14" s="1"/>
  <c r="AF84" i="14" a="1"/>
  <c r="AF84" i="14" s="1"/>
  <c r="AB38" i="13" a="1"/>
  <c r="AB38" i="13" s="1"/>
  <c r="Y52" i="14" a="1"/>
  <c r="Y52" i="14" s="1"/>
  <c r="AS78" i="14" a="1"/>
  <c r="AS78" i="14" s="1"/>
  <c r="AB36" i="14" a="1"/>
  <c r="AB36" i="14" s="1"/>
  <c r="AK60" i="14" a="1"/>
  <c r="AK60" i="14" s="1"/>
  <c r="AL10" i="14" a="1"/>
  <c r="AL10" i="14" s="1"/>
  <c r="AL78" i="13" a="1"/>
  <c r="AL78" i="13" s="1"/>
  <c r="AD30" i="14" a="1"/>
  <c r="AD30" i="14" s="1"/>
  <c r="AU24" i="14" a="1"/>
  <c r="AU24" i="14" s="1"/>
  <c r="AK82" i="14" a="1"/>
  <c r="AK82" i="14" s="1"/>
  <c r="Y42" i="13" a="1"/>
  <c r="Y42" i="13" s="1"/>
  <c r="AC50" i="14" a="1"/>
  <c r="AC50" i="14" s="1"/>
  <c r="AL46" i="14" a="1"/>
  <c r="AL46" i="14" s="1"/>
  <c r="Y6" i="14" a="1"/>
  <c r="Y6" i="14" s="1"/>
  <c r="AO44" i="13" a="1"/>
  <c r="AO44" i="13" s="1"/>
  <c r="AF26" i="13" a="1"/>
  <c r="AF26" i="13" s="1"/>
  <c r="AK84" i="14" a="1"/>
  <c r="AK84" i="14" s="1"/>
  <c r="AJ30" i="13" a="1"/>
  <c r="AJ30" i="13" s="1"/>
  <c r="AC16" i="13" a="1"/>
  <c r="AC16" i="13" s="1"/>
  <c r="Y6" i="13" a="1"/>
  <c r="Y6" i="13" s="1"/>
  <c r="Z56" i="14" a="1"/>
  <c r="Z56" i="14" s="1"/>
  <c r="AP36" i="14" a="1"/>
  <c r="AP36" i="14" s="1"/>
  <c r="AK80" i="14" a="1"/>
  <c r="AK80" i="14" s="1"/>
  <c r="AO38" i="13" a="1"/>
  <c r="AO38" i="13" s="1"/>
  <c r="Z78" i="13" a="1"/>
  <c r="Z78" i="13" s="1"/>
  <c r="AJ60" i="14" a="1"/>
  <c r="AJ60" i="14" s="1"/>
  <c r="AQ68" i="14" a="1"/>
  <c r="AQ68" i="14" s="1"/>
  <c r="Y58" i="13" a="1"/>
  <c r="Y58" i="13" s="1"/>
  <c r="AI80" i="13" a="1"/>
  <c r="AI80" i="13" s="1"/>
  <c r="AS24" i="14" a="1"/>
  <c r="AS24" i="14" s="1"/>
  <c r="AO42" i="14" a="1"/>
  <c r="AO42" i="14" s="1"/>
  <c r="AF70" i="13" a="1"/>
  <c r="AF70" i="13" s="1"/>
  <c r="AP54" i="13" a="1"/>
  <c r="AP54" i="13" s="1"/>
  <c r="AE10" i="13" a="1"/>
  <c r="AE10" i="13" s="1"/>
  <c r="AC62" i="13" a="1"/>
  <c r="AC62" i="13" s="1"/>
  <c r="AE34" i="14" a="1"/>
  <c r="AE34" i="14" s="1"/>
  <c r="AT58" i="14" a="1"/>
  <c r="AT58" i="14" s="1"/>
  <c r="AL82" i="13" a="1"/>
  <c r="AL82" i="13" s="1"/>
  <c r="AH78" i="14" a="1"/>
  <c r="AH78" i="14" s="1"/>
  <c r="AC6" i="14" a="1"/>
  <c r="AC6" i="14" s="1"/>
  <c r="AP50" i="14" a="1"/>
  <c r="AP50" i="14" s="1"/>
  <c r="AB42" i="13" a="1"/>
  <c r="AB42" i="13" s="1"/>
  <c r="AS62" i="14" a="1"/>
  <c r="AS62" i="14" s="1"/>
  <c r="AM84" i="13" a="1"/>
  <c r="AM84" i="13" s="1"/>
  <c r="AG14" i="14" a="1"/>
  <c r="AG14" i="14" s="1"/>
  <c r="AJ18" i="14" a="1"/>
  <c r="AJ18" i="14" s="1"/>
  <c r="AP86" i="14" a="1"/>
  <c r="AP86" i="14" s="1"/>
  <c r="AG28" i="14" a="1"/>
  <c r="AG28" i="14" s="1"/>
  <c r="Y54" i="13" a="1"/>
  <c r="Y54" i="13" s="1"/>
  <c r="AM44" i="14" a="1"/>
  <c r="AM44" i="14" s="1"/>
  <c r="AP78" i="13" a="1"/>
  <c r="AP78" i="13" s="1"/>
  <c r="AH48" i="14" a="1"/>
  <c r="AH48" i="14" s="1"/>
  <c r="AA6" i="13" a="1"/>
  <c r="AA6" i="13" s="1"/>
  <c r="Y80" i="14" a="1"/>
  <c r="Y80" i="14" s="1"/>
  <c r="AD16" i="14" a="1"/>
  <c r="AD16" i="14" s="1"/>
  <c r="AP52" i="14" a="1"/>
  <c r="AP52" i="14" s="1"/>
  <c r="AO8" i="14" a="1"/>
  <c r="AO8" i="14" s="1"/>
  <c r="AP18" i="14" a="1"/>
  <c r="AP18" i="14" s="1"/>
  <c r="AT6" i="13" a="1"/>
  <c r="AT6" i="13" s="1"/>
  <c r="AI50" i="14" a="1"/>
  <c r="AI50" i="14" s="1"/>
  <c r="AI36" i="14" a="1"/>
  <c r="AI36" i="14" s="1"/>
  <c r="AP10" i="14" a="1"/>
  <c r="AP10" i="14" s="1"/>
  <c r="AF44" i="14" a="1"/>
  <c r="AF44" i="14" s="1"/>
  <c r="AK30" i="14" a="1"/>
  <c r="AK30" i="14" s="1"/>
  <c r="Z66" i="14" a="1"/>
  <c r="Z66" i="14" s="1"/>
  <c r="AT86" i="14" a="1"/>
  <c r="AT86" i="14" s="1"/>
  <c r="AK80" i="13" a="1"/>
  <c r="AK80" i="13" s="1"/>
  <c r="AE64" i="13" a="1"/>
  <c r="AE64" i="13" s="1"/>
  <c r="AO64" i="13" a="1"/>
  <c r="AO64" i="13" s="1"/>
  <c r="AM20" i="14" a="1"/>
  <c r="AM20" i="14" s="1"/>
  <c r="AO6" i="13" a="1"/>
  <c r="AO6" i="13" s="1"/>
  <c r="AT68" i="13" a="1"/>
  <c r="AT68" i="13" s="1"/>
  <c r="AS80" i="14" a="1"/>
  <c r="AS80" i="14" s="1"/>
  <c r="AA72" i="13" a="1"/>
  <c r="AA72" i="13" s="1"/>
  <c r="AS46" i="13" a="1"/>
  <c r="AS46" i="13" s="1"/>
  <c r="AB32" i="13" a="1"/>
  <c r="AB32" i="13" s="1"/>
  <c r="AQ44" i="14" a="1"/>
  <c r="AQ44" i="14" s="1"/>
  <c r="AS18" i="13" a="1"/>
  <c r="AS18" i="13" s="1"/>
  <c r="AB72" i="14" a="1"/>
  <c r="AB72" i="14" s="1"/>
  <c r="AS70" i="13" a="1"/>
  <c r="AS70" i="13" s="1"/>
  <c r="AK62" i="14" a="1"/>
  <c r="AK62" i="14" s="1"/>
  <c r="AO80" i="14" a="1"/>
  <c r="AO80" i="14" s="1"/>
  <c r="AJ22" i="13" a="1"/>
  <c r="AJ22" i="13" s="1"/>
  <c r="AK10" i="13" a="1"/>
  <c r="AK10" i="13" s="1"/>
  <c r="AO32" i="14" a="1"/>
  <c r="AO32" i="14" s="1"/>
  <c r="AQ82" i="13" a="1"/>
  <c r="AQ82" i="13" s="1"/>
  <c r="AA78" i="14" a="1"/>
  <c r="AA78" i="14" s="1"/>
  <c r="AC60" i="13" a="1"/>
  <c r="AC60" i="13" s="1"/>
  <c r="AR54" i="14" a="1"/>
  <c r="AR54" i="14" s="1"/>
  <c r="AU60" i="14" a="1"/>
  <c r="AU60" i="14" s="1"/>
  <c r="AQ80" i="13" a="1"/>
  <c r="AQ80" i="13" s="1"/>
  <c r="AU66" i="14" a="1"/>
  <c r="AU66" i="14" s="1"/>
  <c r="AN72" i="14" a="1"/>
  <c r="AN72" i="14" s="1"/>
  <c r="AK10" i="14" a="1"/>
  <c r="AK10" i="14" s="1"/>
  <c r="AU72" i="14" a="1"/>
  <c r="AU72" i="14" s="1"/>
  <c r="AL58" i="14" a="1"/>
  <c r="AL58" i="14" s="1"/>
  <c r="X36" i="13" a="1"/>
  <c r="X36" i="13" s="1"/>
  <c r="AO50" i="13" a="1"/>
  <c r="AO50" i="13" s="1"/>
  <c r="AT60" i="14" a="1"/>
  <c r="AT60" i="14" s="1"/>
  <c r="AL26" i="14" a="1"/>
  <c r="AL26" i="14" s="1"/>
  <c r="Z50" i="13" a="1"/>
  <c r="Z50" i="13" s="1"/>
  <c r="AK22" i="13" a="1"/>
  <c r="AK22" i="13" s="1"/>
  <c r="AR22" i="14" a="1"/>
  <c r="AR22" i="14" s="1"/>
  <c r="AE8" i="14" a="1"/>
  <c r="AE8" i="14" s="1"/>
  <c r="AU34" i="14" a="1"/>
  <c r="AU34" i="14" s="1"/>
  <c r="AJ40" i="13" a="1"/>
  <c r="AJ40" i="13" s="1"/>
  <c r="Y16" i="14" a="1"/>
  <c r="Y16" i="14" s="1"/>
  <c r="AE10" i="14" a="1"/>
  <c r="AE10" i="14" s="1"/>
  <c r="AH54" i="14" a="1"/>
  <c r="AH54" i="14" s="1"/>
  <c r="AC46" i="14" a="1"/>
  <c r="AC46" i="14" s="1"/>
  <c r="AJ24" i="13" a="1"/>
  <c r="AJ24" i="13" s="1"/>
  <c r="Y62" i="14" a="1"/>
  <c r="Y62" i="14" s="1"/>
  <c r="AH32" i="14" a="1"/>
  <c r="AH32" i="14" s="1"/>
  <c r="AE70" i="13" a="1"/>
  <c r="AE70" i="13" s="1"/>
  <c r="AG28" i="13" a="1"/>
  <c r="AG28" i="13" s="1"/>
  <c r="AE82" i="13" a="1"/>
  <c r="AE82" i="13" s="1"/>
  <c r="AA68" i="14" a="1"/>
  <c r="AA68" i="14" s="1"/>
  <c r="AO58" i="14" a="1"/>
  <c r="AO58" i="14" s="1"/>
  <c r="AC10" i="14" a="1"/>
  <c r="AC10" i="14" s="1"/>
  <c r="AL16" i="14" a="1"/>
  <c r="AL16" i="14" s="1"/>
  <c r="AQ38" i="14" a="1"/>
  <c r="AQ38" i="14" s="1"/>
  <c r="Y64" i="14" a="1"/>
  <c r="Y64" i="14" s="1"/>
  <c r="AQ40" i="14" a="1"/>
  <c r="AQ40" i="14" s="1"/>
  <c r="AC28" i="14" a="1"/>
  <c r="AC28" i="14" s="1"/>
  <c r="AN54" i="14" a="1"/>
  <c r="AN54" i="14" s="1"/>
  <c r="AB64" i="13" a="1"/>
  <c r="AB64" i="13" s="1"/>
  <c r="AA18" i="14" a="1"/>
  <c r="AA18" i="14" s="1"/>
  <c r="AC38" i="14" a="1"/>
  <c r="AC38" i="14" s="1"/>
  <c r="AF22" i="14" a="1"/>
  <c r="AF22" i="14" s="1"/>
  <c r="AS44" i="14" a="1"/>
  <c r="AS44" i="14" s="1"/>
  <c r="AT40" i="13" a="1"/>
  <c r="AT40" i="13" s="1"/>
  <c r="AQ6" i="14" a="1"/>
  <c r="AQ6" i="14" s="1"/>
  <c r="AJ20" i="13" a="1"/>
  <c r="AJ20" i="13" s="1"/>
  <c r="AB8" i="14" a="1"/>
  <c r="AB8" i="14" s="1"/>
  <c r="AN16" i="14" a="1"/>
  <c r="AN16" i="14" s="1"/>
  <c r="AT12" i="14" a="1"/>
  <c r="AT12" i="14" s="1"/>
  <c r="AC22" i="13" a="1"/>
  <c r="AC22" i="13" s="1"/>
  <c r="AB18" i="14" a="1"/>
  <c r="AB18" i="14" s="1"/>
  <c r="Z42" i="14" a="1"/>
  <c r="Z42" i="14" s="1"/>
  <c r="Y72" i="14" a="1"/>
  <c r="Y72" i="14" s="1"/>
  <c r="Y16" i="13" a="1"/>
  <c r="Y16" i="13" s="1"/>
  <c r="AM38" i="13" a="1"/>
  <c r="AM38" i="13" s="1"/>
  <c r="AT20" i="14" a="1"/>
  <c r="AT20" i="14" s="1"/>
  <c r="AT22" i="14" a="1"/>
  <c r="AT22" i="14" s="1"/>
  <c r="AL28" i="14" a="1"/>
  <c r="AL28" i="14" s="1"/>
  <c r="AE6" i="14" a="1"/>
  <c r="AE6" i="14" s="1"/>
  <c r="AO62" i="13" a="1"/>
  <c r="AO62" i="13" s="1"/>
  <c r="AK12" i="13" a="1"/>
  <c r="AK12" i="13" s="1"/>
  <c r="AI86" i="14" a="1"/>
  <c r="AI86" i="14" s="1"/>
  <c r="AH8" i="13" a="1"/>
  <c r="AH8" i="13" s="1"/>
  <c r="AM78" i="13" a="1"/>
  <c r="AM78" i="13" s="1"/>
  <c r="AT44" i="13" a="1"/>
  <c r="AT44" i="13" s="1"/>
  <c r="AF52" i="13" a="1"/>
  <c r="AF52" i="13" s="1"/>
  <c r="Z82" i="14" a="1"/>
  <c r="Z82" i="14" s="1"/>
  <c r="AH18" i="13" a="1"/>
  <c r="AH18" i="13" s="1"/>
  <c r="AN30" i="13" a="1"/>
  <c r="AN30" i="13" s="1"/>
  <c r="AP42" i="14" a="1"/>
  <c r="AP42" i="14" s="1"/>
  <c r="AM78" i="14" a="1"/>
  <c r="AM78" i="14" s="1"/>
  <c r="Y26" i="13" a="1"/>
  <c r="Y26" i="13" s="1"/>
  <c r="X28" i="13" a="1"/>
  <c r="X28" i="13" s="1"/>
  <c r="AD42" i="13" a="1"/>
  <c r="AD42" i="13" s="1"/>
  <c r="AJ48" i="13" a="1"/>
  <c r="AJ48" i="13" s="1"/>
  <c r="AS12" i="13" a="1"/>
  <c r="AS12" i="13" s="1"/>
  <c r="AT72" i="13" a="1"/>
  <c r="AT72" i="13" s="1"/>
  <c r="Y68" i="13" a="1"/>
  <c r="Y68" i="13" s="1"/>
  <c r="AA10" i="13" a="1"/>
  <c r="AA10" i="13" s="1"/>
  <c r="AT16" i="13" a="1"/>
  <c r="AT16" i="13" s="1"/>
  <c r="Z22" i="13" a="1"/>
  <c r="Z22" i="13" s="1"/>
  <c r="AB16" i="13" a="1"/>
  <c r="AB16" i="13" s="1"/>
  <c r="AF20" i="13" a="1"/>
  <c r="AF20" i="13" s="1"/>
  <c r="AQ82" i="14" a="1"/>
  <c r="AQ82" i="14" s="1"/>
  <c r="AF86" i="14" a="1"/>
  <c r="AF86" i="14" s="1"/>
  <c r="Y70" i="14" a="1"/>
  <c r="Y70" i="14" s="1"/>
  <c r="AA54" i="14" a="1"/>
  <c r="AA54" i="14" s="1"/>
  <c r="AS60" i="14" a="1"/>
  <c r="AS60" i="14" s="1"/>
  <c r="AC74" i="14" a="1"/>
  <c r="AC74" i="14" s="1"/>
  <c r="AE66" i="14" a="1"/>
  <c r="AE66" i="14" s="1"/>
  <c r="AI20" i="14" a="1"/>
  <c r="AI20" i="14" s="1"/>
  <c r="AA82" i="13" a="1"/>
  <c r="AA82" i="13" s="1"/>
  <c r="AM32" i="14" a="1"/>
  <c r="AM32" i="14" s="1"/>
  <c r="AJ54" i="14" a="1"/>
  <c r="AJ54" i="14" s="1"/>
  <c r="Y84" i="13" a="1"/>
  <c r="Y84" i="13" s="1"/>
  <c r="Z36" i="14" a="1"/>
  <c r="Z36" i="14" s="1"/>
  <c r="AT54" i="13" a="1"/>
  <c r="AT54" i="13" s="1"/>
  <c r="Z46" i="14" a="1"/>
  <c r="Z46" i="14" s="1"/>
  <c r="AI62" i="13" a="1"/>
  <c r="AI62" i="13" s="1"/>
  <c r="AG52" i="14" a="1"/>
  <c r="AG52" i="14" s="1"/>
  <c r="AI10" i="13" a="1"/>
  <c r="AI10" i="13" s="1"/>
  <c r="AG60" i="14" a="1"/>
  <c r="AG60" i="14" s="1"/>
  <c r="AI42" i="14" a="1"/>
  <c r="AI42" i="14" s="1"/>
  <c r="AD10" i="14" a="1"/>
  <c r="AD10" i="14" s="1"/>
  <c r="AU86" i="14" a="1"/>
  <c r="AU86" i="14" s="1"/>
  <c r="AB6" i="14" a="1"/>
  <c r="AB6" i="14" s="1"/>
  <c r="AL18" i="14" a="1"/>
  <c r="AL18" i="14" s="1"/>
  <c r="AJ38" i="14" a="1"/>
  <c r="AJ38" i="14" s="1"/>
  <c r="AB36" i="13" a="1"/>
  <c r="AB36" i="13" s="1"/>
  <c r="AR84" i="14" a="1"/>
  <c r="AR84" i="14" s="1"/>
  <c r="AK62" i="13" a="1"/>
  <c r="AK62" i="13" s="1"/>
  <c r="AD38" i="14" a="1"/>
  <c r="AD38" i="14" s="1"/>
  <c r="AS76" i="14" a="1"/>
  <c r="AS76" i="14" s="1"/>
  <c r="AT44" i="14" a="1"/>
  <c r="AT44" i="14" s="1"/>
  <c r="AA22" i="13" a="1"/>
  <c r="AA22" i="13" s="1"/>
  <c r="AT8" i="14" a="1"/>
  <c r="AT8" i="14" s="1"/>
  <c r="AA34" i="14" a="1"/>
  <c r="AA34" i="14" s="1"/>
  <c r="AE80" i="14" a="1"/>
  <c r="AE80" i="14" s="1"/>
  <c r="AM46" i="13" a="1"/>
  <c r="AM46" i="13" s="1"/>
  <c r="AU82" i="14" a="1"/>
  <c r="AU82" i="14" s="1"/>
  <c r="AI84" i="13" a="1"/>
  <c r="AI84" i="13" s="1"/>
  <c r="AA74" i="14" a="1"/>
  <c r="AA74" i="14" s="1"/>
  <c r="AB6" i="13" a="1"/>
  <c r="AB6" i="13" s="1"/>
  <c r="AN58" i="14" a="1"/>
  <c r="AN58" i="14" s="1"/>
  <c r="AO58" i="13" a="1"/>
  <c r="AO58" i="13" s="1"/>
  <c r="AP16" i="14" a="1"/>
  <c r="AP16" i="14" s="1"/>
  <c r="Y46" i="13" a="1"/>
  <c r="Y46" i="13" s="1"/>
  <c r="AG20" i="14" a="1"/>
  <c r="AG20" i="14" s="1"/>
  <c r="AL48" i="14" a="1"/>
  <c r="AL48" i="14" s="1"/>
  <c r="AK68" i="14" a="1"/>
  <c r="AK68" i="14" s="1"/>
  <c r="AA12" i="13" a="1"/>
  <c r="AA12" i="13" s="1"/>
  <c r="AA30" i="13" a="1"/>
  <c r="AA30" i="13" s="1"/>
  <c r="AK48" i="13" a="1"/>
  <c r="AK48" i="13" s="1"/>
  <c r="AJ84" i="14" a="1"/>
  <c r="AJ84" i="14" s="1"/>
  <c r="Y44" i="14" a="1"/>
  <c r="Y44" i="14" s="1"/>
  <c r="AS56" i="13" a="1"/>
  <c r="AS56" i="13" s="1"/>
  <c r="Z80" i="14" a="1"/>
  <c r="Z80" i="14" s="1"/>
  <c r="AE14" i="14" a="1"/>
  <c r="AE14" i="14" s="1"/>
  <c r="AQ14" i="14" a="1"/>
  <c r="AQ14" i="14" s="1"/>
  <c r="AH60" i="14" a="1"/>
  <c r="AH60" i="14" s="1"/>
  <c r="AT22" i="13" a="1"/>
  <c r="AT22" i="13" s="1"/>
  <c r="AN50" i="13" a="1"/>
  <c r="AN50" i="13" s="1"/>
  <c r="AR6" i="14" a="1"/>
  <c r="AR6" i="14" s="1"/>
  <c r="AJ8" i="14" a="1"/>
  <c r="AJ8" i="14" s="1"/>
  <c r="AH62" i="14" a="1"/>
  <c r="AH62" i="14" s="1"/>
  <c r="AR6" i="13" a="1"/>
  <c r="AR6" i="13" s="1"/>
  <c r="AO74" i="13" a="1"/>
  <c r="AO74" i="13" s="1"/>
  <c r="AD58" i="14" a="1"/>
  <c r="AD58" i="14" s="1"/>
  <c r="AU78" i="14" a="1"/>
  <c r="AU78" i="14" s="1"/>
  <c r="AJ48" i="14" a="1"/>
  <c r="AJ48" i="14" s="1"/>
  <c r="AL62" i="13" a="1"/>
  <c r="AL62" i="13" s="1"/>
  <c r="AF78" i="13" a="1"/>
  <c r="AF78" i="13" s="1"/>
  <c r="AI42" i="13" a="1"/>
  <c r="AI42" i="13" s="1"/>
  <c r="AL70" i="13" a="1"/>
  <c r="AL70" i="13" s="1"/>
  <c r="AP38" i="14" a="1"/>
  <c r="AP38" i="14" s="1"/>
  <c r="Y18" i="14" a="1"/>
  <c r="Y18" i="14" s="1"/>
  <c r="AJ56" i="14" a="1"/>
  <c r="AJ56" i="14" s="1"/>
  <c r="Z40" i="14" a="1"/>
  <c r="Z40" i="14" s="1"/>
  <c r="AD50" i="13" a="1"/>
  <c r="AD50" i="13" s="1"/>
  <c r="AF60" i="14" a="1"/>
  <c r="AF60" i="14" s="1"/>
  <c r="AE46" i="13" a="1"/>
  <c r="AE46" i="13" s="1"/>
  <c r="AK84" i="13" a="1"/>
  <c r="AK84" i="13" s="1"/>
  <c r="AO16" i="13" a="1"/>
  <c r="AO16" i="13" s="1"/>
  <c r="AD28" i="13" a="1"/>
  <c r="AD28" i="13" s="1"/>
  <c r="X8" i="13" a="1"/>
  <c r="X8" i="13" s="1"/>
  <c r="AA64" i="14" a="1"/>
  <c r="AA64" i="14" s="1"/>
  <c r="AD34" i="13" a="1"/>
  <c r="AD34" i="13" s="1"/>
  <c r="AN52" i="14" a="1"/>
  <c r="AN52" i="14" s="1"/>
  <c r="AQ78" i="14" a="1"/>
  <c r="AQ78" i="14" s="1"/>
  <c r="AG18" i="13" a="1"/>
  <c r="AG18" i="13" s="1"/>
  <c r="AG48" i="14" a="1"/>
  <c r="AG48" i="14" s="1"/>
  <c r="AK66" i="14" a="1"/>
  <c r="AK66" i="14" s="1"/>
  <c r="AS20" i="13" a="1"/>
  <c r="AS20" i="13" s="1"/>
  <c r="AA70" i="13" a="1"/>
  <c r="AA70" i="13" s="1"/>
  <c r="Z48" i="13" a="1"/>
  <c r="Z48" i="13" s="1"/>
  <c r="AT78" i="13" a="1"/>
  <c r="AT78" i="13" s="1"/>
  <c r="AS42" i="13" a="1"/>
  <c r="AS42" i="13" s="1"/>
  <c r="AG80" i="14" a="1"/>
  <c r="AG80" i="14" s="1"/>
  <c r="AC30" i="14" a="1"/>
  <c r="AC30" i="14" s="1"/>
  <c r="Z14" i="14" a="1"/>
  <c r="Z14" i="14" s="1"/>
  <c r="AO76" i="13" a="1"/>
  <c r="AO76" i="13" s="1"/>
  <c r="AL82" i="14" a="1"/>
  <c r="AL82" i="14" s="1"/>
  <c r="AL30" i="13" a="1"/>
  <c r="AL30" i="13" s="1"/>
  <c r="AE78" i="13" a="1"/>
  <c r="AE78" i="13" s="1"/>
  <c r="AF30" i="13" a="1"/>
  <c r="AF30" i="13" s="1"/>
  <c r="AK22" i="14" a="1"/>
  <c r="AK22" i="14" s="1"/>
  <c r="AU30" i="14" a="1"/>
  <c r="AU30" i="14" s="1"/>
  <c r="AA34" i="13" a="1"/>
  <c r="AA34" i="13" s="1"/>
  <c r="AB50" i="14" a="1"/>
  <c r="AB50" i="14" s="1"/>
  <c r="AD62" i="14" a="1"/>
  <c r="AD62" i="14" s="1"/>
  <c r="AU84" i="14" a="1"/>
  <c r="AU84" i="14" s="1"/>
  <c r="AJ86" i="14" a="1"/>
  <c r="AJ86" i="14" s="1"/>
  <c r="AJ54" i="13" a="1"/>
  <c r="AJ54" i="13" s="1"/>
  <c r="Z20" i="14" a="1"/>
  <c r="Z20" i="14" s="1"/>
  <c r="AN14" i="14" a="1"/>
  <c r="AN14" i="14" s="1"/>
  <c r="AR80" i="14" a="1"/>
  <c r="AR80" i="14" s="1"/>
  <c r="AA84" i="14" a="1"/>
  <c r="AA84" i="14" s="1"/>
  <c r="AJ58" i="14" a="1"/>
  <c r="AJ58" i="14" s="1"/>
  <c r="AE46" i="14" a="1"/>
  <c r="AE46" i="14" s="1"/>
  <c r="AB22" i="13" a="1"/>
  <c r="AB22" i="13" s="1"/>
  <c r="AE16" i="13" a="1"/>
  <c r="AE16" i="13" s="1"/>
  <c r="AT52" i="14" a="1"/>
  <c r="AT52" i="14" s="1"/>
  <c r="AP86" i="13" a="1"/>
  <c r="AP86" i="13" s="1"/>
  <c r="AR24" i="13" a="1"/>
  <c r="AR24" i="13" s="1"/>
  <c r="AB42" i="14" a="1"/>
  <c r="AB42" i="14" s="1"/>
  <c r="X74" i="13" a="1"/>
  <c r="X74" i="13" s="1"/>
  <c r="AM72" i="14" a="1"/>
  <c r="AM72" i="14" s="1"/>
  <c r="AC54" i="14" a="1"/>
  <c r="AC54" i="14" s="1"/>
  <c r="AO86" i="13" a="1"/>
  <c r="AO86" i="13" s="1"/>
  <c r="AS36" i="14" a="1"/>
  <c r="AS36" i="14" s="1"/>
  <c r="AQ60" i="13" a="1"/>
  <c r="AQ60" i="13" s="1"/>
  <c r="AT76" i="14" a="1"/>
  <c r="AT76" i="14" s="1"/>
  <c r="AP20" i="14" a="1"/>
  <c r="AP20" i="14" s="1"/>
  <c r="AO86" i="14" a="1"/>
  <c r="AO86" i="14" s="1"/>
  <c r="AJ72" i="14" a="1"/>
  <c r="AJ72" i="14" s="1"/>
  <c r="AC20" i="13" a="1"/>
  <c r="AC20" i="13" s="1"/>
  <c r="AM16" i="13" a="1"/>
  <c r="AM16" i="13" s="1"/>
  <c r="AH64" i="14" a="1"/>
  <c r="AH64" i="14" s="1"/>
  <c r="AP72" i="14" a="1"/>
  <c r="AP72" i="14" s="1"/>
  <c r="AR20" i="14" a="1"/>
  <c r="AR20" i="14" s="1"/>
  <c r="AC56" i="13" a="1"/>
  <c r="AC56" i="13" s="1"/>
  <c r="AK8" i="13" a="1"/>
  <c r="AK8" i="13" s="1"/>
  <c r="Z64" i="14" a="1"/>
  <c r="Z64" i="14" s="1"/>
  <c r="AQ64" i="14" a="1"/>
  <c r="AQ64" i="14" s="1"/>
  <c r="AS26" i="13" a="1"/>
  <c r="AS26" i="13" s="1"/>
  <c r="AS8" i="13" a="1"/>
  <c r="AS8" i="13" s="1"/>
  <c r="AA10" i="14" a="1"/>
  <c r="AA10" i="14" s="1"/>
  <c r="AK52" i="14" a="1"/>
  <c r="AK52" i="14" s="1"/>
  <c r="AD54" i="13" a="1"/>
  <c r="AD54" i="13" s="1"/>
  <c r="AF74" i="14" a="1"/>
  <c r="AF74" i="14" s="1"/>
  <c r="AL14" i="14" a="1"/>
  <c r="AL14" i="14" s="1"/>
  <c r="AQ48" i="14" a="1"/>
  <c r="AQ48" i="14" s="1"/>
  <c r="AB16" i="14" a="1"/>
  <c r="AB16" i="14" s="1"/>
  <c r="X86" i="13" a="1"/>
  <c r="X86" i="13" s="1"/>
  <c r="AK74" i="14" a="1"/>
  <c r="AK74" i="14" s="1"/>
  <c r="AF82" i="13" a="1"/>
  <c r="AF82" i="13" s="1"/>
  <c r="AM40" i="14" a="1"/>
  <c r="AM40" i="14" s="1"/>
  <c r="AT42" i="14" a="1"/>
  <c r="AT42" i="14" s="1"/>
  <c r="AD56" i="13" a="1"/>
  <c r="AD56" i="13" s="1"/>
  <c r="AN32" i="14" a="1"/>
  <c r="AN32" i="14" s="1"/>
  <c r="AC24" i="14" a="1"/>
  <c r="AC24" i="14" s="1"/>
  <c r="AC16" i="14" a="1"/>
  <c r="AC16" i="14" s="1"/>
  <c r="AH80" i="14" a="1"/>
  <c r="AH80" i="14" s="1"/>
  <c r="AS50" i="13" a="1"/>
  <c r="AS50" i="13" s="1"/>
  <c r="AO8" i="13" a="1"/>
  <c r="AO8" i="13" s="1"/>
  <c r="Z20" i="13" a="1"/>
  <c r="Z20" i="13" s="1"/>
  <c r="AE40" i="13" a="1"/>
  <c r="AE40" i="13" s="1"/>
  <c r="AF6" i="13" a="1"/>
  <c r="AF6" i="13" s="1"/>
  <c r="AK34" i="13" a="1"/>
  <c r="AK34" i="13" s="1"/>
  <c r="AG10" i="13" a="1"/>
  <c r="AG10" i="13" s="1"/>
  <c r="AP22" i="14" a="1"/>
  <c r="AP22" i="14" s="1"/>
  <c r="AK58" i="13" a="1"/>
  <c r="AK58" i="13" s="1"/>
  <c r="AM12" i="14" a="1"/>
  <c r="AM12" i="14" s="1"/>
  <c r="AK56" i="13" a="1"/>
  <c r="AK56" i="13" s="1"/>
  <c r="AJ52" i="14" a="1"/>
  <c r="AJ52" i="14" s="1"/>
  <c r="AP70" i="13" a="1"/>
  <c r="AP70" i="13" s="1"/>
  <c r="AB60" i="14" a="1"/>
  <c r="AB60" i="14" s="1"/>
  <c r="AA70" i="14" a="1"/>
  <c r="AA70" i="14" s="1"/>
  <c r="AL44" i="13" a="1"/>
  <c r="AL44" i="13" s="1"/>
  <c r="AE18" i="14" a="1"/>
  <c r="AE18" i="14" s="1"/>
  <c r="AK76" i="13" a="1"/>
  <c r="AK76" i="13" s="1"/>
  <c r="AP52" i="13" a="1"/>
  <c r="AP52" i="13" s="1"/>
  <c r="AC14" i="14" a="1"/>
  <c r="AC14" i="14" s="1"/>
  <c r="AJ50" i="13" a="1"/>
  <c r="AJ50" i="13" s="1"/>
  <c r="AM32" i="13" a="1"/>
  <c r="AM32" i="13" s="1"/>
  <c r="AA16" i="14" a="1"/>
  <c r="AA16" i="14" s="1"/>
  <c r="AO64" i="14" a="1"/>
  <c r="AO64" i="14" s="1"/>
  <c r="AS62" i="13" a="1"/>
  <c r="AS62" i="13" s="1"/>
  <c r="AE26" i="14" a="1"/>
  <c r="AE26" i="14" s="1"/>
  <c r="AS72" i="13" a="1"/>
  <c r="AS72" i="13" s="1"/>
  <c r="AL42" i="13" a="1"/>
  <c r="AL42" i="13" s="1"/>
  <c r="AF76" i="14" a="1"/>
  <c r="AF76" i="14" s="1"/>
  <c r="AH14" i="14" a="1"/>
  <c r="AH14" i="14" s="1"/>
  <c r="AQ50" i="14" a="1"/>
  <c r="AQ50" i="14" s="1"/>
  <c r="AP78" i="14" a="1"/>
  <c r="AP78" i="14" s="1"/>
  <c r="AI60" i="13" a="1"/>
  <c r="AI60" i="13" s="1"/>
  <c r="AK48" i="14" a="1"/>
  <c r="AK48" i="14" s="1"/>
  <c r="AR64" i="14" a="1"/>
  <c r="AR64" i="14" s="1"/>
  <c r="AI26" i="14" a="1"/>
  <c r="AI26" i="14" s="1"/>
  <c r="AK72" i="14" a="1"/>
  <c r="AK72" i="14" s="1"/>
  <c r="Z70" i="14" a="1"/>
  <c r="Z70" i="14" s="1"/>
  <c r="AL56" i="13" a="1"/>
  <c r="AL56" i="13" s="1"/>
  <c r="AS20" i="14" a="1"/>
  <c r="AS20" i="14" s="1"/>
  <c r="AP32" i="14" a="1"/>
  <c r="AP32" i="14" s="1"/>
  <c r="AO38" i="14" a="1"/>
  <c r="AO38" i="14" s="1"/>
  <c r="AR78" i="13" a="1"/>
  <c r="AR78" i="13" s="1"/>
  <c r="AG72" i="14" a="1"/>
  <c r="AG72" i="14" s="1"/>
  <c r="AU42" i="14" a="1"/>
  <c r="AU42" i="14" s="1"/>
  <c r="AC70" i="13" a="1"/>
  <c r="AC70" i="13" s="1"/>
  <c r="AA44" i="14" a="1"/>
  <c r="AA44" i="14" s="1"/>
  <c r="AD26" i="13" a="1"/>
  <c r="AD26" i="13" s="1"/>
  <c r="AA74" i="13" a="1"/>
  <c r="AA74" i="13" s="1"/>
  <c r="AB76" i="14" a="1"/>
  <c r="AB76" i="14" s="1"/>
  <c r="AR62" i="14" a="1"/>
  <c r="AR62" i="14" s="1"/>
  <c r="AS66" i="13" a="1"/>
  <c r="AS66" i="13" s="1"/>
  <c r="AD50" i="14" a="1"/>
  <c r="AD50" i="14" s="1"/>
  <c r="AT72" i="14" a="1"/>
  <c r="AT72" i="14" s="1"/>
  <c r="AG50" i="14" a="1"/>
  <c r="AG50" i="14" s="1"/>
  <c r="AE86" i="14" a="1"/>
  <c r="AE86" i="14" s="1"/>
  <c r="AR66" i="13" a="1"/>
  <c r="AR66" i="13" s="1"/>
  <c r="AS78" i="13" a="1"/>
  <c r="AS78" i="13" s="1"/>
  <c r="AA14" i="13" a="1"/>
  <c r="AA14" i="13" s="1"/>
  <c r="AG64" i="14" a="1"/>
  <c r="AG64" i="14" s="1"/>
  <c r="AF12" i="14" a="1"/>
  <c r="AF12" i="14" s="1"/>
  <c r="AT32" i="14" a="1"/>
  <c r="AT32" i="14" s="1"/>
  <c r="Y70" i="13" a="1"/>
  <c r="Y70" i="13" s="1"/>
  <c r="AT64" i="14" a="1"/>
  <c r="AT64" i="14" s="1"/>
  <c r="AF64" i="14" a="1"/>
  <c r="AF64" i="14" s="1"/>
  <c r="AA54" i="13" a="1"/>
  <c r="AA54" i="13" s="1"/>
  <c r="Y28" i="14" a="1"/>
  <c r="Y28" i="14" s="1"/>
  <c r="AG40" i="13" a="1"/>
  <c r="AG40" i="13" s="1"/>
  <c r="AK70" i="13" a="1"/>
  <c r="AK70" i="13" s="1"/>
  <c r="AC48" i="14" a="1"/>
  <c r="AC48" i="14" s="1"/>
  <c r="AJ66" i="14" a="1"/>
  <c r="AJ66" i="14" s="1"/>
  <c r="AD74" i="14" a="1"/>
  <c r="AD74" i="14" s="1"/>
  <c r="Y42" i="14" a="1"/>
  <c r="Y42" i="14" s="1"/>
  <c r="AC54" i="13" a="1"/>
  <c r="AC54" i="13" s="1"/>
  <c r="AQ34" i="14" a="1"/>
  <c r="AQ34" i="14" s="1"/>
  <c r="AH84" i="14" a="1"/>
  <c r="AH84" i="14" s="1"/>
  <c r="AI38" i="14" a="1"/>
  <c r="AI38" i="14" s="1"/>
  <c r="AE84" i="13" a="1"/>
  <c r="AE84" i="13" s="1"/>
  <c r="AA62" i="13" a="1"/>
  <c r="AA62" i="13" s="1"/>
  <c r="AD54" i="14" a="1"/>
  <c r="AD54" i="14" s="1"/>
  <c r="Y44" i="13" a="1"/>
  <c r="Y44" i="13" s="1"/>
  <c r="AP82" i="13" a="1"/>
  <c r="AP82" i="13" s="1"/>
  <c r="AA84" i="13" a="1"/>
  <c r="AA84" i="13" s="1"/>
  <c r="AL54" i="14" a="1"/>
  <c r="AL54" i="14" s="1"/>
  <c r="AN84" i="14" a="1"/>
  <c r="AN84" i="14" s="1"/>
  <c r="AI72" i="13" a="1"/>
  <c r="AI72" i="13" s="1"/>
  <c r="AI68" i="13" a="1"/>
  <c r="AI68" i="13" s="1"/>
  <c r="AN28" i="14" a="1"/>
  <c r="AN28" i="14" s="1"/>
  <c r="AD64" i="14" a="1"/>
  <c r="AD64" i="14" s="1"/>
  <c r="AI80" i="14" a="1"/>
  <c r="AI80" i="14" s="1"/>
  <c r="AR72" i="14" a="1"/>
  <c r="AR72" i="14" s="1"/>
  <c r="AJ58" i="13" a="1"/>
  <c r="AJ58" i="13" s="1"/>
  <c r="AI34" i="14" a="1"/>
  <c r="AI34" i="14" s="1"/>
  <c r="AO56" i="14" a="1"/>
  <c r="AO56" i="14" s="1"/>
  <c r="AC26" i="14" a="1"/>
  <c r="AC26" i="14" s="1"/>
  <c r="AJ32" i="14" a="1"/>
  <c r="AJ32" i="14" s="1"/>
  <c r="AR76" i="14" a="1"/>
  <c r="AR76" i="14" s="1"/>
  <c r="AF48" i="14" a="1"/>
  <c r="AF48" i="14" s="1"/>
  <c r="AC36" i="14" a="1"/>
  <c r="AC36" i="14" s="1"/>
  <c r="AA48" i="14" a="1"/>
  <c r="AA48" i="14" s="1"/>
  <c r="AA78" i="13" a="1"/>
  <c r="AA78" i="13" s="1"/>
  <c r="AS46" i="14" a="1"/>
  <c r="AS46" i="14" s="1"/>
  <c r="AN72" i="13" a="1"/>
  <c r="AN72" i="13" s="1"/>
  <c r="AE72" i="14" a="1"/>
  <c r="AE72" i="14" s="1"/>
  <c r="AK6" i="13" a="1"/>
  <c r="AK6" i="13" s="1"/>
  <c r="AQ32" i="14" a="1"/>
  <c r="AQ32" i="14" s="1"/>
  <c r="AE80" i="13" a="1"/>
  <c r="AE80" i="13" s="1"/>
  <c r="AR8" i="14" a="1"/>
  <c r="AR8" i="14" s="1"/>
  <c r="AE54" i="14" a="1"/>
  <c r="AE54" i="14" s="1"/>
  <c r="AM42" i="13" a="1"/>
  <c r="AM42" i="13" s="1"/>
  <c r="AR30" i="14" a="1"/>
  <c r="AR30" i="14" s="1"/>
  <c r="AK74" i="13" a="1"/>
  <c r="AK74" i="13" s="1"/>
  <c r="AI66" i="13" a="1"/>
  <c r="AI66" i="13" s="1"/>
  <c r="AS54" i="14" a="1"/>
  <c r="AS54" i="14" s="1"/>
  <c r="AA62" i="14" a="1"/>
  <c r="AA62" i="14" s="1"/>
  <c r="AM60" i="14" a="1"/>
  <c r="AM60" i="14" s="1"/>
  <c r="AI52" i="13" a="1"/>
  <c r="AI52" i="13" s="1"/>
  <c r="AJ56" i="13" a="1"/>
  <c r="AJ56" i="13" s="1"/>
  <c r="AO44" i="14" a="1"/>
  <c r="AO44" i="14" s="1"/>
  <c r="AP30" i="14" a="1"/>
  <c r="AP30" i="14" s="1"/>
  <c r="AU58" i="14" a="1"/>
  <c r="AU58" i="14" s="1"/>
  <c r="AL68" i="14" a="1"/>
  <c r="AL68" i="14" s="1"/>
  <c r="AP66" i="14" a="1"/>
  <c r="AP66" i="14" s="1"/>
  <c r="Y84" i="14" a="1"/>
  <c r="Y84" i="14" s="1"/>
  <c r="AL30" i="14" a="1"/>
  <c r="AL30" i="14" s="1"/>
  <c r="AU18" i="14" a="1"/>
  <c r="AU18" i="14" s="1"/>
  <c r="AU56" i="14" a="1"/>
  <c r="AU56" i="14" s="1"/>
  <c r="AK32" i="14" a="1"/>
  <c r="AK32" i="14" s="1"/>
  <c r="AJ64" i="14" a="1"/>
  <c r="AJ64" i="14" s="1"/>
  <c r="AK58" i="14" a="1"/>
  <c r="AK58" i="14" s="1"/>
  <c r="AK86" i="14" a="1"/>
  <c r="AK86" i="14" s="1"/>
  <c r="AT76" i="13" a="1"/>
  <c r="AT76" i="13" s="1"/>
  <c r="AG42" i="13" a="1"/>
  <c r="AG42" i="13" s="1"/>
  <c r="AS72" i="14" a="1"/>
  <c r="AS72" i="14" s="1"/>
  <c r="AE62" i="14" a="1"/>
  <c r="AE62" i="14" s="1"/>
  <c r="AN46" i="13" a="1"/>
  <c r="AN46" i="13" s="1"/>
  <c r="X32" i="13" a="1"/>
  <c r="X32" i="13" s="1"/>
  <c r="AE58" i="14" a="1"/>
  <c r="AE58" i="14" s="1"/>
  <c r="AR68" i="13" a="1"/>
  <c r="AR68" i="13" s="1"/>
  <c r="AK40" i="14" a="1"/>
  <c r="AK40" i="14" s="1"/>
  <c r="AO80" i="13" a="1"/>
  <c r="AO80" i="13" s="1"/>
  <c r="AM66" i="14" a="1"/>
  <c r="AM66" i="14" s="1"/>
  <c r="AQ86" i="13" a="1"/>
  <c r="AQ86" i="13" s="1"/>
  <c r="AB40" i="14" a="1"/>
  <c r="AB40" i="14" s="1"/>
  <c r="AH6" i="13" a="1"/>
  <c r="AH6" i="13" s="1"/>
  <c r="AE44" i="14" a="1"/>
  <c r="AE44" i="14" s="1"/>
  <c r="AN48" i="14" a="1"/>
  <c r="AN48" i="14" s="1"/>
  <c r="AD40" i="14" a="1"/>
  <c r="AD40" i="14" s="1"/>
  <c r="AG18" i="14" a="1"/>
  <c r="AG18" i="14" s="1"/>
  <c r="AU68" i="14" a="1"/>
  <c r="AU68" i="14" s="1"/>
  <c r="AP56" i="14" a="1"/>
  <c r="AP56" i="14" s="1"/>
  <c r="AB26" i="14" a="1"/>
  <c r="AB26" i="14" s="1"/>
  <c r="Z80" i="13" a="1"/>
  <c r="Z80" i="13" s="1"/>
  <c r="AK46" i="13" a="1"/>
  <c r="AK46" i="13" s="1"/>
  <c r="AO18" i="13" a="1"/>
  <c r="AO18" i="13" s="1"/>
  <c r="AD18" i="14" a="1"/>
  <c r="AD18" i="14" s="1"/>
  <c r="Y34" i="13" a="1"/>
  <c r="Y34" i="13" s="1"/>
  <c r="AI24" i="14" a="1"/>
  <c r="AI24" i="14" s="1"/>
  <c r="AR52" i="13" a="1"/>
  <c r="AR52" i="13" s="1"/>
  <c r="AQ20" i="13" a="1"/>
  <c r="AQ20" i="13" s="1"/>
  <c r="AA6" i="14" a="1"/>
  <c r="AA6" i="14" s="1"/>
  <c r="AQ52" i="13" a="1"/>
  <c r="AQ52" i="13" s="1"/>
  <c r="X6" i="13" a="1"/>
  <c r="X6" i="13" s="1"/>
  <c r="AA66" i="14" a="1"/>
  <c r="AA66" i="14" s="1"/>
  <c r="Y22" i="14" a="1"/>
  <c r="Y22" i="14" s="1"/>
  <c r="AS26" i="14" a="1"/>
  <c r="AS26" i="14" s="1"/>
  <c r="AS68" i="14" a="1"/>
  <c r="AS68" i="14" s="1"/>
  <c r="AM70" i="14" a="1"/>
  <c r="AM70" i="14" s="1"/>
  <c r="AO84" i="13" a="1"/>
  <c r="AO84" i="13" s="1"/>
  <c r="AU14" i="14" a="1"/>
  <c r="AU14" i="14" s="1"/>
  <c r="AP28" i="14" a="1"/>
  <c r="AP28" i="14" s="1"/>
  <c r="AF42" i="14" a="1"/>
  <c r="AF42" i="14" s="1"/>
  <c r="AE8" i="13" a="1"/>
  <c r="AE8" i="13" s="1"/>
  <c r="AC24" i="13" a="1"/>
  <c r="AC24" i="13" s="1"/>
  <c r="AL32" i="14" a="1"/>
  <c r="AL32" i="14" s="1"/>
  <c r="Z8" i="14" a="1"/>
  <c r="Z8" i="14" s="1"/>
  <c r="AG82" i="14" a="1"/>
  <c r="AG82" i="14" s="1"/>
  <c r="AE36" i="13" a="1"/>
  <c r="AE36" i="13" s="1"/>
  <c r="AE64" i="14" a="1"/>
  <c r="AE64" i="14" s="1"/>
  <c r="AF32" i="14" a="1"/>
  <c r="AF32" i="14" s="1"/>
  <c r="AI16" i="14" a="1"/>
  <c r="AI16" i="14" s="1"/>
  <c r="Z38" i="14" a="1"/>
  <c r="Z38" i="14" s="1"/>
  <c r="AQ52" i="14" a="1"/>
  <c r="AQ52" i="14" s="1"/>
  <c r="AM68" i="13" a="1"/>
  <c r="AM68" i="13" s="1"/>
  <c r="AG34" i="13" a="1"/>
  <c r="AG34" i="13" s="1"/>
  <c r="AJ52" i="13" a="1"/>
  <c r="AJ52" i="13" s="1"/>
  <c r="AH24" i="13" a="1"/>
  <c r="AH24" i="13" s="1"/>
  <c r="AN60" i="14" a="1"/>
  <c r="AN60" i="14" s="1"/>
  <c r="AA80" i="13" a="1"/>
  <c r="AA80" i="13" s="1"/>
  <c r="AL80" i="14" a="1"/>
  <c r="AL80" i="14" s="1"/>
  <c r="AR52" i="14" a="1"/>
  <c r="AR52" i="14" s="1"/>
  <c r="AD14" i="14" a="1"/>
  <c r="AD14" i="14" s="1"/>
  <c r="AT54" i="14" a="1"/>
  <c r="AT54" i="14" s="1"/>
  <c r="AF54" i="14" a="1"/>
  <c r="AF54" i="14" s="1"/>
  <c r="AI30" i="14" a="1"/>
  <c r="AI30" i="14" s="1"/>
  <c r="AL54" i="13" a="1"/>
  <c r="AL54" i="13" s="1"/>
  <c r="AJ14" i="13" a="1"/>
  <c r="AJ14" i="13" s="1"/>
  <c r="AF10" i="14" a="1"/>
  <c r="AF10" i="14" s="1"/>
  <c r="AG74" i="13" a="1"/>
  <c r="AG74" i="13" s="1"/>
  <c r="AI32" i="14" a="1"/>
  <c r="AI32" i="14" s="1"/>
  <c r="AQ46" i="14" a="1"/>
  <c r="AQ46" i="14" s="1"/>
  <c r="AT52" i="13" a="1"/>
  <c r="AT52" i="13" s="1"/>
  <c r="AA32" i="13" a="1"/>
  <c r="AA32" i="13" s="1"/>
  <c r="Z58" i="14" a="1"/>
  <c r="Z58" i="14" s="1"/>
  <c r="AA44" i="13" a="1"/>
  <c r="AA44" i="13" s="1"/>
  <c r="AJ22" i="14" a="1"/>
  <c r="AJ22" i="14" s="1"/>
  <c r="Y48" i="13" a="1"/>
  <c r="Y48" i="13" s="1"/>
  <c r="AM18" i="14" a="1"/>
  <c r="AM18" i="14" s="1"/>
  <c r="AD80" i="14" a="1"/>
  <c r="AD80" i="14" s="1"/>
  <c r="AL56" i="14" a="1"/>
  <c r="AL56" i="14" s="1"/>
  <c r="AN78" i="13" a="1"/>
  <c r="AN78" i="13" s="1"/>
  <c r="AG70" i="13" a="1"/>
  <c r="AG70" i="13" s="1"/>
  <c r="AB44" i="14" a="1"/>
  <c r="AB44" i="14" s="1"/>
  <c r="AI18" i="14" a="1"/>
  <c r="AI18" i="14" s="1"/>
  <c r="AD42" i="14" a="1"/>
  <c r="AD42" i="14" s="1"/>
  <c r="AF28" i="14" a="1"/>
  <c r="AF28" i="14" s="1"/>
  <c r="AO36" i="14" a="1"/>
  <c r="AO36" i="14" s="1"/>
  <c r="Z6" i="13" a="1"/>
  <c r="Z6" i="13" s="1"/>
  <c r="AO10" i="13" a="1"/>
  <c r="AO10" i="13" s="1"/>
  <c r="AE52" i="14" a="1"/>
  <c r="AE52" i="14" s="1"/>
  <c r="Z10" i="13" a="1"/>
  <c r="Z10" i="13" s="1"/>
  <c r="AK40" i="13" a="1"/>
  <c r="AK40" i="13" s="1"/>
  <c r="AE68" i="14" a="1"/>
  <c r="AE68" i="14" s="1"/>
  <c r="AB78" i="13" a="1"/>
  <c r="AB78" i="13" s="1"/>
  <c r="AA60" i="14" a="1"/>
  <c r="AA60" i="14" s="1"/>
  <c r="AP6" i="13" a="1"/>
  <c r="AP6" i="13" s="1"/>
  <c r="AR54" i="13" a="1"/>
  <c r="AR54" i="13" s="1"/>
  <c r="AL58" i="13" a="1"/>
  <c r="AL58" i="13" s="1"/>
  <c r="X58" i="13" a="1"/>
  <c r="X58" i="13" s="1"/>
  <c r="AR32" i="14" a="1"/>
  <c r="AR32" i="14" s="1"/>
  <c r="X80" i="13" a="1"/>
  <c r="X80" i="13" s="1"/>
  <c r="AK38" i="13" a="1"/>
  <c r="AK38" i="13" s="1"/>
  <c r="AP34" i="14" a="1"/>
  <c r="AP34" i="14" s="1"/>
  <c r="AH66" i="13" a="1"/>
  <c r="AH66" i="13" s="1"/>
  <c r="AO14" i="14" a="1"/>
  <c r="AO14" i="14" s="1"/>
  <c r="AG20" i="13" a="1"/>
  <c r="AG20" i="13" s="1"/>
  <c r="Y74" i="14" a="1"/>
  <c r="Y74" i="14" s="1"/>
  <c r="AF56" i="13" a="1"/>
  <c r="AF56" i="13" s="1"/>
  <c r="AD32" i="13" a="1"/>
  <c r="AD32" i="13" s="1"/>
  <c r="AN70" i="13" a="1"/>
  <c r="AN70" i="13" s="1"/>
  <c r="AI58" i="13" a="1"/>
  <c r="AI58" i="13" s="1"/>
  <c r="Z14" i="13" a="1"/>
  <c r="Z14" i="13" s="1"/>
  <c r="AP54" i="14" a="1"/>
  <c r="AP54" i="14" s="1"/>
  <c r="AP68" i="13" a="1"/>
  <c r="AP68" i="13" s="1"/>
  <c r="X84" i="13" a="1"/>
  <c r="X84" i="13" s="1"/>
  <c r="AC8" i="14" a="1"/>
  <c r="AC8" i="14" s="1"/>
  <c r="AA86" i="13" a="1"/>
  <c r="AA86" i="13" s="1"/>
  <c r="AS16" i="14" a="1"/>
  <c r="AS16" i="14" s="1"/>
  <c r="AN58" i="13" a="1"/>
  <c r="AN58" i="13" s="1"/>
  <c r="AI78" i="13" a="1"/>
  <c r="AI78" i="13" s="1"/>
  <c r="AI8" i="14" a="1"/>
  <c r="AI8" i="14" s="1"/>
  <c r="AH46" i="13" a="1"/>
  <c r="AH46" i="13" s="1"/>
  <c r="AL80" i="13" a="1"/>
  <c r="AL80" i="13" s="1"/>
  <c r="AN6" i="14" a="1"/>
  <c r="AN6" i="14" s="1"/>
  <c r="AI12" i="14" a="1"/>
  <c r="AI12" i="14" s="1"/>
  <c r="AS84" i="14" a="1"/>
  <c r="AS84" i="14" s="1"/>
  <c r="AI26" i="13" a="1"/>
  <c r="AI26" i="13" s="1"/>
  <c r="X42" i="13" a="1"/>
  <c r="X42" i="13" s="1"/>
  <c r="AP64" i="14" a="1"/>
  <c r="AP64" i="14" s="1"/>
  <c r="AC72" i="14" a="1"/>
  <c r="AC72" i="14" s="1"/>
  <c r="Z64" i="13" a="1"/>
  <c r="Z64" i="13" s="1"/>
  <c r="AT86" i="13" a="1"/>
  <c r="AT86" i="13" s="1"/>
  <c r="AH28" i="13" a="1"/>
  <c r="AH28" i="13" s="1"/>
  <c r="AR64" i="13" a="1"/>
  <c r="AR64" i="13" s="1"/>
  <c r="AM52" i="14" a="1"/>
  <c r="AM52" i="14" s="1"/>
  <c r="Z28" i="14" a="1"/>
  <c r="Z28" i="14" s="1"/>
  <c r="AJ68" i="14" a="1"/>
  <c r="AJ68" i="14" s="1"/>
  <c r="AM38" i="14" a="1"/>
  <c r="AM38" i="14" s="1"/>
  <c r="AJ20" i="14" a="1"/>
  <c r="AJ20" i="14" s="1"/>
  <c r="Y38" i="13" a="1"/>
  <c r="Y38" i="13" s="1"/>
  <c r="AR18" i="13" a="1"/>
  <c r="AR18" i="13" s="1"/>
  <c r="AN6" i="13" a="1"/>
  <c r="AN6" i="13" s="1"/>
  <c r="AB34" i="14" a="1"/>
  <c r="AB34" i="14" s="1"/>
  <c r="AQ14" i="13" a="1"/>
  <c r="AQ14" i="13" s="1"/>
  <c r="AP8" i="14" a="1"/>
  <c r="AP8" i="14" s="1"/>
  <c r="AF86" i="13" a="1"/>
  <c r="AF86" i="13" s="1"/>
  <c r="AR78" i="14" a="1"/>
  <c r="AR78" i="14" s="1"/>
  <c r="AJ42" i="14" a="1"/>
  <c r="AJ42" i="14" s="1"/>
  <c r="AO26" i="13" a="1"/>
  <c r="AO26" i="13" s="1"/>
  <c r="Z32" i="13" a="1"/>
  <c r="Z32" i="13" s="1"/>
  <c r="AC12" i="13" a="1"/>
  <c r="AC12" i="13" s="1"/>
  <c r="AO10" i="14" a="1"/>
  <c r="AO10" i="14" s="1"/>
  <c r="AT42" i="13" a="1"/>
  <c r="AT42" i="13" s="1"/>
  <c r="AG36" i="13" a="1"/>
  <c r="AG36" i="13" s="1"/>
  <c r="AQ56" i="14" a="1"/>
  <c r="AQ56" i="14" s="1"/>
  <c r="Z18" i="13" a="1"/>
  <c r="Z18" i="13" s="1"/>
  <c r="AK52" i="13" a="1"/>
  <c r="AK52" i="13" s="1"/>
  <c r="AC78" i="13" a="1"/>
  <c r="AC78" i="13" s="1"/>
  <c r="AF10" i="13" a="1"/>
  <c r="AF10" i="13" s="1"/>
  <c r="AG22" i="14" a="1"/>
  <c r="AG22" i="14" s="1"/>
  <c r="AT48" i="14" a="1"/>
  <c r="AT48" i="14" s="1"/>
  <c r="AD84" i="13" a="1"/>
  <c r="AD84" i="13" s="1"/>
  <c r="AI40" i="14" a="1"/>
  <c r="AI40" i="14" s="1"/>
  <c r="AB44" i="13" a="1"/>
  <c r="AB44" i="13" s="1"/>
  <c r="AQ68" i="13" a="1"/>
  <c r="AQ68" i="13" s="1"/>
  <c r="AL24" i="13" a="1"/>
  <c r="AL24" i="13" s="1"/>
  <c r="AD62" i="13" a="1"/>
  <c r="AD62" i="13" s="1"/>
  <c r="AG80" i="13" a="1"/>
  <c r="AG80" i="13" s="1"/>
  <c r="AD52" i="13" a="1"/>
  <c r="AD52" i="13" s="1"/>
  <c r="Y26" i="14" a="1"/>
  <c r="Y26" i="14" s="1"/>
  <c r="AJ8" i="13" a="1"/>
  <c r="AJ8" i="13" s="1"/>
  <c r="Y86" i="13" a="1"/>
  <c r="Y86" i="13" s="1"/>
  <c r="AJ62" i="14" a="1"/>
  <c r="AJ62" i="14" s="1"/>
  <c r="AC50" i="13" a="1"/>
  <c r="AC50" i="13" s="1"/>
  <c r="AT14" i="14" a="1"/>
  <c r="AT14" i="14" s="1"/>
  <c r="Y54" i="14" a="1"/>
  <c r="Y54" i="14" s="1"/>
  <c r="AJ76" i="13" a="1"/>
  <c r="AJ76" i="13" s="1"/>
  <c r="AM10" i="14" a="1"/>
  <c r="AM10" i="14" s="1"/>
  <c r="AL26" i="13" a="1"/>
  <c r="AL26" i="13" s="1"/>
  <c r="AB76" i="13" a="1"/>
  <c r="AB76" i="13" s="1"/>
  <c r="AM34" i="13" a="1"/>
  <c r="AM34" i="13" s="1"/>
  <c r="AH14" i="13" a="1"/>
  <c r="AH14" i="13" s="1"/>
  <c r="Z86" i="13" a="1"/>
  <c r="Z86" i="13" s="1"/>
  <c r="AT30" i="13" a="1"/>
  <c r="AT30" i="13" s="1"/>
  <c r="AP74" i="13" a="1"/>
  <c r="AP74" i="13" s="1"/>
  <c r="AR42" i="14" a="1"/>
  <c r="AR42" i="14" s="1"/>
  <c r="AQ16" i="13" a="1"/>
  <c r="AQ16" i="13" s="1"/>
  <c r="AI8" i="13" a="1"/>
  <c r="AI8" i="13" s="1"/>
  <c r="AR58" i="13" a="1"/>
  <c r="AR58" i="13" s="1"/>
  <c r="AP44" i="13" a="1"/>
  <c r="AP44" i="13" s="1"/>
  <c r="Z66" i="13" a="1"/>
  <c r="Z66" i="13" s="1"/>
  <c r="AB62" i="14" a="1"/>
  <c r="AB62" i="14" s="1"/>
  <c r="AR86" i="13" a="1"/>
  <c r="AR86" i="13" s="1"/>
  <c r="AA48" i="13" a="1"/>
  <c r="AA48" i="13" s="1"/>
  <c r="AM40" i="13" a="1"/>
  <c r="AM40" i="13" s="1"/>
  <c r="AO60" i="13" a="1"/>
  <c r="AO60" i="13" s="1"/>
  <c r="Y14" i="13" a="1"/>
  <c r="Y14" i="13" s="1"/>
  <c r="Z70" i="13" a="1"/>
  <c r="Z70" i="13" s="1"/>
  <c r="AF38" i="14" a="1"/>
  <c r="AF38" i="14" s="1"/>
  <c r="AD20" i="13" a="1"/>
  <c r="AD20" i="13" s="1"/>
  <c r="AF82" i="14" a="1"/>
  <c r="AF82" i="14" s="1"/>
  <c r="AC80" i="13" a="1"/>
  <c r="AC80" i="13" s="1"/>
  <c r="AC36" i="13" a="1"/>
  <c r="AC36" i="13" s="1"/>
  <c r="AF20" i="14" a="1"/>
  <c r="AF20" i="14" s="1"/>
  <c r="Z16" i="13" a="1"/>
  <c r="Z16" i="13" s="1"/>
  <c r="AT36" i="14" a="1"/>
  <c r="AT36" i="14" s="1"/>
  <c r="AQ62" i="13" a="1"/>
  <c r="AQ62" i="13" s="1"/>
  <c r="AA40" i="13" a="1"/>
  <c r="AA40" i="13" s="1"/>
  <c r="AD64" i="13" a="1"/>
  <c r="AD64" i="13" s="1"/>
  <c r="AB80" i="13" a="1"/>
  <c r="AB80" i="13" s="1"/>
  <c r="AM24" i="14" a="1"/>
  <c r="AM24" i="14" s="1"/>
  <c r="AH22" i="14" a="1"/>
  <c r="AH22" i="14" s="1"/>
  <c r="AH56" i="13" a="1"/>
  <c r="AH56" i="13" s="1"/>
  <c r="AD52" i="14" a="1"/>
  <c r="AD52" i="14" s="1"/>
  <c r="AR38" i="13" a="1"/>
  <c r="AR38" i="13" s="1"/>
  <c r="AK16" i="14" a="1"/>
  <c r="AK16" i="14" s="1"/>
  <c r="AT38" i="13" a="1"/>
  <c r="AT38" i="13" s="1"/>
  <c r="AE18" i="13" a="1"/>
  <c r="AE18" i="13" s="1"/>
  <c r="AE14" i="13" a="1"/>
  <c r="AE14" i="13" s="1"/>
  <c r="AT80" i="13" a="1"/>
  <c r="AT80" i="13" s="1"/>
  <c r="AE30" i="13" a="1"/>
  <c r="AE30" i="13" s="1"/>
  <c r="AQ30" i="14" a="1"/>
  <c r="AQ30" i="14" s="1"/>
  <c r="AQ84" i="13" a="1"/>
  <c r="AQ84" i="13" s="1"/>
  <c r="AQ6" i="13" a="1"/>
  <c r="AQ6" i="13" s="1"/>
  <c r="AM14" i="13" a="1"/>
  <c r="AM14" i="13" s="1"/>
  <c r="AN64" i="14" a="1"/>
  <c r="AN64" i="14" s="1"/>
  <c r="AL12" i="13" a="1"/>
  <c r="AL12" i="13" s="1"/>
  <c r="AI22" i="13" a="1"/>
  <c r="AI22" i="13" s="1"/>
  <c r="AK18" i="13" a="1"/>
  <c r="AK18" i="13" s="1"/>
  <c r="AM68" i="14" a="1"/>
  <c r="AM68" i="14" s="1"/>
  <c r="AO24" i="13" a="1"/>
  <c r="AO24" i="13" s="1"/>
  <c r="Z32" i="14" a="1"/>
  <c r="Z32" i="14" s="1"/>
  <c r="AA8" i="14" a="1"/>
  <c r="AA8" i="14" s="1"/>
  <c r="AF72" i="13" a="1"/>
  <c r="AF72" i="13" s="1"/>
  <c r="AK82" i="13" a="1"/>
  <c r="AK82" i="13" s="1"/>
  <c r="AN18" i="14" a="1"/>
  <c r="AN18" i="14" s="1"/>
  <c r="AM14" i="14" a="1"/>
  <c r="AM14" i="14" s="1"/>
  <c r="AU8" i="14" a="1"/>
  <c r="AU8" i="14" s="1"/>
  <c r="AM48" i="14" a="1"/>
  <c r="AM48" i="14" s="1"/>
  <c r="AT20" i="13" a="1"/>
  <c r="AT20" i="13" s="1"/>
  <c r="AO28" i="13" a="1"/>
  <c r="AO28" i="13" s="1"/>
  <c r="AS14" i="13" a="1"/>
  <c r="AS14" i="13" s="1"/>
  <c r="Y52" i="13" a="1"/>
  <c r="Y52" i="13" s="1"/>
  <c r="AS68" i="13" a="1"/>
  <c r="AS68" i="13" s="1"/>
  <c r="AR70" i="14" a="1"/>
  <c r="AR70" i="14" s="1"/>
  <c r="AU70" i="14" a="1"/>
  <c r="AU70" i="14" s="1"/>
  <c r="AI54" i="14" a="1"/>
  <c r="AI54" i="14" s="1"/>
  <c r="AH68" i="14" a="1"/>
  <c r="AH68" i="14" s="1"/>
  <c r="AR10" i="14" a="1"/>
  <c r="AR10" i="14" s="1"/>
  <c r="AB28" i="14" a="1"/>
  <c r="AB28" i="14" s="1"/>
  <c r="AN70" i="14" a="1"/>
  <c r="AN70" i="14" s="1"/>
  <c r="AF24" i="13" a="1"/>
  <c r="AF24" i="13" s="1"/>
  <c r="AJ78" i="13" a="1"/>
  <c r="AJ78" i="13" s="1"/>
  <c r="AN34" i="13" a="1"/>
  <c r="AN34" i="13" s="1"/>
  <c r="X30" i="13" a="1"/>
  <c r="X30" i="13" s="1"/>
  <c r="AR10" i="13" a="1"/>
  <c r="AR10" i="13" s="1"/>
  <c r="AM52" i="13" a="1"/>
  <c r="AM52" i="13" s="1"/>
  <c r="AT14" i="13" a="1"/>
  <c r="AT14" i="13" s="1"/>
  <c r="Y40" i="13" a="1"/>
  <c r="Y40" i="13" s="1"/>
  <c r="AH28" i="14" a="1"/>
  <c r="AH28" i="14" s="1"/>
  <c r="AI44" i="14" a="1"/>
  <c r="AI44" i="14" s="1"/>
  <c r="AP66" i="13" a="1"/>
  <c r="AP66" i="13" s="1"/>
  <c r="AF14" i="14" a="1"/>
  <c r="AF14" i="14" s="1"/>
  <c r="AR82" i="13" a="1"/>
  <c r="AR82" i="13" s="1"/>
  <c r="AJ80" i="13" a="1"/>
  <c r="AJ80" i="13" s="1"/>
  <c r="AM72" i="13" a="1"/>
  <c r="AM72" i="13" s="1"/>
  <c r="AP46" i="14" a="1"/>
  <c r="AP46" i="14" s="1"/>
  <c r="AL34" i="13" a="1"/>
  <c r="AL34" i="13" s="1"/>
  <c r="AJ16" i="14" a="1"/>
  <c r="AJ16" i="14" s="1"/>
  <c r="AA18" i="13" a="1"/>
  <c r="AA18" i="13" s="1"/>
  <c r="AE20" i="13" a="1"/>
  <c r="AE20" i="13" s="1"/>
  <c r="AO22" i="13" a="1"/>
  <c r="AO22" i="13" s="1"/>
  <c r="AN68" i="13" a="1"/>
  <c r="AN68" i="13" s="1"/>
  <c r="AO6" i="14" a="1"/>
  <c r="AO6" i="14" s="1"/>
  <c r="AB56" i="14" a="1"/>
  <c r="AB56" i="14" s="1"/>
  <c r="AK42" i="14" a="1"/>
  <c r="AK42" i="14" s="1"/>
  <c r="AG24" i="14" a="1"/>
  <c r="AG24" i="14" s="1"/>
  <c r="AF16" i="13" a="1"/>
  <c r="AF16" i="13" s="1"/>
  <c r="AL74" i="13" a="1"/>
  <c r="AL74" i="13" s="1"/>
  <c r="AK24" i="13" a="1"/>
  <c r="AK24" i="13" s="1"/>
  <c r="AH42" i="13" a="1"/>
  <c r="AH42" i="13" s="1"/>
  <c r="AA26" i="13" a="1"/>
  <c r="AA26" i="13" s="1"/>
  <c r="AT48" i="13" a="1"/>
  <c r="AT48" i="13" s="1"/>
  <c r="AB74" i="14" a="1"/>
  <c r="AB74" i="14" s="1"/>
  <c r="AL28" i="13" a="1"/>
  <c r="AL28" i="13" s="1"/>
  <c r="AB62" i="13" a="1"/>
  <c r="AB62" i="13" s="1"/>
  <c r="AD72" i="14" a="1"/>
  <c r="AD72" i="14" s="1"/>
  <c r="AP38" i="13" a="1"/>
  <c r="AP38" i="13" s="1"/>
  <c r="Y22" i="13" a="1"/>
  <c r="Y22" i="13" s="1"/>
  <c r="X66" i="13" a="1"/>
  <c r="X66" i="13" s="1"/>
  <c r="AP82" i="14" a="1"/>
  <c r="AP82" i="14" s="1"/>
  <c r="AE22" i="14" a="1"/>
  <c r="AE22" i="14" s="1"/>
  <c r="AC52" i="13" a="1"/>
  <c r="AC52" i="13" s="1"/>
  <c r="AQ26" i="13" a="1"/>
  <c r="AQ26" i="13" s="1"/>
  <c r="AP24" i="14" a="1"/>
  <c r="AP24" i="14" s="1"/>
  <c r="AK50" i="13" a="1"/>
  <c r="AK50" i="13" s="1"/>
  <c r="AM60" i="13" a="1"/>
  <c r="AM60" i="13" s="1"/>
  <c r="AE28" i="14" a="1"/>
  <c r="AE28" i="14" s="1"/>
  <c r="AB14" i="14" a="1"/>
  <c r="AB14" i="14" s="1"/>
  <c r="AL74" i="14" a="1"/>
  <c r="AL74" i="14" s="1"/>
  <c r="AE42" i="13" a="1"/>
  <c r="AE42" i="13" s="1"/>
  <c r="AD58" i="13" a="1"/>
  <c r="AD58" i="13" s="1"/>
  <c r="AG8" i="14" a="1"/>
  <c r="AG8" i="14" s="1"/>
  <c r="AA66" i="13" a="1"/>
  <c r="AA66" i="13" s="1"/>
  <c r="AF48" i="13" a="1"/>
  <c r="AF48" i="13" s="1"/>
  <c r="AL52" i="14" a="1"/>
  <c r="AL52" i="14" s="1"/>
  <c r="AC34" i="13" a="1"/>
  <c r="AC34" i="13" s="1"/>
  <c r="AC38" i="13" a="1"/>
  <c r="AC38" i="13" s="1"/>
  <c r="AQ40" i="13" a="1"/>
  <c r="AQ40" i="13" s="1"/>
  <c r="AU10" i="14" a="1"/>
  <c r="AU10" i="14" s="1"/>
  <c r="AE32" i="14" a="1"/>
  <c r="AE32" i="14" s="1"/>
  <c r="AS76" i="13" a="1"/>
  <c r="AS76" i="13" s="1"/>
  <c r="AJ6" i="13" a="1"/>
  <c r="AJ6" i="13" s="1"/>
  <c r="AN26" i="14" a="1"/>
  <c r="AN26" i="14" s="1"/>
  <c r="AE12" i="13" a="1"/>
  <c r="AE12" i="13" s="1"/>
  <c r="AH86" i="14" a="1"/>
  <c r="AH86" i="14" s="1"/>
  <c r="AL46" i="13" a="1"/>
  <c r="AL46" i="13" s="1"/>
  <c r="AG32" i="14" a="1"/>
  <c r="AG32" i="14" s="1"/>
  <c r="AD86" i="14" a="1"/>
  <c r="AD86" i="14" s="1"/>
  <c r="AJ34" i="13" a="1"/>
  <c r="AJ34" i="13" s="1"/>
  <c r="Z36" i="13" a="1"/>
  <c r="Z36" i="13" s="1"/>
  <c r="AQ56" i="13" a="1"/>
  <c r="AQ56" i="13" s="1"/>
  <c r="X34" i="13" a="1"/>
  <c r="X34" i="13" s="1"/>
  <c r="AC80" i="14" a="1"/>
  <c r="AC80" i="14" s="1"/>
  <c r="AL32" i="13" a="1"/>
  <c r="AL32" i="13" s="1"/>
  <c r="AA42" i="14" a="1"/>
  <c r="AA42" i="14" s="1"/>
  <c r="AF34" i="14" a="1"/>
  <c r="AF34" i="14" s="1"/>
  <c r="AI76" i="14" a="1"/>
  <c r="AI76" i="14" s="1"/>
  <c r="AF8" i="13" a="1"/>
  <c r="AF8" i="13" s="1"/>
  <c r="AM10" i="13" a="1"/>
  <c r="AM10" i="13" s="1"/>
  <c r="AR46" i="14" a="1"/>
  <c r="AR46" i="14" s="1"/>
  <c r="X60" i="13" a="1"/>
  <c r="X60" i="13" s="1"/>
  <c r="AE72" i="13" a="1"/>
  <c r="AE72" i="13" s="1"/>
  <c r="AR8" i="13" a="1"/>
  <c r="AR8" i="13" s="1"/>
  <c r="AC18" i="13" a="1"/>
  <c r="AC18" i="13" s="1"/>
  <c r="AC30" i="13" a="1"/>
  <c r="AC30" i="13" s="1"/>
  <c r="AT66" i="13" a="1"/>
  <c r="AT66" i="13" s="1"/>
  <c r="AJ18" i="13" a="1"/>
  <c r="AJ18" i="13" s="1"/>
  <c r="AH72" i="14" a="1"/>
  <c r="AH72" i="14" s="1"/>
  <c r="AT10" i="13" a="1"/>
  <c r="AT10" i="13" s="1"/>
  <c r="AA52" i="13" a="1"/>
  <c r="AA52" i="13" s="1"/>
  <c r="AT82" i="14" a="1"/>
  <c r="AT82" i="14" s="1"/>
  <c r="AM62" i="13" a="1"/>
  <c r="AM62" i="13" s="1"/>
  <c r="AR14" i="13" a="1"/>
  <c r="AR14" i="13" s="1"/>
  <c r="AD44" i="13" a="1"/>
  <c r="AD44" i="13" s="1"/>
  <c r="AR72" i="13" a="1"/>
  <c r="AR72" i="13" s="1"/>
  <c r="AH6" i="14" a="1"/>
  <c r="AH6" i="14" s="1"/>
  <c r="AP30" i="13" a="1"/>
  <c r="AP30" i="13" s="1"/>
  <c r="AD80" i="13" a="1"/>
  <c r="AD80" i="13" s="1"/>
  <c r="AB8" i="13" a="1"/>
  <c r="AB8" i="13" s="1"/>
  <c r="Z26" i="13" a="1"/>
  <c r="Z26" i="13" s="1"/>
  <c r="AF34" i="13" a="1"/>
  <c r="AF34" i="13" s="1"/>
  <c r="AS48" i="14" a="1"/>
  <c r="AS48" i="14" s="1"/>
  <c r="AH66" i="14" a="1"/>
  <c r="AH66" i="14" s="1"/>
  <c r="AS22" i="14" a="1"/>
  <c r="AS22" i="14" s="1"/>
  <c r="AL76" i="13" a="1"/>
  <c r="AL76" i="13" s="1"/>
  <c r="Y8" i="13" a="1"/>
  <c r="Y8" i="13" s="1"/>
  <c r="AA56" i="14" a="1"/>
  <c r="AA56" i="14" s="1"/>
  <c r="AD82" i="13" a="1"/>
  <c r="AD82" i="13" s="1"/>
  <c r="Z12" i="13" a="1"/>
  <c r="Z12" i="13" s="1"/>
  <c r="Z56" i="13" a="1"/>
  <c r="Z56" i="13" s="1"/>
  <c r="Z84" i="13" a="1"/>
  <c r="Z84" i="13" s="1"/>
  <c r="AK6" i="14" a="1"/>
  <c r="AK6" i="14" s="1"/>
  <c r="AB64" i="14" a="1"/>
  <c r="AB64" i="14" s="1"/>
  <c r="AM56" i="13" a="1"/>
  <c r="AM56" i="13" s="1"/>
  <c r="AD26" i="14" a="1"/>
  <c r="AD26" i="14" s="1"/>
  <c r="AF70" i="14" a="1"/>
  <c r="AF70" i="14" s="1"/>
  <c r="AJ14" i="14" a="1"/>
  <c r="AJ14" i="14" s="1"/>
  <c r="AB30" i="13" a="1"/>
  <c r="AB30" i="13" s="1"/>
  <c r="AI30" i="13" a="1"/>
  <c r="AI30" i="13" s="1"/>
  <c r="AR40" i="13" a="1"/>
  <c r="AR40" i="13" s="1"/>
  <c r="AT36" i="13" a="1"/>
  <c r="AT36" i="13" s="1"/>
  <c r="AM66" i="13" a="1"/>
  <c r="AM66" i="13" s="1"/>
  <c r="AQ44" i="13" a="1"/>
  <c r="AQ44" i="13" s="1"/>
  <c r="AB86" i="13" a="1"/>
  <c r="AB86" i="13" s="1"/>
  <c r="AL62" i="14" a="1"/>
  <c r="AL62" i="14" s="1"/>
  <c r="AN56" i="13" a="1"/>
  <c r="AN56" i="13" s="1"/>
  <c r="AG82" i="13" a="1"/>
  <c r="AG82" i="13" s="1"/>
  <c r="AS44" i="13" a="1"/>
  <c r="AS44" i="13" s="1"/>
  <c r="AP8" i="13" a="1"/>
  <c r="AP8" i="13" s="1"/>
  <c r="AI56" i="13" a="1"/>
  <c r="AI56" i="13" s="1"/>
  <c r="AG52" i="13" a="1"/>
  <c r="AG52" i="13" s="1"/>
  <c r="AD48" i="13" a="1"/>
  <c r="AD48" i="13" s="1"/>
  <c r="AL34" i="14" a="1"/>
  <c r="AL34" i="14" s="1"/>
  <c r="AA80" i="14" a="1"/>
  <c r="AA80" i="14" s="1"/>
  <c r="AJ80" i="14" a="1"/>
  <c r="AJ80" i="14" s="1"/>
  <c r="AN60" i="13" a="1"/>
  <c r="AN60" i="13" s="1"/>
  <c r="AF36" i="14" a="1"/>
  <c r="AF36" i="14" s="1"/>
  <c r="AI22" i="14" a="1"/>
  <c r="AI22" i="14" s="1"/>
  <c r="AO68" i="13" a="1"/>
  <c r="AO68" i="13" s="1"/>
  <c r="AG84" i="13" a="1"/>
  <c r="AG84" i="13" s="1"/>
  <c r="AC76" i="14" a="1"/>
  <c r="AC76" i="14" s="1"/>
  <c r="AH80" i="13" a="1"/>
  <c r="AH80" i="13" s="1"/>
  <c r="AF18" i="14" a="1"/>
  <c r="AF18" i="14" s="1"/>
  <c r="Z24" i="13" a="1"/>
  <c r="Z24" i="13" s="1"/>
  <c r="AT58" i="13" a="1"/>
  <c r="AT58" i="13" s="1"/>
  <c r="AN86" i="14" a="1"/>
  <c r="AN86" i="14" s="1"/>
  <c r="AS38" i="13" a="1"/>
  <c r="AS38" i="13" s="1"/>
  <c r="AN50" i="14" a="1"/>
  <c r="AN50" i="14" s="1"/>
  <c r="AI74" i="13" a="1"/>
  <c r="AI74" i="13" s="1"/>
  <c r="AM24" i="13" a="1"/>
  <c r="AM24" i="13" s="1"/>
  <c r="AC66" i="14" a="1"/>
  <c r="AC66" i="14" s="1"/>
  <c r="AD86" i="13" a="1"/>
  <c r="AD86" i="13" s="1"/>
  <c r="AL60" i="13" a="1"/>
  <c r="AL60" i="13" s="1"/>
  <c r="AA38" i="14" a="1"/>
  <c r="AA38" i="14" s="1"/>
  <c r="AN84" i="13" a="1"/>
  <c r="AN84" i="13" s="1"/>
  <c r="AT16" i="14" a="1"/>
  <c r="AT16" i="14" s="1"/>
  <c r="AF58" i="13" a="1"/>
  <c r="AF58" i="13" s="1"/>
  <c r="AB46" i="14" a="1"/>
  <c r="AB46" i="14" s="1"/>
  <c r="AL24" i="14" a="1"/>
  <c r="AL24" i="14" s="1"/>
  <c r="Z50" i="14" a="1"/>
  <c r="Z50" i="14" s="1"/>
  <c r="AR34" i="13" a="1"/>
  <c r="AR34" i="13" s="1"/>
  <c r="AJ44" i="14" a="1"/>
  <c r="AJ44" i="14" s="1"/>
  <c r="AC12" i="14" a="1"/>
  <c r="AC12" i="14" s="1"/>
  <c r="Z74" i="14" a="1"/>
  <c r="Z74" i="14" s="1"/>
  <c r="AG44" i="13" a="1"/>
  <c r="AG44" i="13" s="1"/>
  <c r="AC32" i="13" a="1"/>
  <c r="AC32" i="13" s="1"/>
  <c r="AP42" i="13" a="1"/>
  <c r="AP42" i="13" s="1"/>
  <c r="AI46" i="14" a="1"/>
  <c r="AI46" i="14" s="1"/>
  <c r="Y10" i="13" a="1"/>
  <c r="Y10" i="13" s="1"/>
  <c r="Z44" i="13" a="1"/>
  <c r="Z44" i="13" s="1"/>
  <c r="Y66" i="13" a="1"/>
  <c r="Y66" i="13" s="1"/>
  <c r="AE84" i="14" a="1"/>
  <c r="AE84" i="14" s="1"/>
  <c r="AF54" i="13" a="1"/>
  <c r="AF54" i="13" s="1"/>
  <c r="AA60" i="13" a="1"/>
  <c r="AA60" i="13" s="1"/>
  <c r="AC82" i="14" a="1"/>
  <c r="AC82" i="14" s="1"/>
  <c r="AQ22" i="14" a="1"/>
  <c r="AQ22" i="14" s="1"/>
  <c r="AI24" i="13" a="1"/>
  <c r="AI24" i="13" s="1"/>
  <c r="Y60" i="14" a="1"/>
  <c r="Y60" i="14" s="1"/>
  <c r="AA42" i="13" a="1"/>
  <c r="AA42" i="13" s="1"/>
  <c r="AJ12" i="13" a="1"/>
  <c r="AJ12" i="13" s="1"/>
  <c r="AG48" i="13" a="1"/>
  <c r="AG48" i="13" s="1"/>
  <c r="AL64" i="13" a="1"/>
  <c r="AL64" i="13" s="1"/>
  <c r="AR28" i="13" a="1"/>
  <c r="AR28" i="13" s="1"/>
  <c r="AN20" i="14" a="1"/>
  <c r="AN20" i="14" s="1"/>
  <c r="AF64" i="13" a="1"/>
  <c r="AF64" i="13" s="1"/>
  <c r="AS34" i="13" a="1"/>
  <c r="AS34" i="13" s="1"/>
  <c r="AG16" i="13" a="1"/>
  <c r="AG16" i="13" s="1"/>
  <c r="Y74" i="13" a="1"/>
  <c r="Y74" i="13" s="1"/>
  <c r="AE24" i="13" a="1"/>
  <c r="AE24" i="13" s="1"/>
  <c r="AC66" i="13" a="1"/>
  <c r="AC66" i="13" s="1"/>
  <c r="AR38" i="14" a="1"/>
  <c r="AR38" i="14" s="1"/>
  <c r="AJ28" i="13" a="1"/>
  <c r="AJ28" i="13" s="1"/>
  <c r="AL50" i="13" a="1"/>
  <c r="AL50" i="13" s="1"/>
  <c r="AC8" i="13" a="1"/>
  <c r="AC8" i="13" s="1"/>
  <c r="AB66" i="13" a="1"/>
  <c r="AB66" i="13" s="1"/>
  <c r="AN64" i="13" a="1"/>
  <c r="AN64" i="13" s="1"/>
  <c r="AS32" i="13" a="1"/>
  <c r="AS32" i="13" s="1"/>
  <c r="AB22" i="14" a="1"/>
  <c r="AB22" i="14" s="1"/>
  <c r="AF68" i="14" a="1"/>
  <c r="AF68" i="14" s="1"/>
  <c r="AT32" i="13" a="1"/>
  <c r="AT32" i="13" s="1"/>
  <c r="AB10" i="14" a="1"/>
  <c r="AB10" i="14" s="1"/>
  <c r="AH12" i="13" a="1"/>
  <c r="AH12" i="13" s="1"/>
  <c r="Y36" i="13" a="1"/>
  <c r="Y36" i="13" s="1"/>
  <c r="AT50" i="14" a="1"/>
  <c r="AT50" i="14" s="1"/>
  <c r="X62" i="13" a="1"/>
  <c r="X62" i="13" s="1"/>
  <c r="AJ70" i="13" a="1"/>
  <c r="AJ70" i="13" s="1"/>
  <c r="AD46" i="13" a="1"/>
  <c r="AD46" i="13" s="1"/>
  <c r="AP64" i="13" a="1"/>
  <c r="AP64" i="13" s="1"/>
  <c r="AB20" i="13" a="1"/>
  <c r="AB20" i="13" s="1"/>
  <c r="AP18" i="13" a="1"/>
  <c r="AP18" i="13" s="1"/>
  <c r="AD14" i="13" a="1"/>
  <c r="AD14" i="13" s="1"/>
  <c r="AO56" i="13" a="1"/>
  <c r="AO56" i="13" s="1"/>
  <c r="AB24" i="13" a="1"/>
  <c r="AB24" i="13" s="1"/>
  <c r="AN42" i="14" a="1"/>
  <c r="AN42" i="14" s="1"/>
  <c r="AU22" i="14" a="1"/>
  <c r="AU22" i="14" s="1"/>
  <c r="AN24" i="13" a="1"/>
  <c r="AN24" i="13" s="1"/>
  <c r="AK60" i="13" a="1"/>
  <c r="AK60" i="13" s="1"/>
  <c r="AQ46" i="13" a="1"/>
  <c r="AQ46" i="13" s="1"/>
  <c r="AF44" i="13" a="1"/>
  <c r="AF44" i="13" s="1"/>
  <c r="AM42" i="14" a="1"/>
  <c r="AM42" i="14" s="1"/>
  <c r="AE52" i="13" a="1"/>
  <c r="AE52" i="13" s="1"/>
  <c r="X16" i="13" a="1"/>
  <c r="X16" i="13" s="1"/>
  <c r="AL36" i="13" a="1"/>
  <c r="AL36" i="13" s="1"/>
  <c r="AD74" i="13" a="1"/>
  <c r="AD74" i="13" s="1"/>
  <c r="AE16" i="14" a="1"/>
  <c r="AE16" i="14" s="1"/>
  <c r="AP84" i="14" a="1"/>
  <c r="AP84" i="14" s="1"/>
  <c r="AN16" i="13" a="1"/>
  <c r="AN16" i="13" s="1"/>
  <c r="AH72" i="13" a="1"/>
  <c r="AH72" i="13" s="1"/>
  <c r="X24" i="13" a="1"/>
  <c r="X24" i="13" s="1"/>
  <c r="AL6" i="13" a="1"/>
  <c r="AL6" i="13" s="1"/>
  <c r="Y64" i="13" a="1"/>
  <c r="Y64" i="13" s="1"/>
  <c r="AB72" i="13" a="1"/>
  <c r="AB72" i="13" s="1"/>
  <c r="Y76" i="13" a="1"/>
  <c r="Y76" i="13" s="1"/>
  <c r="AA58" i="13" a="1"/>
  <c r="AA58" i="13" s="1"/>
  <c r="AQ10" i="14" a="1"/>
  <c r="AQ10" i="14" s="1"/>
  <c r="AG46" i="14" a="1"/>
  <c r="AG46" i="14" s="1"/>
  <c r="AR84" i="13" a="1"/>
  <c r="AR84" i="13" s="1"/>
  <c r="AT46" i="13" a="1"/>
  <c r="AT46" i="13" s="1"/>
  <c r="AS36" i="13" a="1"/>
  <c r="AS36" i="13" s="1"/>
  <c r="AN18" i="13" a="1"/>
  <c r="AN18" i="13" s="1"/>
  <c r="AJ74" i="13" a="1"/>
  <c r="AJ74" i="13" s="1"/>
  <c r="AK76" i="14" a="1"/>
  <c r="AK76" i="14" s="1"/>
  <c r="AP60" i="13" a="1"/>
  <c r="AP60" i="13" s="1"/>
  <c r="AF72" i="14" a="1"/>
  <c r="AF72" i="14" s="1"/>
  <c r="AE86" i="13" a="1"/>
  <c r="AE86" i="13" s="1"/>
  <c r="AC22" i="14" a="1"/>
  <c r="AC22" i="14" s="1"/>
  <c r="AM58" i="13" a="1"/>
  <c r="AM58" i="13" s="1"/>
  <c r="AT70" i="13" a="1"/>
  <c r="AT70" i="13" s="1"/>
  <c r="AG22" i="13" a="1"/>
  <c r="AG22" i="13" s="1"/>
  <c r="AO72" i="13" a="1"/>
  <c r="AO72" i="13" s="1"/>
  <c r="AN38" i="14" a="1"/>
  <c r="AN38" i="14" s="1"/>
  <c r="AN80" i="13" a="1"/>
  <c r="AN80" i="13" s="1"/>
  <c r="AQ54" i="14" a="1"/>
  <c r="AQ54" i="14" s="1"/>
  <c r="AL52" i="13" a="1"/>
  <c r="AL52" i="13" s="1"/>
  <c r="AA20" i="13" a="1"/>
  <c r="AA20" i="13" s="1"/>
  <c r="AN40" i="13" a="1"/>
  <c r="AN40" i="13" s="1"/>
  <c r="AO18" i="14" a="1"/>
  <c r="AO18" i="14" s="1"/>
  <c r="AH16" i="14" a="1"/>
  <c r="AH16" i="14" s="1"/>
  <c r="AE20" i="14" a="1"/>
  <c r="AE20" i="14" s="1"/>
  <c r="AC6" i="13" a="1"/>
  <c r="AC6" i="13" s="1"/>
  <c r="AH56" i="14" a="1"/>
  <c r="AH56" i="14" s="1"/>
  <c r="AO70" i="14" a="1"/>
  <c r="AO70" i="14" s="1"/>
  <c r="AJ42" i="13" a="1"/>
  <c r="AJ42" i="13" s="1"/>
  <c r="AB70" i="13" a="1"/>
  <c r="AB70" i="13" s="1"/>
  <c r="AS14" i="14" a="1"/>
  <c r="AS14" i="14" s="1"/>
  <c r="Z34" i="13" a="1"/>
  <c r="Z34" i="13" s="1"/>
  <c r="AT84" i="13" a="1"/>
  <c r="AT84" i="13" s="1"/>
  <c r="X38" i="13" a="1"/>
  <c r="X38" i="13" s="1"/>
  <c r="AD34" i="14" a="1"/>
  <c r="AD34" i="14" s="1"/>
  <c r="AJ78" i="14" a="1"/>
  <c r="AJ78" i="14" s="1"/>
  <c r="AK68" i="13" a="1"/>
  <c r="AK68" i="13" s="1"/>
  <c r="Y28" i="13" a="1"/>
  <c r="Y28" i="13" s="1"/>
  <c r="AH62" i="13" a="1"/>
  <c r="AH62" i="13" s="1"/>
  <c r="AH86" i="13" a="1"/>
  <c r="AH86" i="13" s="1"/>
  <c r="AC42" i="13" a="1"/>
  <c r="AC42" i="13" s="1"/>
  <c r="AU74" i="14" a="1"/>
  <c r="AU74" i="14" s="1"/>
  <c r="AO62" i="14" a="1"/>
  <c r="AO62" i="14" s="1"/>
  <c r="AR70" i="13" a="1"/>
  <c r="AR70" i="13" s="1"/>
  <c r="AI6" i="14" a="1"/>
  <c r="AI6" i="14" s="1"/>
  <c r="AP36" i="13" a="1"/>
  <c r="AP36" i="13" s="1"/>
  <c r="AE56" i="13" a="1"/>
  <c r="AE56" i="13" s="1"/>
  <c r="AR58" i="14" a="1"/>
  <c r="AR58" i="14" s="1"/>
  <c r="AB50" i="13" a="1"/>
  <c r="AB50" i="13" s="1"/>
  <c r="AL50" i="14" a="1"/>
  <c r="AL50" i="14" s="1"/>
  <c r="AP68" i="14" a="1"/>
  <c r="AP68" i="14" s="1"/>
  <c r="X18" i="13" a="1"/>
  <c r="X18" i="13" s="1"/>
  <c r="Y32" i="13" a="1"/>
  <c r="Y32" i="13" s="1"/>
  <c r="AO34" i="13" a="1"/>
  <c r="AO34" i="13" s="1"/>
  <c r="AE22" i="13" a="1"/>
  <c r="AE22" i="13" s="1"/>
  <c r="AB82" i="13" a="1"/>
  <c r="AB82" i="13" s="1"/>
  <c r="AQ18" i="14" a="1"/>
  <c r="AQ18" i="14" s="1"/>
  <c r="AN62" i="13" a="1"/>
  <c r="AN62" i="13" s="1"/>
  <c r="AH58" i="13" a="1"/>
  <c r="AH58" i="13" s="1"/>
  <c r="AL16" i="13" a="1"/>
  <c r="AL16" i="13" s="1"/>
  <c r="AU16" i="14" a="1"/>
  <c r="AU16" i="14" s="1"/>
  <c r="AS52" i="14" a="1"/>
  <c r="AS52" i="14" s="1"/>
  <c r="AL68" i="13" a="1"/>
  <c r="AL68" i="13" s="1"/>
  <c r="Z52" i="13" a="1"/>
  <c r="Z52" i="13" s="1"/>
  <c r="AR66" i="14" a="1"/>
  <c r="AR66" i="14" s="1"/>
  <c r="AH22" i="13" a="1"/>
  <c r="AH22" i="13" s="1"/>
  <c r="AK12" i="14" a="1"/>
  <c r="AK12" i="14" s="1"/>
  <c r="AA76" i="13" a="1"/>
  <c r="AA76" i="13" s="1"/>
  <c r="AL8" i="13" a="1"/>
  <c r="AL8" i="13" s="1"/>
  <c r="AH60" i="13" a="1"/>
  <c r="AH60" i="13" s="1"/>
  <c r="Z40" i="13" a="1"/>
  <c r="Z40" i="13" s="1"/>
  <c r="AJ26" i="14" a="1"/>
  <c r="AJ26" i="14" s="1"/>
  <c r="AE48" i="13" a="1"/>
  <c r="AE48" i="13" s="1"/>
  <c r="AM56" i="14" a="1"/>
  <c r="AM56" i="14" s="1"/>
  <c r="AS40" i="13" a="1"/>
  <c r="AS40" i="13" s="1"/>
  <c r="AC14" i="13" a="1"/>
  <c r="AC14" i="13" s="1"/>
  <c r="AU50" i="14" a="1"/>
  <c r="AU50" i="14" s="1"/>
  <c r="AK32" i="13" a="1"/>
  <c r="AK32" i="13" s="1"/>
  <c r="Z10" i="14" a="1"/>
  <c r="Z10" i="14" s="1"/>
  <c r="AI28" i="13" a="1"/>
  <c r="AI28" i="13" s="1"/>
  <c r="AH50" i="14" a="1"/>
  <c r="AH50" i="14" s="1"/>
  <c r="AJ36" i="14" a="1"/>
  <c r="AJ36" i="14" s="1"/>
  <c r="AP6" i="14" a="1"/>
  <c r="AP6" i="14" s="1"/>
  <c r="AF22" i="13" a="1"/>
  <c r="AF22" i="13" s="1"/>
  <c r="Z60" i="13" a="1"/>
  <c r="Z60" i="13" s="1"/>
  <c r="AO70" i="13" a="1"/>
  <c r="AO70" i="13" s="1"/>
  <c r="AU62" i="14" a="1"/>
  <c r="AU62" i="14" s="1"/>
  <c r="AN38" i="13" a="1"/>
  <c r="AN38" i="13" s="1"/>
  <c r="AC10" i="13" a="1"/>
  <c r="AC10" i="13" s="1"/>
  <c r="AK16" i="13" a="1"/>
  <c r="AK16" i="13" s="1"/>
  <c r="AN76" i="14" a="1"/>
  <c r="AN76" i="14" s="1"/>
  <c r="AR16" i="14" a="1"/>
  <c r="AR16" i="14" s="1"/>
  <c r="AR68" i="14" a="1"/>
  <c r="AR68" i="14" s="1"/>
  <c r="AN14" i="13" a="1"/>
  <c r="AN14" i="13" s="1"/>
  <c r="AN54" i="13" a="1"/>
  <c r="AN54" i="13" s="1"/>
  <c r="AQ8" i="14" a="1"/>
  <c r="AQ8" i="14" s="1"/>
  <c r="AD36" i="14" a="1"/>
  <c r="AD36" i="14" s="1"/>
  <c r="AH54" i="13" a="1"/>
  <c r="AH54" i="13" s="1"/>
  <c r="AF38" i="13" a="1"/>
  <c r="AF38" i="13" s="1"/>
  <c r="AD38" i="13" a="1"/>
  <c r="AD38" i="13" s="1"/>
  <c r="AQ64" i="13" a="1"/>
  <c r="AQ64" i="13" s="1"/>
  <c r="AU38" i="14" a="1"/>
  <c r="AU38" i="14" s="1"/>
  <c r="AL66" i="13" a="1"/>
  <c r="AL66" i="13" s="1"/>
  <c r="AC72" i="13" a="1"/>
  <c r="AC72" i="13" s="1"/>
  <c r="AI50" i="13" a="1"/>
  <c r="AI50" i="13" s="1"/>
  <c r="AR14" i="14" a="1"/>
  <c r="AR14" i="14" s="1"/>
  <c r="AG10" i="14" a="1"/>
  <c r="AG10" i="14" s="1"/>
  <c r="AN44" i="13" a="1"/>
  <c r="AN44" i="13" s="1"/>
  <c r="Y24" i="14" a="1"/>
  <c r="Y24" i="14" s="1"/>
  <c r="AB30" i="14" a="1"/>
  <c r="AB30" i="14" s="1"/>
  <c r="AO24" i="14" a="1"/>
  <c r="AO24" i="14" s="1"/>
  <c r="AO46" i="13" a="1"/>
  <c r="AO46" i="13" s="1"/>
  <c r="AH38" i="13" a="1"/>
  <c r="AH38" i="13" s="1"/>
  <c r="AI28" i="14" a="1"/>
  <c r="AI28" i="14" s="1"/>
  <c r="Z38" i="13" a="1"/>
  <c r="Z38" i="13" s="1"/>
  <c r="AF76" i="13" a="1"/>
  <c r="AF76" i="13" s="1"/>
  <c r="AB48" i="13" a="1"/>
  <c r="AB48" i="13" s="1"/>
  <c r="AH26" i="13" a="1"/>
  <c r="AH26" i="13" s="1"/>
  <c r="AJ44" i="13" a="1"/>
  <c r="AJ44" i="13" s="1"/>
  <c r="AP56" i="13" a="1"/>
  <c r="AP56" i="13" s="1"/>
  <c r="AD16" i="13" a="1"/>
  <c r="AD16" i="13" s="1"/>
  <c r="AP34" i="13" a="1"/>
  <c r="AP34" i="13" s="1"/>
  <c r="AR26" i="13" a="1"/>
  <c r="AR26" i="13" s="1"/>
  <c r="AD40" i="13" a="1"/>
  <c r="AD40" i="13" s="1"/>
  <c r="AS52" i="13" a="1"/>
  <c r="AS52" i="13" s="1"/>
  <c r="AE24" i="14" a="1"/>
  <c r="AE24" i="14" s="1"/>
  <c r="AF50" i="13" a="1"/>
  <c r="AF50" i="13" s="1"/>
  <c r="AP46" i="13" a="1"/>
  <c r="AP46" i="13" s="1"/>
  <c r="AG46" i="13" a="1"/>
  <c r="AG46" i="13" s="1"/>
  <c r="AI82" i="13" a="1"/>
  <c r="AI82" i="13" s="1"/>
  <c r="AQ10" i="13" a="1"/>
  <c r="AQ10" i="13" s="1"/>
  <c r="AA14" i="14" a="1"/>
  <c r="AA14" i="14" s="1"/>
  <c r="AS10" i="13" a="1"/>
  <c r="AS10" i="13" s="1"/>
  <c r="AI32" i="13" a="1"/>
  <c r="AI32" i="13" s="1"/>
  <c r="AR44" i="13" a="1"/>
  <c r="AR44" i="13" s="1"/>
  <c r="AQ70" i="14" a="1"/>
  <c r="AQ70" i="14" s="1"/>
  <c r="AD68" i="14" a="1"/>
  <c r="AD68" i="14" s="1"/>
  <c r="AP58" i="13" a="1"/>
  <c r="AP58" i="13" s="1"/>
  <c r="AA24" i="14" a="1"/>
  <c r="AA24" i="14" s="1"/>
  <c r="X48" i="13" a="1"/>
  <c r="X48" i="13" s="1"/>
  <c r="AS64" i="13" a="1"/>
  <c r="AS64" i="13" s="1"/>
  <c r="AA68" i="13" a="1"/>
  <c r="AA68" i="13" s="1"/>
  <c r="AF46" i="13" a="1"/>
  <c r="AF46" i="13" s="1"/>
  <c r="AK44" i="13" a="1"/>
  <c r="AK44" i="13" s="1"/>
  <c r="AH16" i="13" a="1"/>
  <c r="AH16" i="13" s="1"/>
  <c r="AG14" i="13" a="1"/>
  <c r="AG14" i="13" s="1"/>
  <c r="AD8" i="14" a="1"/>
  <c r="AD8" i="14" s="1"/>
  <c r="AT64" i="13" a="1"/>
  <c r="AT64" i="13" s="1"/>
  <c r="AM80" i="13" a="1"/>
  <c r="AM80" i="13" s="1"/>
  <c r="AG74" i="14" a="1"/>
  <c r="AG74" i="14" s="1"/>
  <c r="AM20" i="13" a="1"/>
  <c r="AM20" i="13" s="1"/>
  <c r="AJ66" i="13" a="1"/>
  <c r="AJ66" i="13" s="1"/>
  <c r="AF32" i="13" a="1"/>
  <c r="AF32" i="13" s="1"/>
  <c r="AO4" i="16"/>
  <c r="AT22" i="17" a="1"/>
  <c r="AT22" i="17" s="1"/>
  <c r="T3" i="9"/>
  <c r="S4" i="9"/>
  <c r="K49" i="9"/>
  <c r="L49" i="9" s="1"/>
  <c r="H77" i="17" l="1"/>
  <c r="I77" i="17" s="1"/>
  <c r="H9" i="17"/>
  <c r="I9" i="17" s="1"/>
  <c r="H21" i="17"/>
  <c r="I21" i="17" s="1"/>
  <c r="H67" i="17"/>
  <c r="I67" i="17" s="1"/>
  <c r="H73" i="17"/>
  <c r="I73" i="17" s="1"/>
  <c r="H57" i="17"/>
  <c r="I57" i="17" s="1"/>
  <c r="H65" i="17"/>
  <c r="I65" i="17" s="1"/>
  <c r="H27" i="17"/>
  <c r="I27" i="17" s="1"/>
  <c r="H33" i="17"/>
  <c r="I33" i="17" s="1"/>
  <c r="H19" i="17"/>
  <c r="I19" i="17" s="1"/>
  <c r="H69" i="17"/>
  <c r="I69" i="17" s="1"/>
  <c r="H13" i="17"/>
  <c r="I13" i="17" s="1"/>
  <c r="H51" i="17"/>
  <c r="I51" i="17" s="1"/>
  <c r="H55" i="17"/>
  <c r="I55" i="17" s="1"/>
  <c r="H31" i="17"/>
  <c r="I31" i="17" s="1"/>
  <c r="H37" i="17"/>
  <c r="I37" i="17" s="1"/>
  <c r="H63" i="17"/>
  <c r="I63" i="17" s="1"/>
  <c r="H29" i="17"/>
  <c r="I29" i="17" s="1"/>
  <c r="H39" i="17"/>
  <c r="I39" i="17" s="1"/>
  <c r="H71" i="17"/>
  <c r="I71" i="17" s="1"/>
  <c r="H5" i="17"/>
  <c r="I5" i="17" s="1"/>
  <c r="H85" i="17"/>
  <c r="I85" i="17" s="1"/>
  <c r="H45" i="17"/>
  <c r="I45" i="17" s="1"/>
  <c r="H15" i="17"/>
  <c r="I15" i="17" s="1"/>
  <c r="H49" i="17"/>
  <c r="I49" i="17" s="1"/>
  <c r="H81" i="17"/>
  <c r="I81" i="17" s="1"/>
  <c r="H7" i="17"/>
  <c r="I7" i="17" s="1"/>
  <c r="H83" i="17"/>
  <c r="I83" i="17" s="1"/>
  <c r="H47" i="17"/>
  <c r="I47" i="17" s="1"/>
  <c r="H23" i="17"/>
  <c r="I23" i="17" s="1"/>
  <c r="H17" i="17"/>
  <c r="I17" i="17" s="1"/>
  <c r="H79" i="17"/>
  <c r="I79" i="17" s="1"/>
  <c r="H75" i="17"/>
  <c r="I75" i="17" s="1"/>
  <c r="H11" i="17"/>
  <c r="I11" i="17" s="1"/>
  <c r="H41" i="17"/>
  <c r="I41" i="17" s="1"/>
  <c r="H53" i="17"/>
  <c r="I53" i="17" s="1"/>
  <c r="H43" i="17"/>
  <c r="I43" i="17" s="1"/>
  <c r="H25" i="17"/>
  <c r="I25" i="17" s="1"/>
  <c r="H61" i="17"/>
  <c r="I61" i="17" s="1"/>
  <c r="H35" i="17"/>
  <c r="I35" i="17" s="1"/>
  <c r="H59" i="17"/>
  <c r="I59" i="17" s="1"/>
  <c r="H59" i="14"/>
  <c r="I59" i="14" s="1"/>
  <c r="H17" i="13"/>
  <c r="I17" i="13" s="1"/>
  <c r="H37" i="13"/>
  <c r="I37" i="13" s="1"/>
  <c r="H47" i="13"/>
  <c r="I47" i="13" s="1"/>
  <c r="H63" i="14"/>
  <c r="I63" i="14" s="1"/>
  <c r="H43" i="14"/>
  <c r="I43" i="14" s="1"/>
  <c r="H11" i="14"/>
  <c r="I11" i="14" s="1"/>
  <c r="H51" i="13"/>
  <c r="I51" i="13" s="1"/>
  <c r="H81" i="14"/>
  <c r="I81" i="14" s="1"/>
  <c r="H45" i="13"/>
  <c r="I45" i="13" s="1"/>
  <c r="H59" i="13"/>
  <c r="I59" i="13" s="1"/>
  <c r="H35" i="14"/>
  <c r="I35" i="14" s="1"/>
  <c r="H65" i="14"/>
  <c r="I65" i="14" s="1"/>
  <c r="H73" i="14"/>
  <c r="I73" i="14" s="1"/>
  <c r="H57" i="14"/>
  <c r="I57" i="14" s="1"/>
  <c r="H67" i="13"/>
  <c r="I67" i="13" s="1"/>
  <c r="H19" i="13"/>
  <c r="I19" i="13" s="1"/>
  <c r="H25" i="14"/>
  <c r="I25" i="14" s="1"/>
  <c r="H83" i="14"/>
  <c r="I83" i="14" s="1"/>
  <c r="H79" i="14"/>
  <c r="I79" i="14" s="1"/>
  <c r="H75" i="14"/>
  <c r="I75" i="14" s="1"/>
  <c r="H49" i="13"/>
  <c r="I49" i="13" s="1"/>
  <c r="H15" i="13"/>
  <c r="I15" i="13" s="1"/>
  <c r="H73" i="13"/>
  <c r="I73" i="13" s="1"/>
  <c r="H13" i="14"/>
  <c r="I13" i="14" s="1"/>
  <c r="H77" i="14"/>
  <c r="I77" i="14" s="1"/>
  <c r="H77" i="13"/>
  <c r="I77" i="13" s="1"/>
  <c r="H61" i="13"/>
  <c r="I61" i="13" s="1"/>
  <c r="H31" i="14"/>
  <c r="I31" i="14" s="1"/>
  <c r="H19" i="14"/>
  <c r="I19" i="14" s="1"/>
  <c r="H55" i="14"/>
  <c r="I55" i="14" s="1"/>
  <c r="H69" i="13"/>
  <c r="I69" i="13" s="1"/>
  <c r="H9" i="14"/>
  <c r="I9" i="14" s="1"/>
  <c r="H31" i="13"/>
  <c r="I31" i="13" s="1"/>
  <c r="H41" i="14"/>
  <c r="I41" i="14" s="1"/>
  <c r="H17" i="14"/>
  <c r="I17" i="14" s="1"/>
  <c r="H81" i="13"/>
  <c r="I81" i="13" s="1"/>
  <c r="H37" i="14"/>
  <c r="I37" i="14" s="1"/>
  <c r="H33" i="14"/>
  <c r="I33" i="14" s="1"/>
  <c r="H55" i="13"/>
  <c r="I55" i="13" s="1"/>
  <c r="H43" i="13"/>
  <c r="I43" i="13" s="1"/>
  <c r="H51" i="14"/>
  <c r="I51" i="14" s="1"/>
  <c r="H21" i="13"/>
  <c r="I21" i="13" s="1"/>
  <c r="H7" i="14"/>
  <c r="I7" i="14" s="1"/>
  <c r="H79" i="13"/>
  <c r="I79" i="13" s="1"/>
  <c r="H85" i="13"/>
  <c r="I85" i="13" s="1"/>
  <c r="H35" i="13"/>
  <c r="I35" i="13" s="1"/>
  <c r="H53" i="13"/>
  <c r="I53" i="13" s="1"/>
  <c r="H47" i="14"/>
  <c r="I47" i="14" s="1"/>
  <c r="H27" i="13"/>
  <c r="I27" i="13" s="1"/>
  <c r="H61" i="14"/>
  <c r="I61" i="14" s="1"/>
  <c r="H39" i="14"/>
  <c r="I39" i="14" s="1"/>
  <c r="H49" i="14"/>
  <c r="I49" i="14" s="1"/>
  <c r="H9" i="13"/>
  <c r="I9" i="13" s="1"/>
  <c r="H33" i="13"/>
  <c r="I33" i="13" s="1"/>
  <c r="H83" i="13"/>
  <c r="I83" i="13" s="1"/>
  <c r="H57" i="13"/>
  <c r="I57" i="13" s="1"/>
  <c r="H21" i="14"/>
  <c r="I21" i="14" s="1"/>
  <c r="H25" i="13"/>
  <c r="I25" i="13" s="1"/>
  <c r="H45" i="14"/>
  <c r="I45" i="14" s="1"/>
  <c r="H85" i="14"/>
  <c r="I85" i="14" s="1"/>
  <c r="H23" i="14"/>
  <c r="I23" i="14" s="1"/>
  <c r="H65" i="13"/>
  <c r="I65" i="13" s="1"/>
  <c r="H5" i="14"/>
  <c r="I5" i="14" s="1"/>
  <c r="H5" i="13"/>
  <c r="I5" i="13" s="1"/>
  <c r="H27" i="14"/>
  <c r="I27" i="14" s="1"/>
  <c r="H69" i="14"/>
  <c r="I69" i="14" s="1"/>
  <c r="H75" i="13"/>
  <c r="I75" i="13" s="1"/>
  <c r="H39" i="13"/>
  <c r="I39" i="13" s="1"/>
  <c r="H11" i="13"/>
  <c r="I11" i="13" s="1"/>
  <c r="H29" i="14"/>
  <c r="I29" i="14" s="1"/>
  <c r="H23" i="13"/>
  <c r="I23" i="13" s="1"/>
  <c r="H53" i="14"/>
  <c r="I53" i="14" s="1"/>
  <c r="H41" i="13"/>
  <c r="I41" i="13" s="1"/>
  <c r="H7" i="13"/>
  <c r="I7" i="13" s="1"/>
  <c r="H71" i="14"/>
  <c r="I71" i="14" s="1"/>
  <c r="H63" i="13"/>
  <c r="I63" i="13" s="1"/>
  <c r="H71" i="13"/>
  <c r="I71" i="13" s="1"/>
  <c r="H29" i="13"/>
  <c r="I29" i="13" s="1"/>
  <c r="H15" i="14"/>
  <c r="I15" i="14" s="1"/>
  <c r="H13" i="13"/>
  <c r="I13" i="13" s="1"/>
  <c r="H67" i="14"/>
  <c r="I67" i="14" s="1"/>
  <c r="T74" i="9"/>
  <c r="T76" i="9"/>
  <c r="T78" i="9"/>
  <c r="T80" i="9"/>
  <c r="T64" i="9"/>
  <c r="T48" i="9"/>
  <c r="T82" i="9"/>
  <c r="T84" i="9"/>
  <c r="T68" i="9"/>
  <c r="T86" i="9"/>
  <c r="T70" i="9"/>
  <c r="T26" i="9"/>
  <c r="T42" i="9"/>
  <c r="T28" i="9"/>
  <c r="T66" i="9"/>
  <c r="T58" i="9"/>
  <c r="T30" i="9"/>
  <c r="T60" i="9"/>
  <c r="T46" i="9"/>
  <c r="T56" i="9"/>
  <c r="T32" i="9"/>
  <c r="T72" i="9"/>
  <c r="T44" i="9"/>
  <c r="T34" i="9"/>
  <c r="T54" i="9"/>
  <c r="T62" i="9"/>
  <c r="T36" i="9"/>
  <c r="T20" i="9"/>
  <c r="T52" i="9"/>
  <c r="T38" i="9"/>
  <c r="T50" i="9"/>
  <c r="T16" i="9"/>
  <c r="T22" i="9"/>
  <c r="T8" i="9"/>
  <c r="T10" i="9"/>
  <c r="T18" i="9"/>
  <c r="T12" i="9"/>
  <c r="T40" i="9"/>
  <c r="T24" i="9"/>
  <c r="T14" i="9"/>
  <c r="T4" i="9"/>
  <c r="T6" i="9"/>
  <c r="U3" i="9"/>
  <c r="U6" i="9" l="1"/>
  <c r="U74" i="9"/>
  <c r="U76" i="9"/>
  <c r="U78" i="9"/>
  <c r="U62" i="9"/>
  <c r="U80" i="9"/>
  <c r="U64" i="9"/>
  <c r="U48" i="9"/>
  <c r="U82" i="9"/>
  <c r="U66" i="9"/>
  <c r="U84" i="9"/>
  <c r="U68" i="9"/>
  <c r="U86" i="9"/>
  <c r="U70" i="9"/>
  <c r="U72" i="9"/>
  <c r="U56" i="9"/>
  <c r="U42" i="9"/>
  <c r="U28" i="9"/>
  <c r="U58" i="9"/>
  <c r="U30" i="9"/>
  <c r="U60" i="9"/>
  <c r="U46" i="9"/>
  <c r="U32" i="9"/>
  <c r="U44" i="9"/>
  <c r="U34" i="9"/>
  <c r="U54" i="9"/>
  <c r="U36" i="9"/>
  <c r="U52" i="9"/>
  <c r="U38" i="9"/>
  <c r="U50" i="9"/>
  <c r="U40" i="9"/>
  <c r="U24" i="9"/>
  <c r="U26" i="9"/>
  <c r="U16" i="9"/>
  <c r="U22" i="9"/>
  <c r="U8" i="9"/>
  <c r="U10" i="9"/>
  <c r="U18" i="9"/>
  <c r="U12" i="9"/>
  <c r="U20" i="9"/>
  <c r="U14" i="9"/>
  <c r="U4" i="9"/>
  <c r="V3" i="9"/>
  <c r="V6" i="9" l="1"/>
  <c r="V76" i="9"/>
  <c r="V60" i="9"/>
  <c r="V78" i="9"/>
  <c r="V62" i="9"/>
  <c r="V80" i="9"/>
  <c r="V64" i="9"/>
  <c r="V82" i="9"/>
  <c r="V66" i="9"/>
  <c r="V50" i="9"/>
  <c r="V84" i="9"/>
  <c r="V86" i="9"/>
  <c r="V70" i="9"/>
  <c r="V72" i="9"/>
  <c r="V48" i="9"/>
  <c r="V28" i="9"/>
  <c r="V58" i="9"/>
  <c r="V30" i="9"/>
  <c r="V46" i="9"/>
  <c r="V32" i="9"/>
  <c r="V56" i="9"/>
  <c r="V44" i="9"/>
  <c r="V34" i="9"/>
  <c r="V18" i="9"/>
  <c r="V54" i="9"/>
  <c r="V36" i="9"/>
  <c r="V20" i="9"/>
  <c r="V68" i="9"/>
  <c r="V52" i="9"/>
  <c r="V38" i="9"/>
  <c r="V22" i="9"/>
  <c r="V40" i="9"/>
  <c r="V74" i="9"/>
  <c r="V16" i="9"/>
  <c r="V8" i="9"/>
  <c r="V42" i="9"/>
  <c r="V10" i="9"/>
  <c r="V26" i="9"/>
  <c r="V12" i="9"/>
  <c r="V24" i="9"/>
  <c r="V14" i="9"/>
  <c r="V4" i="9"/>
  <c r="W3" i="9"/>
  <c r="W6" i="9" l="1"/>
  <c r="W76" i="9"/>
  <c r="W78" i="9"/>
  <c r="W62" i="9"/>
  <c r="W80" i="9"/>
  <c r="W64" i="9"/>
  <c r="W82" i="9"/>
  <c r="W66" i="9"/>
  <c r="W50" i="9"/>
  <c r="W84" i="9"/>
  <c r="W68" i="9"/>
  <c r="W86" i="9"/>
  <c r="W70" i="9"/>
  <c r="W72" i="9"/>
  <c r="W74" i="9"/>
  <c r="W58" i="9"/>
  <c r="W30" i="9"/>
  <c r="W46" i="9"/>
  <c r="W60" i="9"/>
  <c r="W32" i="9"/>
  <c r="W56" i="9"/>
  <c r="W44" i="9"/>
  <c r="W34" i="9"/>
  <c r="W54" i="9"/>
  <c r="W36" i="9"/>
  <c r="W52" i="9"/>
  <c r="W38" i="9"/>
  <c r="W40" i="9"/>
  <c r="W24" i="9"/>
  <c r="W26" i="9"/>
  <c r="W16" i="9"/>
  <c r="W42" i="9"/>
  <c r="W8" i="9"/>
  <c r="W22" i="9"/>
  <c r="W28" i="9"/>
  <c r="W10" i="9"/>
  <c r="W18" i="9"/>
  <c r="W12" i="9"/>
  <c r="W48" i="9"/>
  <c r="W14" i="9"/>
  <c r="W20" i="9"/>
  <c r="W4" i="9"/>
  <c r="X3" i="9"/>
  <c r="X6" i="9" l="1"/>
  <c r="X78" i="9"/>
  <c r="X62" i="9"/>
  <c r="X80" i="9"/>
  <c r="X64" i="9"/>
  <c r="X82" i="9"/>
  <c r="X66" i="9"/>
  <c r="X84" i="9"/>
  <c r="X68" i="9"/>
  <c r="X52" i="9"/>
  <c r="X86" i="9"/>
  <c r="X72" i="9"/>
  <c r="X74" i="9"/>
  <c r="X30" i="9"/>
  <c r="X58" i="9"/>
  <c r="X46" i="9"/>
  <c r="X60" i="9"/>
  <c r="X32" i="9"/>
  <c r="X76" i="9"/>
  <c r="X56" i="9"/>
  <c r="X44" i="9"/>
  <c r="X34" i="9"/>
  <c r="X54" i="9"/>
  <c r="X36" i="9"/>
  <c r="X20" i="9"/>
  <c r="X38" i="9"/>
  <c r="X22" i="9"/>
  <c r="X40" i="9"/>
  <c r="X24" i="9"/>
  <c r="X50" i="9"/>
  <c r="X26" i="9"/>
  <c r="X42" i="9"/>
  <c r="X8" i="9"/>
  <c r="X70" i="9"/>
  <c r="X28" i="9"/>
  <c r="X10" i="9"/>
  <c r="X18" i="9"/>
  <c r="X12" i="9"/>
  <c r="X48" i="9"/>
  <c r="X14" i="9"/>
  <c r="X16" i="9"/>
  <c r="X4" i="9"/>
  <c r="Y3" i="9"/>
  <c r="Y6" i="9" l="1"/>
  <c r="Y78" i="9"/>
  <c r="Y62" i="9"/>
  <c r="Y80" i="9"/>
  <c r="Y64" i="9"/>
  <c r="Y82" i="9"/>
  <c r="Y66" i="9"/>
  <c r="Y84" i="9"/>
  <c r="Y68" i="9"/>
  <c r="Y52" i="9"/>
  <c r="Y86" i="9"/>
  <c r="Y70" i="9"/>
  <c r="Y72" i="9"/>
  <c r="Y74" i="9"/>
  <c r="Y76" i="9"/>
  <c r="Y60" i="9"/>
  <c r="Y44" i="9"/>
  <c r="Y58" i="9"/>
  <c r="Y46" i="9"/>
  <c r="Y32" i="9"/>
  <c r="Y56" i="9"/>
  <c r="Y34" i="9"/>
  <c r="Y54" i="9"/>
  <c r="Y36" i="9"/>
  <c r="Y38" i="9"/>
  <c r="Y40" i="9"/>
  <c r="Y50" i="9"/>
  <c r="Y26" i="9"/>
  <c r="Y42" i="9"/>
  <c r="Y48" i="9"/>
  <c r="Y28" i="9"/>
  <c r="Y8" i="9"/>
  <c r="Y22" i="9"/>
  <c r="Y10" i="9"/>
  <c r="Y18" i="9"/>
  <c r="Y12" i="9"/>
  <c r="Y14" i="9"/>
  <c r="Y24" i="9"/>
  <c r="Y20" i="9"/>
  <c r="Y30" i="9"/>
  <c r="Y16" i="9"/>
  <c r="Y4" i="9"/>
  <c r="Z3" i="9"/>
  <c r="Z6" i="9" l="1"/>
  <c r="Z80" i="9"/>
  <c r="Z64" i="9"/>
  <c r="Z82" i="9"/>
  <c r="Z66" i="9"/>
  <c r="Z84" i="9"/>
  <c r="Z68" i="9"/>
  <c r="Z86" i="9"/>
  <c r="Z70" i="9"/>
  <c r="Z54" i="9"/>
  <c r="Z74" i="9"/>
  <c r="Z76" i="9"/>
  <c r="Z32" i="9"/>
  <c r="Z16" i="9"/>
  <c r="Z60" i="9"/>
  <c r="Z56" i="9"/>
  <c r="Z34" i="9"/>
  <c r="Z18" i="9"/>
  <c r="Z44" i="9"/>
  <c r="Z36" i="9"/>
  <c r="Z72" i="9"/>
  <c r="Z38" i="9"/>
  <c r="Z22" i="9"/>
  <c r="Z52" i="9"/>
  <c r="Z40" i="9"/>
  <c r="Z24" i="9"/>
  <c r="Z78" i="9"/>
  <c r="Z62" i="9"/>
  <c r="Z50" i="9"/>
  <c r="Z26" i="9"/>
  <c r="Z42" i="9"/>
  <c r="Z48" i="9"/>
  <c r="Z28" i="9"/>
  <c r="Z58" i="9"/>
  <c r="Z46" i="9"/>
  <c r="Z8" i="9"/>
  <c r="Z10" i="9"/>
  <c r="Z12" i="9"/>
  <c r="Z14" i="9"/>
  <c r="Z20" i="9"/>
  <c r="Z30" i="9"/>
  <c r="Z4" i="9"/>
  <c r="AA3" i="9"/>
  <c r="AA6" i="9" l="1"/>
  <c r="AA80" i="9"/>
  <c r="AA64" i="9"/>
  <c r="AA82" i="9"/>
  <c r="AA66" i="9"/>
  <c r="AA84" i="9"/>
  <c r="AA68" i="9"/>
  <c r="AA86" i="9"/>
  <c r="AA70" i="9"/>
  <c r="AA54" i="9"/>
  <c r="AA72" i="9"/>
  <c r="AA74" i="9"/>
  <c r="AA76" i="9"/>
  <c r="AA78" i="9"/>
  <c r="AA62" i="9"/>
  <c r="AA46" i="9"/>
  <c r="AA60" i="9"/>
  <c r="AA56" i="9"/>
  <c r="AA34" i="9"/>
  <c r="AA18" i="9"/>
  <c r="AA44" i="9"/>
  <c r="AA36" i="9"/>
  <c r="AA38" i="9"/>
  <c r="AA22" i="9"/>
  <c r="AA52" i="9"/>
  <c r="AA40" i="9"/>
  <c r="AA24" i="9"/>
  <c r="AA50" i="9"/>
  <c r="AA26" i="9"/>
  <c r="AA42" i="9"/>
  <c r="AA48" i="9"/>
  <c r="AA28" i="9"/>
  <c r="AA30" i="9"/>
  <c r="AA58" i="9"/>
  <c r="AA32" i="9"/>
  <c r="AA10" i="9"/>
  <c r="AA12" i="9"/>
  <c r="AA14" i="9"/>
  <c r="AA20" i="9"/>
  <c r="AA16" i="9"/>
  <c r="AB3" i="9"/>
  <c r="AA4" i="9"/>
  <c r="AB6" i="9" l="1"/>
  <c r="AB82" i="9"/>
  <c r="AB66" i="9"/>
  <c r="AB84" i="9"/>
  <c r="AB68" i="9"/>
  <c r="AB86" i="9"/>
  <c r="AB70" i="9"/>
  <c r="AB72" i="9"/>
  <c r="AB56" i="9"/>
  <c r="AB76" i="9"/>
  <c r="AB78" i="9"/>
  <c r="AB34" i="9"/>
  <c r="AB18" i="9"/>
  <c r="AB44" i="9"/>
  <c r="AB80" i="9"/>
  <c r="AB36" i="9"/>
  <c r="AB20" i="9"/>
  <c r="AB64" i="9"/>
  <c r="AB54" i="9"/>
  <c r="AB38" i="9"/>
  <c r="AB52" i="9"/>
  <c r="AB40" i="9"/>
  <c r="AB24" i="9"/>
  <c r="AB62" i="9"/>
  <c r="AB50" i="9"/>
  <c r="AB26" i="9"/>
  <c r="AB42" i="9"/>
  <c r="AB48" i="9"/>
  <c r="AB28" i="9"/>
  <c r="AB74" i="9"/>
  <c r="AB30" i="9"/>
  <c r="AB58" i="9"/>
  <c r="AB8" i="9"/>
  <c r="AB46" i="9"/>
  <c r="AB32" i="9"/>
  <c r="AB10" i="9"/>
  <c r="AB22" i="9"/>
  <c r="AB12" i="9"/>
  <c r="AB14" i="9"/>
  <c r="AB60" i="9"/>
  <c r="AB16" i="9"/>
  <c r="AB4" i="9"/>
  <c r="AC3" i="9"/>
  <c r="AC6" i="9" l="1"/>
  <c r="AC82" i="9"/>
  <c r="AC66" i="9"/>
  <c r="AC84" i="9"/>
  <c r="AC68" i="9"/>
  <c r="AC86" i="9"/>
  <c r="AC70" i="9"/>
  <c r="AC72" i="9"/>
  <c r="AC56" i="9"/>
  <c r="AC74" i="9"/>
  <c r="AC76" i="9"/>
  <c r="AC78" i="9"/>
  <c r="AC80" i="9"/>
  <c r="AC64" i="9"/>
  <c r="AC48" i="9"/>
  <c r="AC44" i="9"/>
  <c r="AC36" i="9"/>
  <c r="AC20" i="9"/>
  <c r="AC54" i="9"/>
  <c r="AC38" i="9"/>
  <c r="AC52" i="9"/>
  <c r="AC40" i="9"/>
  <c r="AC24" i="9"/>
  <c r="AC62" i="9"/>
  <c r="AC50" i="9"/>
  <c r="AC26" i="9"/>
  <c r="AC42" i="9"/>
  <c r="AC28" i="9"/>
  <c r="AC30" i="9"/>
  <c r="AC58" i="9"/>
  <c r="AC46" i="9"/>
  <c r="AC32" i="9"/>
  <c r="AC10" i="9"/>
  <c r="AC22" i="9"/>
  <c r="AC12" i="9"/>
  <c r="AC8" i="9"/>
  <c r="AC14" i="9"/>
  <c r="AC18" i="9"/>
  <c r="AC34" i="9"/>
  <c r="AC60" i="9"/>
  <c r="AC16" i="9"/>
  <c r="AC4" i="9"/>
  <c r="AD3" i="9"/>
  <c r="AD6" i="9" l="1"/>
  <c r="AD84" i="9"/>
  <c r="AD68" i="9"/>
  <c r="AD86" i="9"/>
  <c r="AD70" i="9"/>
  <c r="AD72" i="9"/>
  <c r="AD74" i="9"/>
  <c r="AD58" i="9"/>
  <c r="AD78" i="9"/>
  <c r="AD80" i="9"/>
  <c r="AD64" i="9"/>
  <c r="AD36" i="9"/>
  <c r="AD20" i="9"/>
  <c r="AD54" i="9"/>
  <c r="AD76" i="9"/>
  <c r="AD38" i="9"/>
  <c r="AD22" i="9"/>
  <c r="AD66" i="9"/>
  <c r="AD52" i="9"/>
  <c r="AD40" i="9"/>
  <c r="AD24" i="9"/>
  <c r="AD62" i="9"/>
  <c r="AD50" i="9"/>
  <c r="AD26" i="9"/>
  <c r="AD42" i="9"/>
  <c r="AD28" i="9"/>
  <c r="AD48" i="9"/>
  <c r="AD30" i="9"/>
  <c r="AD82" i="9"/>
  <c r="AD46" i="9"/>
  <c r="AD32" i="9"/>
  <c r="AD60" i="9"/>
  <c r="AD10" i="9"/>
  <c r="AD8" i="9"/>
  <c r="AD12" i="9"/>
  <c r="AD14" i="9"/>
  <c r="AD18" i="9"/>
  <c r="AD34" i="9"/>
  <c r="AD56" i="9"/>
  <c r="AD16" i="9"/>
  <c r="AD44" i="9"/>
  <c r="AD4" i="9"/>
  <c r="AE3" i="9"/>
  <c r="AE6" i="9" l="1"/>
  <c r="AE84" i="9"/>
  <c r="AE68" i="9"/>
  <c r="AE86" i="9"/>
  <c r="AE70" i="9"/>
  <c r="AE72" i="9"/>
  <c r="AE74" i="9"/>
  <c r="AE58" i="9"/>
  <c r="AE42" i="9"/>
  <c r="AE76" i="9"/>
  <c r="AE78" i="9"/>
  <c r="AE80" i="9"/>
  <c r="AE64" i="9"/>
  <c r="AE82" i="9"/>
  <c r="AE66" i="9"/>
  <c r="AE50" i="9"/>
  <c r="AE54" i="9"/>
  <c r="AE38" i="9"/>
  <c r="AE22" i="9"/>
  <c r="AE52" i="9"/>
  <c r="AE40" i="9"/>
  <c r="AE24" i="9"/>
  <c r="AE62" i="9"/>
  <c r="AE26" i="9"/>
  <c r="AE28" i="9"/>
  <c r="AE48" i="9"/>
  <c r="AE30" i="9"/>
  <c r="AE46" i="9"/>
  <c r="AE32" i="9"/>
  <c r="AE60" i="9"/>
  <c r="AE34" i="9"/>
  <c r="AE12" i="9"/>
  <c r="AE14" i="9"/>
  <c r="AE18" i="9"/>
  <c r="AE8" i="9"/>
  <c r="AE56" i="9"/>
  <c r="AE20" i="9"/>
  <c r="AE16" i="9"/>
  <c r="AE44" i="9"/>
  <c r="AE36" i="9"/>
  <c r="AE10" i="9"/>
  <c r="AE4" i="9"/>
  <c r="AF3" i="9"/>
  <c r="AF6" i="9" l="1"/>
  <c r="AF86" i="9"/>
  <c r="AF70" i="9"/>
  <c r="AF72" i="9"/>
  <c r="AF74" i="9"/>
  <c r="AF76" i="9"/>
  <c r="AF60" i="9"/>
  <c r="AF44" i="9"/>
  <c r="AF80" i="9"/>
  <c r="AF82" i="9"/>
  <c r="AF66" i="9"/>
  <c r="AF38" i="9"/>
  <c r="AF22" i="9"/>
  <c r="AF64" i="9"/>
  <c r="AF52" i="9"/>
  <c r="AF40" i="9"/>
  <c r="AF24" i="9"/>
  <c r="AF62" i="9"/>
  <c r="AF26" i="9"/>
  <c r="AF50" i="9"/>
  <c r="AF84" i="9"/>
  <c r="AF42" i="9"/>
  <c r="AF28" i="9"/>
  <c r="AF48" i="9"/>
  <c r="AF78" i="9"/>
  <c r="AF68" i="9"/>
  <c r="AF30" i="9"/>
  <c r="AF46" i="9"/>
  <c r="AF32" i="9"/>
  <c r="AF58" i="9"/>
  <c r="AF34" i="9"/>
  <c r="AF56" i="9"/>
  <c r="AF12" i="9"/>
  <c r="AF54" i="9"/>
  <c r="AF14" i="9"/>
  <c r="AF18" i="9"/>
  <c r="AF20" i="9"/>
  <c r="AF16" i="9"/>
  <c r="AF8" i="9"/>
  <c r="AF36" i="9"/>
  <c r="AF10" i="9"/>
  <c r="AF4" i="9"/>
  <c r="AG3" i="9"/>
  <c r="AG6" i="9" l="1"/>
  <c r="AG86" i="9"/>
  <c r="AG70" i="9"/>
  <c r="AG72" i="9"/>
  <c r="AG74" i="9"/>
  <c r="AG76" i="9"/>
  <c r="AG60" i="9"/>
  <c r="AG44" i="9"/>
  <c r="AG78" i="9"/>
  <c r="AG80" i="9"/>
  <c r="AG82" i="9"/>
  <c r="AG66" i="9"/>
  <c r="AG84" i="9"/>
  <c r="AG68" i="9"/>
  <c r="AG52" i="9"/>
  <c r="AG64" i="9"/>
  <c r="AG40" i="9"/>
  <c r="AG24" i="9"/>
  <c r="AG62" i="9"/>
  <c r="AG26" i="9"/>
  <c r="AG50" i="9"/>
  <c r="AG42" i="9"/>
  <c r="AG28" i="9"/>
  <c r="AG48" i="9"/>
  <c r="AG30" i="9"/>
  <c r="AG46" i="9"/>
  <c r="AG32" i="9"/>
  <c r="AG58" i="9"/>
  <c r="AG34" i="9"/>
  <c r="AG56" i="9"/>
  <c r="AG36" i="9"/>
  <c r="AG54" i="9"/>
  <c r="AG12" i="9"/>
  <c r="AG22" i="9"/>
  <c r="AG14" i="9"/>
  <c r="AG18" i="9"/>
  <c r="AG38" i="9"/>
  <c r="AG20" i="9"/>
  <c r="AG16" i="9"/>
  <c r="AG8" i="9"/>
  <c r="AG10" i="9"/>
  <c r="AG4" i="9"/>
  <c r="AH3" i="9"/>
  <c r="AH6" i="9" l="1"/>
  <c r="AH72" i="9"/>
  <c r="AH74" i="9"/>
  <c r="AH76" i="9"/>
  <c r="AH78" i="9"/>
  <c r="AH62" i="9"/>
  <c r="AH46" i="9"/>
  <c r="AH80" i="9"/>
  <c r="AH82" i="9"/>
  <c r="AH84" i="9"/>
  <c r="AH68" i="9"/>
  <c r="AH86" i="9"/>
  <c r="AH64" i="9"/>
  <c r="AH40" i="9"/>
  <c r="AH24" i="9"/>
  <c r="AH52" i="9"/>
  <c r="AH66" i="9"/>
  <c r="AH26" i="9"/>
  <c r="AH50" i="9"/>
  <c r="AH42" i="9"/>
  <c r="AH28" i="9"/>
  <c r="AH48" i="9"/>
  <c r="AH30" i="9"/>
  <c r="AH32" i="9"/>
  <c r="AH58" i="9"/>
  <c r="AH34" i="9"/>
  <c r="AH60" i="9"/>
  <c r="AH56" i="9"/>
  <c r="AH36" i="9"/>
  <c r="AH54" i="9"/>
  <c r="AH44" i="9"/>
  <c r="AH22" i="9"/>
  <c r="AH14" i="9"/>
  <c r="AH18" i="9"/>
  <c r="AH38" i="9"/>
  <c r="AH70" i="9"/>
  <c r="AH20" i="9"/>
  <c r="AH16" i="9"/>
  <c r="AH8" i="9"/>
  <c r="AH10" i="9"/>
  <c r="AH12" i="9"/>
  <c r="AI3" i="9"/>
  <c r="AH4" i="9"/>
  <c r="AI6" i="9" l="1"/>
  <c r="AI72" i="9"/>
  <c r="AI74" i="9"/>
  <c r="AI76" i="9"/>
  <c r="AI78" i="9"/>
  <c r="AI62" i="9"/>
  <c r="AI46" i="9"/>
  <c r="AI80" i="9"/>
  <c r="AI64" i="9"/>
  <c r="AI82" i="9"/>
  <c r="AI66" i="9"/>
  <c r="AI84" i="9"/>
  <c r="AI68" i="9"/>
  <c r="AI86" i="9"/>
  <c r="AI70" i="9"/>
  <c r="AI54" i="9"/>
  <c r="AI52" i="9"/>
  <c r="AI26" i="9"/>
  <c r="AI50" i="9"/>
  <c r="AI42" i="9"/>
  <c r="AI28" i="9"/>
  <c r="AI48" i="9"/>
  <c r="AI30" i="9"/>
  <c r="AI32" i="9"/>
  <c r="AI58" i="9"/>
  <c r="AI34" i="9"/>
  <c r="AI60" i="9"/>
  <c r="AI56" i="9"/>
  <c r="AI36" i="9"/>
  <c r="AI44" i="9"/>
  <c r="AI38" i="9"/>
  <c r="AI18" i="9"/>
  <c r="AI20" i="9"/>
  <c r="AI16" i="9"/>
  <c r="AI8" i="9"/>
  <c r="AI22" i="9"/>
  <c r="AI14" i="9"/>
  <c r="AI24" i="9"/>
  <c r="AI10" i="9"/>
  <c r="AI40" i="9"/>
  <c r="AI12" i="9"/>
  <c r="AJ3" i="9"/>
  <c r="AI4" i="9"/>
  <c r="AJ6" i="9" l="1"/>
  <c r="AJ74" i="9"/>
  <c r="AJ58" i="9"/>
  <c r="AJ76" i="9"/>
  <c r="AJ60" i="9"/>
  <c r="AJ78" i="9"/>
  <c r="AJ62" i="9"/>
  <c r="AJ80" i="9"/>
  <c r="AJ64" i="9"/>
  <c r="AJ48" i="9"/>
  <c r="AJ82" i="9"/>
  <c r="AJ84" i="9"/>
  <c r="AJ68" i="9"/>
  <c r="AJ86" i="9"/>
  <c r="AJ70" i="9"/>
  <c r="AJ26" i="9"/>
  <c r="AJ66" i="9"/>
  <c r="AJ50" i="9"/>
  <c r="AJ42" i="9"/>
  <c r="AJ28" i="9"/>
  <c r="AJ30" i="9"/>
  <c r="AJ72" i="9"/>
  <c r="AJ32" i="9"/>
  <c r="AJ16" i="9"/>
  <c r="AJ46" i="9"/>
  <c r="AJ34" i="9"/>
  <c r="AJ56" i="9"/>
  <c r="AJ36" i="9"/>
  <c r="AJ20" i="9"/>
  <c r="AJ44" i="9"/>
  <c r="AJ54" i="9"/>
  <c r="AJ38" i="9"/>
  <c r="AJ8" i="9"/>
  <c r="AJ52" i="9"/>
  <c r="AJ24" i="9"/>
  <c r="AJ10" i="9"/>
  <c r="AJ40" i="9"/>
  <c r="AJ12" i="9"/>
  <c r="AJ22" i="9"/>
  <c r="AJ14" i="9"/>
  <c r="AJ18" i="9"/>
  <c r="AJ4" i="9"/>
  <c r="AK3" i="9"/>
  <c r="AK6" i="9" l="1"/>
  <c r="AK74" i="9"/>
  <c r="AK76" i="9"/>
  <c r="AK78" i="9"/>
  <c r="AK62" i="9"/>
  <c r="AK80" i="9"/>
  <c r="AK64" i="9"/>
  <c r="AK48" i="9"/>
  <c r="AK82" i="9"/>
  <c r="AK66" i="9"/>
  <c r="AK84" i="9"/>
  <c r="AK68" i="9"/>
  <c r="AK86" i="9"/>
  <c r="AK70" i="9"/>
  <c r="AK72" i="9"/>
  <c r="AK56" i="9"/>
  <c r="AK50" i="9"/>
  <c r="AK42" i="9"/>
  <c r="AK28" i="9"/>
  <c r="AK30" i="9"/>
  <c r="AK32" i="9"/>
  <c r="AK58" i="9"/>
  <c r="AK46" i="9"/>
  <c r="AK34" i="9"/>
  <c r="AK60" i="9"/>
  <c r="AK36" i="9"/>
  <c r="AK44" i="9"/>
  <c r="AK54" i="9"/>
  <c r="AK38" i="9"/>
  <c r="AK22" i="9"/>
  <c r="AK40" i="9"/>
  <c r="AK24" i="9"/>
  <c r="AK20" i="9"/>
  <c r="AK16" i="9"/>
  <c r="AK8" i="9"/>
  <c r="AK52" i="9"/>
  <c r="AK10" i="9"/>
  <c r="AK12" i="9"/>
  <c r="AK14" i="9"/>
  <c r="AK26" i="9"/>
  <c r="AK18" i="9"/>
  <c r="AL3" i="9"/>
  <c r="AK4" i="9"/>
  <c r="AL6" i="9" l="1"/>
  <c r="AL76" i="9"/>
  <c r="AL60" i="9"/>
  <c r="AL78" i="9"/>
  <c r="AL62" i="9"/>
  <c r="AL80" i="9"/>
  <c r="AL64" i="9"/>
  <c r="AL82" i="9"/>
  <c r="AL66" i="9"/>
  <c r="AL50" i="9"/>
  <c r="AL84" i="9"/>
  <c r="AL86" i="9"/>
  <c r="AL70" i="9"/>
  <c r="AL72" i="9"/>
  <c r="AL42" i="9"/>
  <c r="AL28" i="9"/>
  <c r="AL30" i="9"/>
  <c r="AL48" i="9"/>
  <c r="AL32" i="9"/>
  <c r="AL58" i="9"/>
  <c r="AL46" i="9"/>
  <c r="AL34" i="9"/>
  <c r="AL18" i="9"/>
  <c r="AL68" i="9"/>
  <c r="AL56" i="9"/>
  <c r="AL36" i="9"/>
  <c r="AL20" i="9"/>
  <c r="AL44" i="9"/>
  <c r="AL54" i="9"/>
  <c r="AL38" i="9"/>
  <c r="AL22" i="9"/>
  <c r="AL74" i="9"/>
  <c r="AL40" i="9"/>
  <c r="AL24" i="9"/>
  <c r="AL52" i="9"/>
  <c r="AL16" i="9"/>
  <c r="AL10" i="9"/>
  <c r="AL8" i="9"/>
  <c r="AL12" i="9"/>
  <c r="AL14" i="9"/>
  <c r="AL26" i="9"/>
  <c r="AL4" i="9"/>
  <c r="AM3" i="9"/>
  <c r="AM6" i="9" l="1"/>
  <c r="AM76" i="9"/>
  <c r="AM78" i="9"/>
  <c r="AM62" i="9"/>
  <c r="AM80" i="9"/>
  <c r="AM64" i="9"/>
  <c r="AM82" i="9"/>
  <c r="AM66" i="9"/>
  <c r="AM50" i="9"/>
  <c r="AM84" i="9"/>
  <c r="AM68" i="9"/>
  <c r="AM86" i="9"/>
  <c r="AM70" i="9"/>
  <c r="AM72" i="9"/>
  <c r="AM74" i="9"/>
  <c r="AM58" i="9"/>
  <c r="AM30" i="9"/>
  <c r="AM48" i="9"/>
  <c r="AM32" i="9"/>
  <c r="AM46" i="9"/>
  <c r="AM34" i="9"/>
  <c r="AM56" i="9"/>
  <c r="AM36" i="9"/>
  <c r="AM60" i="9"/>
  <c r="AM44" i="9"/>
  <c r="AM54" i="9"/>
  <c r="AM38" i="9"/>
  <c r="AM40" i="9"/>
  <c r="AM24" i="9"/>
  <c r="AM52" i="9"/>
  <c r="AM26" i="9"/>
  <c r="AM16" i="9"/>
  <c r="AM42" i="9"/>
  <c r="AM20" i="9"/>
  <c r="AM8" i="9"/>
  <c r="AM28" i="9"/>
  <c r="AM10" i="9"/>
  <c r="AM12" i="9"/>
  <c r="AM14" i="9"/>
  <c r="AM22" i="9"/>
  <c r="AM18" i="9"/>
  <c r="AM4" i="9"/>
  <c r="AN3" i="9"/>
  <c r="AN6" i="9" l="1"/>
  <c r="AN78" i="9"/>
  <c r="AN62" i="9"/>
  <c r="AN80" i="9"/>
  <c r="AN64" i="9"/>
  <c r="AN82" i="9"/>
  <c r="AN66" i="9"/>
  <c r="AN84" i="9"/>
  <c r="AN68" i="9"/>
  <c r="AN52" i="9"/>
  <c r="AN86" i="9"/>
  <c r="AN72" i="9"/>
  <c r="AN74" i="9"/>
  <c r="AN30" i="9"/>
  <c r="AN76" i="9"/>
  <c r="AN48" i="9"/>
  <c r="AN32" i="9"/>
  <c r="AN46" i="9"/>
  <c r="AN34" i="9"/>
  <c r="AN58" i="9"/>
  <c r="AN56" i="9"/>
  <c r="AN36" i="9"/>
  <c r="AN20" i="9"/>
  <c r="AN60" i="9"/>
  <c r="AN44" i="9"/>
  <c r="AN54" i="9"/>
  <c r="AN38" i="9"/>
  <c r="AN22" i="9"/>
  <c r="AN40" i="9"/>
  <c r="AN24" i="9"/>
  <c r="AN26" i="9"/>
  <c r="AN70" i="9"/>
  <c r="AN16" i="9"/>
  <c r="AN50" i="9"/>
  <c r="AN42" i="9"/>
  <c r="AN28" i="9"/>
  <c r="AN8" i="9"/>
  <c r="AN10" i="9"/>
  <c r="AN12" i="9"/>
  <c r="AN14" i="9"/>
  <c r="AN18" i="9"/>
  <c r="AN4" i="9"/>
  <c r="AO3" i="9"/>
  <c r="AO6" i="9" l="1"/>
  <c r="AO78" i="9"/>
  <c r="AO62" i="9"/>
  <c r="AO80" i="9"/>
  <c r="AO64" i="9"/>
  <c r="AO82" i="9"/>
  <c r="AO66" i="9"/>
  <c r="AO84" i="9"/>
  <c r="AO68" i="9"/>
  <c r="AO52" i="9"/>
  <c r="AO86" i="9"/>
  <c r="AO70" i="9"/>
  <c r="AO72" i="9"/>
  <c r="AO74" i="9"/>
  <c r="AO76" i="9"/>
  <c r="AO60" i="9"/>
  <c r="AO44" i="9"/>
  <c r="AO48" i="9"/>
  <c r="AO32" i="9"/>
  <c r="AO46" i="9"/>
  <c r="AO34" i="9"/>
  <c r="AO58" i="9"/>
  <c r="AO56" i="9"/>
  <c r="AO36" i="9"/>
  <c r="AO54" i="9"/>
  <c r="AO38" i="9"/>
  <c r="AO40" i="9"/>
  <c r="AO26" i="9"/>
  <c r="AO42" i="9"/>
  <c r="AO28" i="9"/>
  <c r="AO50" i="9"/>
  <c r="AO20" i="9"/>
  <c r="AO8" i="9"/>
  <c r="AO10" i="9"/>
  <c r="AO12" i="9"/>
  <c r="AO24" i="9"/>
  <c r="AO14" i="9"/>
  <c r="AO30" i="9"/>
  <c r="AO16" i="9"/>
  <c r="AO18" i="9"/>
  <c r="AO22" i="9"/>
  <c r="AO4" i="9"/>
  <c r="AP3" i="9"/>
  <c r="AP6" i="9" l="1"/>
  <c r="AP80" i="9"/>
  <c r="AP64" i="9"/>
  <c r="AP82" i="9"/>
  <c r="AP66" i="9"/>
  <c r="AP84" i="9"/>
  <c r="AP68" i="9"/>
  <c r="AP86" i="9"/>
  <c r="AP70" i="9"/>
  <c r="AP54" i="9"/>
  <c r="AP74" i="9"/>
  <c r="AP76" i="9"/>
  <c r="AP32" i="9"/>
  <c r="AP16" i="9"/>
  <c r="AP62" i="9"/>
  <c r="AP46" i="9"/>
  <c r="AP34" i="9"/>
  <c r="AP18" i="9"/>
  <c r="AP58" i="9"/>
  <c r="AP72" i="9"/>
  <c r="AP56" i="9"/>
  <c r="AP36" i="9"/>
  <c r="AP60" i="9"/>
  <c r="AP44" i="9"/>
  <c r="AP38" i="9"/>
  <c r="AP22" i="9"/>
  <c r="AP78" i="9"/>
  <c r="AP40" i="9"/>
  <c r="AP24" i="9"/>
  <c r="AP26" i="9"/>
  <c r="AP52" i="9"/>
  <c r="AP42" i="9"/>
  <c r="AP28" i="9"/>
  <c r="AP50" i="9"/>
  <c r="AP20" i="9"/>
  <c r="AP8" i="9"/>
  <c r="AP10" i="9"/>
  <c r="AP12" i="9"/>
  <c r="AP48" i="9"/>
  <c r="AP14" i="9"/>
  <c r="AP30" i="9"/>
  <c r="AP4" i="9"/>
  <c r="AQ3" i="9"/>
  <c r="AQ6" i="9" l="1"/>
  <c r="AQ80" i="9"/>
  <c r="AQ64" i="9"/>
  <c r="AQ82" i="9"/>
  <c r="AQ66" i="9"/>
  <c r="AQ84" i="9"/>
  <c r="AQ68" i="9"/>
  <c r="AQ86" i="9"/>
  <c r="AQ70" i="9"/>
  <c r="AQ54" i="9"/>
  <c r="AQ72" i="9"/>
  <c r="AQ74" i="9"/>
  <c r="AQ76" i="9"/>
  <c r="AQ78" i="9"/>
  <c r="AQ62" i="9"/>
  <c r="AQ46" i="9"/>
  <c r="AQ34" i="9"/>
  <c r="AQ18" i="9"/>
  <c r="AQ58" i="9"/>
  <c r="AQ56" i="9"/>
  <c r="AQ36" i="9"/>
  <c r="AQ60" i="9"/>
  <c r="AQ44" i="9"/>
  <c r="AQ38" i="9"/>
  <c r="AQ22" i="9"/>
  <c r="AQ40" i="9"/>
  <c r="AQ24" i="9"/>
  <c r="AQ26" i="9"/>
  <c r="AQ52" i="9"/>
  <c r="AQ42" i="9"/>
  <c r="AQ28" i="9"/>
  <c r="AQ50" i="9"/>
  <c r="AQ30" i="9"/>
  <c r="AQ32" i="9"/>
  <c r="AQ8" i="9"/>
  <c r="AQ10" i="9"/>
  <c r="AQ12" i="9"/>
  <c r="AQ20" i="9"/>
  <c r="AQ48" i="9"/>
  <c r="AQ14" i="9"/>
  <c r="AQ16" i="9"/>
  <c r="AQ4" i="9"/>
  <c r="AR3" i="9"/>
  <c r="AR6" i="9" l="1"/>
  <c r="AR82" i="9"/>
  <c r="AR66" i="9"/>
  <c r="AR84" i="9"/>
  <c r="AR68" i="9"/>
  <c r="AR86" i="9"/>
  <c r="AR70" i="9"/>
  <c r="AR72" i="9"/>
  <c r="AR56" i="9"/>
  <c r="AR76" i="9"/>
  <c r="AR78" i="9"/>
  <c r="AR34" i="9"/>
  <c r="AR18" i="9"/>
  <c r="AR80" i="9"/>
  <c r="AR62" i="9"/>
  <c r="AR58" i="9"/>
  <c r="AR46" i="9"/>
  <c r="AR36" i="9"/>
  <c r="AR20" i="9"/>
  <c r="AR60" i="9"/>
  <c r="AR44" i="9"/>
  <c r="AR38" i="9"/>
  <c r="AR54" i="9"/>
  <c r="AR40" i="9"/>
  <c r="AR24" i="9"/>
  <c r="AR26" i="9"/>
  <c r="AR52" i="9"/>
  <c r="AR74" i="9"/>
  <c r="AR42" i="9"/>
  <c r="AR28" i="9"/>
  <c r="AR50" i="9"/>
  <c r="AR30" i="9"/>
  <c r="AR48" i="9"/>
  <c r="AR8" i="9"/>
  <c r="AR10" i="9"/>
  <c r="AR12" i="9"/>
  <c r="AR14" i="9"/>
  <c r="AR32" i="9"/>
  <c r="AR22" i="9"/>
  <c r="AR16" i="9"/>
  <c r="AR64" i="9"/>
  <c r="AR4" i="9"/>
  <c r="AS3" i="9"/>
  <c r="AS6" i="9" l="1"/>
  <c r="AS82" i="9"/>
  <c r="AS66" i="9"/>
  <c r="AS84" i="9"/>
  <c r="AS68" i="9"/>
  <c r="AS86" i="9"/>
  <c r="AS70" i="9"/>
  <c r="AS72" i="9"/>
  <c r="AS56" i="9"/>
  <c r="AS74" i="9"/>
  <c r="AS76" i="9"/>
  <c r="AS78" i="9"/>
  <c r="AS62" i="9"/>
  <c r="AS80" i="9"/>
  <c r="AS64" i="9"/>
  <c r="AS48" i="9"/>
  <c r="AS58" i="9"/>
  <c r="AS46" i="9"/>
  <c r="AS36" i="9"/>
  <c r="AS20" i="9"/>
  <c r="AS60" i="9"/>
  <c r="AS44" i="9"/>
  <c r="AS38" i="9"/>
  <c r="AS54" i="9"/>
  <c r="AS40" i="9"/>
  <c r="AS24" i="9"/>
  <c r="AS26" i="9"/>
  <c r="AS52" i="9"/>
  <c r="AS42" i="9"/>
  <c r="AS28" i="9"/>
  <c r="AS50" i="9"/>
  <c r="AS30" i="9"/>
  <c r="AS32" i="9"/>
  <c r="AS10" i="9"/>
  <c r="AS12" i="9"/>
  <c r="AS14" i="9"/>
  <c r="AS34" i="9"/>
  <c r="AS22" i="9"/>
  <c r="AS18" i="9"/>
  <c r="AS8" i="9"/>
  <c r="AS16" i="9"/>
  <c r="AT3" i="9"/>
  <c r="AS4" i="9"/>
  <c r="AT6" i="9" l="1"/>
  <c r="AT84" i="9"/>
  <c r="AT68" i="9"/>
  <c r="AT86" i="9"/>
  <c r="AT70" i="9"/>
  <c r="AT72" i="9"/>
  <c r="AT74" i="9"/>
  <c r="AT58" i="9"/>
  <c r="AT78" i="9"/>
  <c r="AT80" i="9"/>
  <c r="AT64" i="9"/>
  <c r="AT76" i="9"/>
  <c r="AT66" i="9"/>
  <c r="AT62" i="9"/>
  <c r="AT36" i="9"/>
  <c r="AT20" i="9"/>
  <c r="AT60" i="9"/>
  <c r="AT56" i="9"/>
  <c r="AT44" i="9"/>
  <c r="AT38" i="9"/>
  <c r="AT22" i="9"/>
  <c r="AT54" i="9"/>
  <c r="AT40" i="9"/>
  <c r="AT24" i="9"/>
  <c r="AT26" i="9"/>
  <c r="AT52" i="9"/>
  <c r="AT42" i="9"/>
  <c r="AT28" i="9"/>
  <c r="AT50" i="9"/>
  <c r="AT30" i="9"/>
  <c r="AT82" i="9"/>
  <c r="AT48" i="9"/>
  <c r="AT32" i="9"/>
  <c r="AT46" i="9"/>
  <c r="AT10" i="9"/>
  <c r="AT12" i="9"/>
  <c r="AT14" i="9"/>
  <c r="AT34" i="9"/>
  <c r="AT18" i="9"/>
  <c r="AT16" i="9"/>
  <c r="AT8" i="9"/>
  <c r="AT4" i="9"/>
  <c r="AU3" i="9"/>
  <c r="AU6" i="9" l="1"/>
  <c r="AU84" i="9"/>
  <c r="AU68" i="9"/>
  <c r="AU86" i="9"/>
  <c r="AU70" i="9"/>
  <c r="AU72" i="9"/>
  <c r="AU74" i="9"/>
  <c r="AU58" i="9"/>
  <c r="AU42" i="9"/>
  <c r="AU76" i="9"/>
  <c r="AU78" i="9"/>
  <c r="AU80" i="9"/>
  <c r="AU64" i="9"/>
  <c r="AU82" i="9"/>
  <c r="AU66" i="9"/>
  <c r="AU50" i="9"/>
  <c r="AU60" i="9"/>
  <c r="AU56" i="9"/>
  <c r="AU44" i="9"/>
  <c r="AU38" i="9"/>
  <c r="AU22" i="9"/>
  <c r="AU54" i="9"/>
  <c r="AU40" i="9"/>
  <c r="AU24" i="9"/>
  <c r="AU26" i="9"/>
  <c r="AU52" i="9"/>
  <c r="AU28" i="9"/>
  <c r="AU30" i="9"/>
  <c r="AU48" i="9"/>
  <c r="AU32" i="9"/>
  <c r="AU34" i="9"/>
  <c r="AU12" i="9"/>
  <c r="AU62" i="9"/>
  <c r="AU10" i="9"/>
  <c r="AU14" i="9"/>
  <c r="AU18" i="9"/>
  <c r="AU16" i="9"/>
  <c r="AU8" i="9"/>
  <c r="AU36" i="9"/>
  <c r="AU46" i="9"/>
  <c r="AU20" i="9"/>
  <c r="AU4" i="9"/>
  <c r="AV3" i="9"/>
  <c r="AV6" i="9" l="1"/>
  <c r="AV86" i="9"/>
  <c r="AV70" i="9"/>
  <c r="AV72" i="9"/>
  <c r="AV74" i="9"/>
  <c r="AV76" i="9"/>
  <c r="AV60" i="9"/>
  <c r="AV44" i="9"/>
  <c r="AV78" i="9"/>
  <c r="AV80" i="9"/>
  <c r="AV82" i="9"/>
  <c r="AV66" i="9"/>
  <c r="AV56" i="9"/>
  <c r="AV38" i="9"/>
  <c r="AV22" i="9"/>
  <c r="AV54" i="9"/>
  <c r="AV40" i="9"/>
  <c r="AV24" i="9"/>
  <c r="AV26" i="9"/>
  <c r="AV84" i="9"/>
  <c r="AV52" i="9"/>
  <c r="AV68" i="9"/>
  <c r="AV28" i="9"/>
  <c r="AV42" i="9"/>
  <c r="AV50" i="9"/>
  <c r="AV30" i="9"/>
  <c r="AV48" i="9"/>
  <c r="AV32" i="9"/>
  <c r="AV34" i="9"/>
  <c r="AV46" i="9"/>
  <c r="AV58" i="9"/>
  <c r="AV12" i="9"/>
  <c r="AV62" i="9"/>
  <c r="AV14" i="9"/>
  <c r="AV18" i="9"/>
  <c r="AV16" i="9"/>
  <c r="AV36" i="9"/>
  <c r="AV8" i="9"/>
  <c r="AV64" i="9"/>
  <c r="AV20" i="9"/>
  <c r="AV10" i="9"/>
  <c r="AV4" i="9"/>
  <c r="AW3" i="9"/>
  <c r="AW86" i="9" l="1"/>
  <c r="H85" i="9" s="1"/>
  <c r="AW70" i="9"/>
  <c r="H69" i="9" s="1"/>
  <c r="G71" i="9"/>
  <c r="AW72" i="9"/>
  <c r="H71" i="9" s="1"/>
  <c r="G73" i="9"/>
  <c r="AW74" i="9"/>
  <c r="H73" i="9" s="1"/>
  <c r="G75" i="9"/>
  <c r="AW76" i="9"/>
  <c r="H75" i="9" s="1"/>
  <c r="I75" i="9" s="1"/>
  <c r="AW60" i="9"/>
  <c r="H59" i="9" s="1"/>
  <c r="AW44" i="9"/>
  <c r="H43" i="9" s="1"/>
  <c r="G77" i="9"/>
  <c r="G61" i="9"/>
  <c r="G45" i="9"/>
  <c r="AW78" i="9"/>
  <c r="H77" i="9" s="1"/>
  <c r="AW62" i="9"/>
  <c r="H61" i="9" s="1"/>
  <c r="G79" i="9"/>
  <c r="AW80" i="9"/>
  <c r="H79" i="9" s="1"/>
  <c r="G81" i="9"/>
  <c r="AW82" i="9"/>
  <c r="H81" i="9" s="1"/>
  <c r="AW66" i="9"/>
  <c r="H65" i="9" s="1"/>
  <c r="G83" i="9"/>
  <c r="G67" i="9"/>
  <c r="AW84" i="9"/>
  <c r="H83" i="9" s="1"/>
  <c r="I83" i="9" s="1"/>
  <c r="AW68" i="9"/>
  <c r="H67" i="9" s="1"/>
  <c r="AW52" i="9"/>
  <c r="H51" i="9" s="1"/>
  <c r="G49" i="9"/>
  <c r="G39" i="9"/>
  <c r="G23" i="9"/>
  <c r="G69" i="9"/>
  <c r="AW54" i="9"/>
  <c r="H53" i="9" s="1"/>
  <c r="AW40" i="9"/>
  <c r="H39" i="9" s="1"/>
  <c r="AW24" i="9"/>
  <c r="H23" i="9" s="1"/>
  <c r="G85" i="9"/>
  <c r="G47" i="9"/>
  <c r="G25" i="9"/>
  <c r="G41" i="9"/>
  <c r="AW26" i="9"/>
  <c r="H25" i="9" s="1"/>
  <c r="G27" i="9"/>
  <c r="G63" i="9"/>
  <c r="AW28" i="9"/>
  <c r="H27" i="9" s="1"/>
  <c r="G65" i="9"/>
  <c r="G57" i="9"/>
  <c r="AW42" i="9"/>
  <c r="H41" i="9" s="1"/>
  <c r="G29" i="9"/>
  <c r="G59" i="9"/>
  <c r="AW50" i="9"/>
  <c r="H49" i="9" s="1"/>
  <c r="AW30" i="9"/>
  <c r="H29" i="9" s="1"/>
  <c r="G55" i="9"/>
  <c r="G31" i="9"/>
  <c r="AW48" i="9"/>
  <c r="H47" i="9" s="1"/>
  <c r="AW32" i="9"/>
  <c r="H31" i="9" s="1"/>
  <c r="G43" i="9"/>
  <c r="G33" i="9"/>
  <c r="G53" i="9"/>
  <c r="AW34" i="9"/>
  <c r="H33" i="9" s="1"/>
  <c r="AW46" i="9"/>
  <c r="H45" i="9" s="1"/>
  <c r="G35" i="9"/>
  <c r="AW64" i="9"/>
  <c r="H63" i="9" s="1"/>
  <c r="AW36" i="9"/>
  <c r="H35" i="9" s="1"/>
  <c r="G13" i="9"/>
  <c r="AW58" i="9"/>
  <c r="H57" i="9" s="1"/>
  <c r="AW14" i="9"/>
  <c r="H13" i="9" s="1"/>
  <c r="I13" i="9" s="1"/>
  <c r="AW38" i="9"/>
  <c r="H37" i="9" s="1"/>
  <c r="I37" i="9" s="1"/>
  <c r="G7" i="9"/>
  <c r="G19" i="9"/>
  <c r="G15" i="9"/>
  <c r="G37" i="9"/>
  <c r="AW18" i="9"/>
  <c r="H17" i="9" s="1"/>
  <c r="AW56" i="9"/>
  <c r="H55" i="9" s="1"/>
  <c r="AW16" i="9"/>
  <c r="H15" i="9" s="1"/>
  <c r="AW22" i="9"/>
  <c r="H21" i="9" s="1"/>
  <c r="G21" i="9"/>
  <c r="G51" i="9"/>
  <c r="AW8" i="9"/>
  <c r="H7" i="9" s="1"/>
  <c r="AW12" i="9"/>
  <c r="H11" i="9" s="1"/>
  <c r="AW20" i="9"/>
  <c r="H19" i="9" s="1"/>
  <c r="G9" i="9"/>
  <c r="G17" i="9"/>
  <c r="AW10" i="9"/>
  <c r="H9" i="9" s="1"/>
  <c r="G11" i="9"/>
  <c r="AW4" i="9"/>
  <c r="AW6" i="9"/>
  <c r="H5" i="9" s="1"/>
  <c r="I5" i="9" s="1"/>
  <c r="J27" i="8"/>
  <c r="K27" i="8" s="1"/>
  <c r="I73" i="9" l="1"/>
  <c r="I71" i="9"/>
  <c r="I77" i="9"/>
  <c r="I81" i="9"/>
  <c r="I63" i="9"/>
  <c r="I45" i="9"/>
  <c r="I67" i="9"/>
  <c r="I39" i="9"/>
  <c r="I23" i="9"/>
  <c r="I29" i="9"/>
  <c r="I33" i="9"/>
  <c r="I57" i="9"/>
  <c r="I53" i="9"/>
  <c r="I61" i="9"/>
  <c r="I27" i="9"/>
  <c r="I17" i="9"/>
  <c r="I31" i="9"/>
  <c r="I79" i="9"/>
  <c r="I19" i="9"/>
  <c r="I11" i="9"/>
  <c r="I35" i="9"/>
  <c r="I41" i="9"/>
  <c r="I43" i="9"/>
  <c r="I59" i="9"/>
  <c r="I21" i="9"/>
  <c r="I15" i="9"/>
  <c r="I55" i="9"/>
  <c r="I25" i="9"/>
  <c r="I65" i="9"/>
  <c r="I69" i="9"/>
  <c r="I85" i="9"/>
  <c r="I7" i="9"/>
  <c r="I9" i="9"/>
  <c r="I49" i="9"/>
  <c r="I51" i="9"/>
  <c r="I47" i="9"/>
  <c r="J35" i="8"/>
  <c r="K35" i="8" s="1"/>
  <c r="J32" i="8" l="1"/>
  <c r="K32" i="8" s="1"/>
  <c r="J31" i="8"/>
  <c r="K31" i="8" s="1"/>
  <c r="J30" i="8"/>
  <c r="K30" i="8" s="1"/>
  <c r="J29" i="8"/>
  <c r="K29" i="8" s="1"/>
  <c r="J45" i="8"/>
  <c r="K45" i="8" s="1"/>
  <c r="J28" i="8"/>
  <c r="K28" i="8" s="1"/>
  <c r="J38" i="8"/>
  <c r="K38" i="8" s="1"/>
  <c r="J26" i="8"/>
  <c r="K26" i="8" s="1"/>
  <c r="J37" i="8"/>
  <c r="K37" i="8" s="1"/>
  <c r="J44" i="8"/>
  <c r="K44" i="8" s="1"/>
  <c r="J43" i="8"/>
  <c r="K43" i="8" s="1"/>
  <c r="J42" i="8"/>
  <c r="K42" i="8" s="1"/>
  <c r="J36" i="8"/>
  <c r="K36" i="8" s="1"/>
  <c r="J41" i="8"/>
  <c r="K41" i="8" s="1"/>
  <c r="J34" i="8"/>
  <c r="K34" i="8" s="1"/>
  <c r="J33" i="8"/>
  <c r="K33" i="8" s="1"/>
  <c r="J40" i="8"/>
  <c r="K40" i="8" s="1"/>
  <c r="J39" i="8"/>
  <c r="K39" i="8" s="1"/>
  <c r="J25" i="8"/>
  <c r="K25" i="8" s="1"/>
  <c r="J24" i="8"/>
  <c r="K24" i="8" s="1"/>
  <c r="J23" i="8"/>
  <c r="K23" i="8" s="1"/>
  <c r="J22" i="8"/>
  <c r="K22" i="8" s="1"/>
  <c r="J21" i="8"/>
  <c r="K21" i="8" s="1"/>
  <c r="J20" i="8"/>
  <c r="K20" i="8" s="1"/>
  <c r="J19" i="8"/>
  <c r="K19" i="8" s="1"/>
  <c r="J18" i="8"/>
  <c r="K18" i="8" s="1"/>
  <c r="J17" i="8"/>
  <c r="K17" i="8" s="1"/>
  <c r="J16" i="8"/>
  <c r="K16" i="8" s="1"/>
  <c r="J15" i="8"/>
  <c r="K15" i="8" s="1"/>
  <c r="J14" i="8"/>
  <c r="K14" i="8" s="1"/>
  <c r="J13" i="8"/>
  <c r="K13" i="8" s="1"/>
  <c r="J12" i="8"/>
  <c r="K12" i="8" s="1"/>
  <c r="J11" i="8"/>
  <c r="K11" i="8" s="1"/>
  <c r="J10" i="8"/>
  <c r="K10" i="8" s="1"/>
  <c r="J9" i="8"/>
  <c r="K9" i="8" s="1"/>
  <c r="J8" i="8"/>
  <c r="K8" i="8" s="1"/>
  <c r="J7" i="8"/>
  <c r="K7" i="8" s="1"/>
  <c r="J6" i="8"/>
  <c r="K6" i="8" s="1"/>
  <c r="J5" i="8"/>
  <c r="K5" i="8" s="1"/>
  <c r="L32" i="8" l="1"/>
  <c r="L31" i="8"/>
  <c r="L30" i="8"/>
  <c r="L29" i="8"/>
  <c r="L45" i="8"/>
  <c r="L28" i="8"/>
  <c r="L27" i="8"/>
  <c r="L38" i="8"/>
  <c r="L26" i="8"/>
  <c r="L37" i="8"/>
  <c r="L44" i="8"/>
  <c r="L43" i="8"/>
  <c r="L42" i="8"/>
  <c r="L36" i="8"/>
  <c r="L35" i="8"/>
  <c r="L41" i="8"/>
  <c r="L34" i="8"/>
  <c r="L33" i="8"/>
  <c r="L40" i="8"/>
  <c r="L39" i="8"/>
  <c r="L25" i="8"/>
  <c r="L24" i="8"/>
  <c r="L23" i="8"/>
  <c r="L22" i="8"/>
  <c r="L21" i="8"/>
  <c r="L20" i="8"/>
  <c r="L19" i="8"/>
  <c r="L18" i="8"/>
  <c r="L17" i="8"/>
  <c r="L16" i="8"/>
  <c r="L15" i="8"/>
  <c r="L14" i="8"/>
  <c r="L13" i="8"/>
  <c r="L12" i="8"/>
  <c r="L11" i="8"/>
  <c r="L10" i="8"/>
  <c r="L9" i="8"/>
  <c r="L8" i="8"/>
  <c r="L7" i="8"/>
  <c r="L6" i="8"/>
  <c r="L5" i="8"/>
  <c r="L21" i="7" l="1"/>
  <c r="N21" i="7" s="1"/>
  <c r="L6" i="7"/>
  <c r="L36" i="7"/>
  <c r="L35" i="7"/>
  <c r="L34" i="7"/>
  <c r="L33" i="7"/>
  <c r="L32" i="7"/>
  <c r="L31" i="7"/>
  <c r="L30" i="7"/>
  <c r="L29" i="7"/>
  <c r="L28" i="7"/>
  <c r="L27" i="7"/>
  <c r="L26" i="7"/>
  <c r="L25" i="7"/>
  <c r="L24" i="7"/>
  <c r="L23" i="7"/>
  <c r="L22" i="7"/>
  <c r="L20" i="7"/>
  <c r="L19" i="7"/>
  <c r="N19" i="7" s="1"/>
  <c r="L18" i="7"/>
  <c r="L17" i="7"/>
  <c r="L16" i="7"/>
  <c r="L15" i="7"/>
  <c r="L14" i="7"/>
  <c r="L13" i="7"/>
  <c r="L12" i="7"/>
  <c r="L11" i="7"/>
  <c r="L10" i="7"/>
  <c r="L8" i="7"/>
  <c r="L7" i="7"/>
  <c r="M3" i="8"/>
  <c r="N3" i="8" s="1"/>
  <c r="M4" i="8" l="1"/>
  <c r="O3" i="8"/>
  <c r="N4" i="8"/>
  <c r="P3" i="8" l="1"/>
  <c r="O4" i="8"/>
  <c r="P4" i="8" l="1"/>
  <c r="Q3" i="8"/>
  <c r="R3" i="8" l="1"/>
  <c r="Q4" i="8"/>
  <c r="S3" i="8" l="1"/>
  <c r="R4" i="8"/>
  <c r="S4" i="8" l="1"/>
  <c r="T3" i="8"/>
  <c r="T4" i="8" l="1"/>
  <c r="U3" i="8"/>
  <c r="V3" i="8" l="1"/>
  <c r="U4" i="8"/>
  <c r="W3" i="8" l="1"/>
  <c r="V4" i="8"/>
  <c r="X3" i="8" l="1"/>
  <c r="W4" i="8"/>
  <c r="Y3" i="8" l="1"/>
  <c r="X4" i="8"/>
  <c r="Y4" i="8" l="1"/>
  <c r="Z3" i="8"/>
  <c r="AA3" i="8" l="1"/>
  <c r="Z4" i="8"/>
  <c r="AB3" i="8" l="1"/>
  <c r="AA4" i="8"/>
  <c r="AB4" i="8" l="1"/>
  <c r="AC3" i="8"/>
  <c r="AD3" i="8" l="1"/>
  <c r="AC4" i="8"/>
  <c r="AD4" i="8" l="1"/>
  <c r="AE3" i="8"/>
  <c r="AE4" i="8" l="1"/>
  <c r="AF3" i="8"/>
  <c r="AG3" i="8" l="1"/>
  <c r="AF4" i="8"/>
  <c r="AH3" i="8" l="1"/>
  <c r="AG4" i="8"/>
  <c r="AI3" i="8" l="1"/>
  <c r="AH4" i="8"/>
  <c r="AI4" i="8" l="1"/>
  <c r="AJ3" i="8"/>
  <c r="AJ4" i="8" l="1"/>
  <c r="AK3" i="8"/>
  <c r="M35" i="7"/>
  <c r="O35" i="7" s="1"/>
  <c r="Q35" i="7" s="1"/>
  <c r="N35" i="7"/>
  <c r="P35" i="7" s="1"/>
  <c r="R35" i="7" s="1"/>
  <c r="M34" i="7"/>
  <c r="O34" i="7" s="1"/>
  <c r="Q34" i="7" s="1"/>
  <c r="N34" i="7"/>
  <c r="P34" i="7" s="1"/>
  <c r="R34" i="7" s="1"/>
  <c r="AL3" i="8" l="1"/>
  <c r="AK4" i="8"/>
  <c r="AM3" i="8" l="1"/>
  <c r="AL4" i="8"/>
  <c r="AM4" i="8" l="1"/>
  <c r="AN3" i="8"/>
  <c r="M8" i="7"/>
  <c r="O8" i="7" s="1"/>
  <c r="Q8" i="7" s="1"/>
  <c r="S8" i="7" s="1"/>
  <c r="N8" i="7"/>
  <c r="I8" i="7"/>
  <c r="M7" i="7"/>
  <c r="O7" i="7" s="1"/>
  <c r="Q7" i="7" s="1"/>
  <c r="S7" i="7" s="1"/>
  <c r="I7" i="7"/>
  <c r="AO3" i="8" l="1"/>
  <c r="AN4" i="8"/>
  <c r="N7" i="7"/>
  <c r="P7" i="7" s="1"/>
  <c r="R7" i="7" s="1"/>
  <c r="P8" i="7"/>
  <c r="R8" i="7" s="1"/>
  <c r="L49" i="7"/>
  <c r="N49" i="7" s="1"/>
  <c r="P49" i="7" s="1"/>
  <c r="R49" i="7" s="1"/>
  <c r="L48" i="7"/>
  <c r="N48" i="7" s="1"/>
  <c r="P48" i="7" s="1"/>
  <c r="R48" i="7" s="1"/>
  <c r="L47" i="7"/>
  <c r="N47" i="7" s="1"/>
  <c r="P47" i="7" s="1"/>
  <c r="R47" i="7" s="1"/>
  <c r="L46" i="7"/>
  <c r="N46" i="7" s="1"/>
  <c r="P46" i="7" s="1"/>
  <c r="R46" i="7" s="1"/>
  <c r="L45" i="7"/>
  <c r="N45" i="7" s="1"/>
  <c r="P45" i="7" s="1"/>
  <c r="R45" i="7" s="1"/>
  <c r="L44" i="7"/>
  <c r="N44" i="7" s="1"/>
  <c r="P44" i="7" s="1"/>
  <c r="R44" i="7" s="1"/>
  <c r="L43" i="7"/>
  <c r="N43" i="7" s="1"/>
  <c r="P43" i="7" s="1"/>
  <c r="R43" i="7" s="1"/>
  <c r="M36" i="7"/>
  <c r="O36" i="7" s="1"/>
  <c r="Q36" i="7" s="1"/>
  <c r="S36" i="7" s="1"/>
  <c r="N36" i="7"/>
  <c r="P36" i="7" s="1"/>
  <c r="R36" i="7" s="1"/>
  <c r="I36" i="7"/>
  <c r="M33" i="7"/>
  <c r="O33" i="7" s="1"/>
  <c r="Q33" i="7" s="1"/>
  <c r="S33" i="7" s="1"/>
  <c r="N33" i="7"/>
  <c r="P33" i="7" s="1"/>
  <c r="R33" i="7" s="1"/>
  <c r="I33" i="7"/>
  <c r="M32" i="7"/>
  <c r="O32" i="7" s="1"/>
  <c r="Q32" i="7" s="1"/>
  <c r="S32" i="7" s="1"/>
  <c r="N32" i="7"/>
  <c r="P32" i="7" s="1"/>
  <c r="R32" i="7" s="1"/>
  <c r="I32" i="7"/>
  <c r="M30" i="7"/>
  <c r="O30" i="7" s="1"/>
  <c r="Q30" i="7" s="1"/>
  <c r="S30" i="7" s="1"/>
  <c r="N30" i="7"/>
  <c r="P30" i="7" s="1"/>
  <c r="R30" i="7" s="1"/>
  <c r="I30" i="7"/>
  <c r="M29" i="7"/>
  <c r="O29" i="7" s="1"/>
  <c r="Q29" i="7" s="1"/>
  <c r="S29" i="7" s="1"/>
  <c r="N29" i="7"/>
  <c r="P29" i="7" s="1"/>
  <c r="R29" i="7" s="1"/>
  <c r="I29" i="7"/>
  <c r="M28" i="7"/>
  <c r="O28" i="7" s="1"/>
  <c r="Q28" i="7" s="1"/>
  <c r="S28" i="7" s="1"/>
  <c r="I28" i="7"/>
  <c r="M27" i="7"/>
  <c r="O27" i="7" s="1"/>
  <c r="Q27" i="7" s="1"/>
  <c r="S27" i="7" s="1"/>
  <c r="N27" i="7"/>
  <c r="P27" i="7" s="1"/>
  <c r="R27" i="7" s="1"/>
  <c r="I27" i="7"/>
  <c r="M26" i="7"/>
  <c r="O26" i="7" s="1"/>
  <c r="Q26" i="7" s="1"/>
  <c r="S26" i="7" s="1"/>
  <c r="N26" i="7"/>
  <c r="P26" i="7" s="1"/>
  <c r="R26" i="7" s="1"/>
  <c r="I26" i="7"/>
  <c r="M25" i="7"/>
  <c r="O25" i="7" s="1"/>
  <c r="Q25" i="7" s="1"/>
  <c r="S25" i="7" s="1"/>
  <c r="N25" i="7"/>
  <c r="P25" i="7" s="1"/>
  <c r="R25" i="7" s="1"/>
  <c r="I25" i="7"/>
  <c r="M24" i="7"/>
  <c r="O24" i="7" s="1"/>
  <c r="Q24" i="7" s="1"/>
  <c r="S24" i="7" s="1"/>
  <c r="N24" i="7"/>
  <c r="P24" i="7" s="1"/>
  <c r="R24" i="7" s="1"/>
  <c r="I24" i="7"/>
  <c r="M23" i="7"/>
  <c r="O23" i="7" s="1"/>
  <c r="Q23" i="7" s="1"/>
  <c r="S23" i="7" s="1"/>
  <c r="N23" i="7"/>
  <c r="P23" i="7" s="1"/>
  <c r="R23" i="7" s="1"/>
  <c r="I23" i="7"/>
  <c r="M22" i="7"/>
  <c r="O22" i="7" s="1"/>
  <c r="Q22" i="7" s="1"/>
  <c r="S22" i="7" s="1"/>
  <c r="N22" i="7"/>
  <c r="P22" i="7" s="1"/>
  <c r="R22" i="7" s="1"/>
  <c r="I22" i="7"/>
  <c r="M21" i="7"/>
  <c r="O21" i="7" s="1"/>
  <c r="Q21" i="7" s="1"/>
  <c r="S21" i="7" s="1"/>
  <c r="I21" i="7"/>
  <c r="M20" i="7"/>
  <c r="O20" i="7" s="1"/>
  <c r="Q20" i="7" s="1"/>
  <c r="S20" i="7" s="1"/>
  <c r="N20" i="7"/>
  <c r="P20" i="7" s="1"/>
  <c r="R20" i="7" s="1"/>
  <c r="I20" i="7"/>
  <c r="M19" i="7"/>
  <c r="O19" i="7" s="1"/>
  <c r="Q19" i="7" s="1"/>
  <c r="S19" i="7" s="1"/>
  <c r="P19" i="7"/>
  <c r="R19" i="7" s="1"/>
  <c r="I19" i="7"/>
  <c r="Q18" i="7"/>
  <c r="S18" i="7" s="1"/>
  <c r="M18" i="7"/>
  <c r="I18" i="7"/>
  <c r="M17" i="7"/>
  <c r="O17" i="7" s="1"/>
  <c r="Q17" i="7" s="1"/>
  <c r="S17" i="7" s="1"/>
  <c r="N17" i="7"/>
  <c r="P17" i="7" s="1"/>
  <c r="R17" i="7" s="1"/>
  <c r="I17" i="7"/>
  <c r="M16" i="7"/>
  <c r="O16" i="7" s="1"/>
  <c r="Q16" i="7" s="1"/>
  <c r="S16" i="7" s="1"/>
  <c r="N16" i="7"/>
  <c r="P16" i="7" s="1"/>
  <c r="R16" i="7" s="1"/>
  <c r="I16" i="7"/>
  <c r="M15" i="7"/>
  <c r="O15" i="7" s="1"/>
  <c r="Q15" i="7" s="1"/>
  <c r="S15" i="7" s="1"/>
  <c r="N15" i="7"/>
  <c r="P15" i="7" s="1"/>
  <c r="R15" i="7" s="1"/>
  <c r="I15" i="7"/>
  <c r="M14" i="7"/>
  <c r="O14" i="7" s="1"/>
  <c r="Q14" i="7" s="1"/>
  <c r="S14" i="7" s="1"/>
  <c r="N14" i="7"/>
  <c r="P14" i="7" s="1"/>
  <c r="R14" i="7" s="1"/>
  <c r="I14" i="7"/>
  <c r="M13" i="7"/>
  <c r="O13" i="7" s="1"/>
  <c r="Q13" i="7" s="1"/>
  <c r="S13" i="7" s="1"/>
  <c r="N13" i="7"/>
  <c r="P13" i="7" s="1"/>
  <c r="R13" i="7" s="1"/>
  <c r="I13" i="7"/>
  <c r="M12" i="7"/>
  <c r="O12" i="7" s="1"/>
  <c r="Q12" i="7" s="1"/>
  <c r="S12" i="7" s="1"/>
  <c r="N12" i="7"/>
  <c r="P12" i="7" s="1"/>
  <c r="R12" i="7" s="1"/>
  <c r="I12" i="7"/>
  <c r="M11" i="7"/>
  <c r="O11" i="7" s="1"/>
  <c r="Q11" i="7" s="1"/>
  <c r="S11" i="7" s="1"/>
  <c r="N11" i="7"/>
  <c r="P11" i="7" s="1"/>
  <c r="R11" i="7" s="1"/>
  <c r="I11" i="7"/>
  <c r="M10" i="7"/>
  <c r="O10" i="7" s="1"/>
  <c r="Q10" i="7" s="1"/>
  <c r="S10" i="7" s="1"/>
  <c r="N10" i="7"/>
  <c r="P10" i="7" s="1"/>
  <c r="R10" i="7" s="1"/>
  <c r="I10" i="7"/>
  <c r="M9" i="7"/>
  <c r="O9" i="7" s="1"/>
  <c r="Q9" i="7" s="1"/>
  <c r="S9" i="7" s="1"/>
  <c r="I9" i="7"/>
  <c r="M6" i="7"/>
  <c r="O6" i="7" s="1"/>
  <c r="Q6" i="7" s="1"/>
  <c r="S6" i="7" s="1"/>
  <c r="I6" i="7"/>
  <c r="L5" i="7"/>
  <c r="N5" i="7" s="1"/>
  <c r="P5" i="7" s="1"/>
  <c r="R5" i="7" s="1"/>
  <c r="I5" i="7"/>
  <c r="AP3" i="8" l="1"/>
  <c r="AO4" i="8"/>
  <c r="N28" i="7"/>
  <c r="N6" i="7"/>
  <c r="N18" i="7"/>
  <c r="P18" i="7" s="1"/>
  <c r="R18" i="7" s="1"/>
  <c r="P28" i="7"/>
  <c r="R28" i="7" s="1"/>
  <c r="N9" i="7"/>
  <c r="P9" i="7" s="1"/>
  <c r="R9" i="7" s="1"/>
  <c r="P6" i="7"/>
  <c r="R6" i="7" s="1"/>
  <c r="P21" i="7"/>
  <c r="R21" i="7" s="1"/>
  <c r="AQ3" i="8" l="1"/>
  <c r="AQ4" i="8" s="1"/>
  <c r="AP4" i="8"/>
  <c r="P49" i="9" l="1"/>
  <c r="O49" i="9"/>
  <c r="E63" i="14" l="1"/>
  <c r="E37" i="14"/>
  <c r="E67" i="14"/>
  <c r="E39" i="14"/>
  <c r="E69" i="14"/>
  <c r="E29" i="14"/>
  <c r="E71" i="14"/>
  <c r="E31" i="14"/>
  <c r="E51" i="14"/>
  <c r="E33" i="14"/>
  <c r="E15" i="14"/>
  <c r="E73" i="14"/>
  <c r="E17" i="14"/>
  <c r="E75" i="14"/>
  <c r="E19" i="14"/>
  <c r="E77" i="14"/>
  <c r="E13" i="14"/>
  <c r="E47" i="14"/>
  <c r="E79" i="14"/>
  <c r="E21" i="14"/>
  <c r="E55" i="14"/>
  <c r="E81" i="14"/>
  <c r="E27" i="14"/>
  <c r="E53" i="14"/>
  <c r="E83" i="14"/>
  <c r="E25" i="14"/>
  <c r="E61" i="14"/>
  <c r="E85" i="14"/>
  <c r="E23" i="14"/>
  <c r="E65" i="14"/>
  <c r="E41" i="14"/>
  <c r="E7" i="14"/>
  <c r="E49" i="14"/>
  <c r="E43" i="14"/>
  <c r="E9" i="14"/>
  <c r="E57" i="14"/>
  <c r="E45" i="14"/>
  <c r="E11" i="14"/>
  <c r="E59" i="14"/>
  <c r="E35" i="14"/>
  <c r="F35" i="14" l="1"/>
  <c r="L35" i="14"/>
  <c r="F7" i="14"/>
  <c r="L7" i="14"/>
  <c r="L53" i="14"/>
  <c r="F53" i="14"/>
  <c r="L77" i="14"/>
  <c r="F77" i="14"/>
  <c r="L31" i="14"/>
  <c r="F31" i="14"/>
  <c r="E35" i="17"/>
  <c r="E35" i="13"/>
  <c r="E7" i="13"/>
  <c r="E7" i="17"/>
  <c r="E53" i="17"/>
  <c r="E53" i="13"/>
  <c r="E77" i="13"/>
  <c r="E77" i="17"/>
  <c r="E31" i="13"/>
  <c r="E31" i="17"/>
  <c r="L59" i="14"/>
  <c r="F59" i="14"/>
  <c r="F41" i="14"/>
  <c r="L41" i="14"/>
  <c r="F27" i="14"/>
  <c r="L27" i="14"/>
  <c r="F19" i="14"/>
  <c r="L19" i="14"/>
  <c r="F71" i="14"/>
  <c r="L71" i="14"/>
  <c r="E59" i="13"/>
  <c r="E59" i="17"/>
  <c r="E41" i="17"/>
  <c r="E41" i="13"/>
  <c r="E27" i="13"/>
  <c r="E27" i="17"/>
  <c r="E19" i="17"/>
  <c r="E19" i="13"/>
  <c r="E71" i="13"/>
  <c r="E71" i="17"/>
  <c r="F11" i="14"/>
  <c r="L11" i="14"/>
  <c r="L65" i="14"/>
  <c r="F65" i="14"/>
  <c r="F81" i="14"/>
  <c r="L81" i="14"/>
  <c r="F75" i="14"/>
  <c r="L75" i="14"/>
  <c r="L29" i="14"/>
  <c r="F29" i="14"/>
  <c r="E11" i="17"/>
  <c r="E11" i="13"/>
  <c r="E65" i="13"/>
  <c r="E65" i="17"/>
  <c r="E81" i="13"/>
  <c r="E81" i="17"/>
  <c r="E75" i="17"/>
  <c r="E75" i="13"/>
  <c r="E29" i="13"/>
  <c r="E29" i="17"/>
  <c r="L45" i="14"/>
  <c r="F45" i="14"/>
  <c r="L23" i="14"/>
  <c r="F23" i="14"/>
  <c r="F55" i="14"/>
  <c r="L55" i="14"/>
  <c r="F17" i="14"/>
  <c r="L17" i="14"/>
  <c r="L69" i="14"/>
  <c r="F69" i="14"/>
  <c r="E45" i="17"/>
  <c r="E45" i="13"/>
  <c r="E23" i="17"/>
  <c r="E23" i="13"/>
  <c r="E55" i="13"/>
  <c r="E55" i="17"/>
  <c r="E17" i="13"/>
  <c r="E17" i="17"/>
  <c r="E69" i="13"/>
  <c r="E69" i="17"/>
  <c r="F57" i="14"/>
  <c r="L57" i="14"/>
  <c r="L85" i="14"/>
  <c r="F85" i="14"/>
  <c r="F21" i="14"/>
  <c r="L21" i="14"/>
  <c r="L73" i="14"/>
  <c r="F73" i="14"/>
  <c r="L39" i="14"/>
  <c r="F39" i="14"/>
  <c r="J27" i="17"/>
  <c r="E57" i="13"/>
  <c r="E57" i="17"/>
  <c r="E85" i="17"/>
  <c r="E85" i="13"/>
  <c r="E21" i="13"/>
  <c r="E21" i="17"/>
  <c r="E73" i="17"/>
  <c r="E73" i="13"/>
  <c r="E39" i="13"/>
  <c r="E39" i="17"/>
  <c r="L9" i="14"/>
  <c r="F9" i="14"/>
  <c r="F61" i="14"/>
  <c r="L61" i="14"/>
  <c r="L79" i="14"/>
  <c r="F79" i="14"/>
  <c r="F15" i="14"/>
  <c r="L15" i="14"/>
  <c r="F67" i="14"/>
  <c r="L67" i="14"/>
  <c r="E9" i="13"/>
  <c r="E9" i="17"/>
  <c r="E61" i="17"/>
  <c r="E61" i="13"/>
  <c r="E79" i="17"/>
  <c r="E79" i="13"/>
  <c r="E15" i="17"/>
  <c r="E15" i="13"/>
  <c r="E67" i="17"/>
  <c r="E67" i="13"/>
  <c r="L43" i="14"/>
  <c r="F43" i="14"/>
  <c r="L25" i="14"/>
  <c r="F25" i="14"/>
  <c r="F47" i="14"/>
  <c r="L47" i="14"/>
  <c r="L33" i="14"/>
  <c r="F33" i="14"/>
  <c r="L37" i="14"/>
  <c r="F37" i="14"/>
  <c r="E43" i="13"/>
  <c r="E43" i="17"/>
  <c r="E25" i="17"/>
  <c r="E25" i="13"/>
  <c r="E47" i="13"/>
  <c r="E47" i="17"/>
  <c r="E33" i="17"/>
  <c r="E33" i="13"/>
  <c r="E37" i="13"/>
  <c r="E37" i="17"/>
  <c r="L49" i="14"/>
  <c r="F49" i="14"/>
  <c r="L83" i="14"/>
  <c r="F83" i="14"/>
  <c r="L13" i="14"/>
  <c r="F13" i="14"/>
  <c r="F51" i="14"/>
  <c r="L51" i="14"/>
  <c r="F63" i="14"/>
  <c r="L63" i="14"/>
  <c r="E49" i="13"/>
  <c r="E49" i="17"/>
  <c r="E83" i="13"/>
  <c r="E83" i="17"/>
  <c r="E13" i="13"/>
  <c r="E13" i="17"/>
  <c r="E51" i="17"/>
  <c r="E51" i="13"/>
  <c r="E63" i="17"/>
  <c r="E63" i="13"/>
  <c r="J5" i="17" l="1"/>
  <c r="J45" i="17"/>
  <c r="J33" i="17"/>
  <c r="J63" i="17"/>
  <c r="J59" i="17"/>
  <c r="J67" i="17"/>
  <c r="J49" i="17"/>
  <c r="J51" i="17"/>
  <c r="J53" i="17"/>
  <c r="J21" i="17"/>
  <c r="J13" i="17"/>
  <c r="J65" i="17"/>
  <c r="J85" i="17"/>
  <c r="J43" i="17"/>
  <c r="J73" i="17"/>
  <c r="J31" i="17"/>
  <c r="J9" i="17"/>
  <c r="J47" i="17"/>
  <c r="J39" i="17"/>
  <c r="J35" i="17"/>
  <c r="J71" i="17"/>
  <c r="J37" i="17"/>
  <c r="J69" i="17"/>
  <c r="J7" i="17"/>
  <c r="J79" i="17"/>
  <c r="J75" i="17"/>
  <c r="J83" i="17"/>
  <c r="J23" i="17"/>
  <c r="J25" i="17"/>
  <c r="J11" i="17"/>
  <c r="J77" i="17"/>
  <c r="J19" i="17"/>
  <c r="J81" i="17"/>
  <c r="J15" i="17"/>
  <c r="J17" i="17"/>
  <c r="J29" i="17"/>
  <c r="J41" i="17"/>
  <c r="J57" i="17"/>
  <c r="J61" i="17"/>
  <c r="J55" i="17"/>
  <c r="F83" i="13"/>
  <c r="K83" i="13"/>
  <c r="E37" i="9"/>
  <c r="I21" i="8"/>
  <c r="K49" i="17"/>
  <c r="F49" i="17"/>
  <c r="E49" i="9"/>
  <c r="I39" i="8"/>
  <c r="E33" i="9"/>
  <c r="I19" i="8"/>
  <c r="F9" i="17"/>
  <c r="K9" i="17"/>
  <c r="F73" i="13"/>
  <c r="K73" i="13"/>
  <c r="F17" i="13"/>
  <c r="K17" i="13"/>
  <c r="E65" i="9"/>
  <c r="I44" i="8"/>
  <c r="E71" i="9"/>
  <c r="I26" i="8"/>
  <c r="F7" i="17"/>
  <c r="K7" i="17"/>
  <c r="K9" i="13"/>
  <c r="F9" i="13"/>
  <c r="F73" i="17"/>
  <c r="K73" i="17"/>
  <c r="E17" i="9"/>
  <c r="I11" i="8"/>
  <c r="F11" i="13"/>
  <c r="K11" i="13"/>
  <c r="K19" i="13"/>
  <c r="F19" i="13"/>
  <c r="K7" i="13"/>
  <c r="F7" i="13"/>
  <c r="K55" i="17"/>
  <c r="F55" i="17"/>
  <c r="F11" i="17"/>
  <c r="K11" i="17"/>
  <c r="K19" i="17"/>
  <c r="F19" i="17"/>
  <c r="E7" i="9"/>
  <c r="I6" i="8"/>
  <c r="F63" i="17"/>
  <c r="K63" i="17"/>
  <c r="E47" i="9"/>
  <c r="I35" i="8"/>
  <c r="K21" i="17"/>
  <c r="F21" i="17"/>
  <c r="F55" i="13"/>
  <c r="K55" i="13"/>
  <c r="E11" i="9"/>
  <c r="I8" i="8"/>
  <c r="E19" i="9"/>
  <c r="I12" i="8"/>
  <c r="K35" i="13"/>
  <c r="F35" i="13"/>
  <c r="K63" i="13"/>
  <c r="F63" i="13"/>
  <c r="E9" i="9"/>
  <c r="I7" i="8"/>
  <c r="E63" i="9"/>
  <c r="I34" i="8"/>
  <c r="F25" i="13"/>
  <c r="K25" i="13"/>
  <c r="F67" i="13"/>
  <c r="K67" i="13"/>
  <c r="F21" i="13"/>
  <c r="K21" i="13"/>
  <c r="E55" i="9"/>
  <c r="I36" i="8"/>
  <c r="F27" i="17"/>
  <c r="K27" i="17"/>
  <c r="F35" i="17"/>
  <c r="K35" i="17"/>
  <c r="K25" i="17"/>
  <c r="F25" i="17"/>
  <c r="F67" i="17"/>
  <c r="K67" i="17"/>
  <c r="E21" i="9"/>
  <c r="I13" i="8"/>
  <c r="F23" i="13"/>
  <c r="K23" i="13"/>
  <c r="F29" i="17"/>
  <c r="K29" i="17"/>
  <c r="K27" i="13"/>
  <c r="F27" i="13"/>
  <c r="E35" i="9"/>
  <c r="I20" i="8"/>
  <c r="E67" i="9"/>
  <c r="I41" i="8"/>
  <c r="F85" i="13"/>
  <c r="K85" i="13"/>
  <c r="K23" i="17"/>
  <c r="F23" i="17"/>
  <c r="F29" i="13"/>
  <c r="K29" i="13"/>
  <c r="E27" i="9"/>
  <c r="I16" i="8"/>
  <c r="F47" i="17"/>
  <c r="K47" i="17"/>
  <c r="E73" i="9"/>
  <c r="I27" i="8"/>
  <c r="K51" i="13"/>
  <c r="F51" i="13"/>
  <c r="K51" i="17"/>
  <c r="F51" i="17"/>
  <c r="E25" i="9"/>
  <c r="I15" i="8"/>
  <c r="E51" i="9"/>
  <c r="I38" i="8"/>
  <c r="K43" i="17"/>
  <c r="F43" i="17"/>
  <c r="K15" i="13"/>
  <c r="F15" i="13"/>
  <c r="K85" i="17"/>
  <c r="F85" i="17"/>
  <c r="E23" i="9"/>
  <c r="I14" i="8"/>
  <c r="E29" i="9"/>
  <c r="I17" i="8"/>
  <c r="F41" i="13"/>
  <c r="K41" i="13"/>
  <c r="F31" i="17"/>
  <c r="K31" i="17"/>
  <c r="K47" i="13"/>
  <c r="F47" i="13"/>
  <c r="F15" i="17"/>
  <c r="K15" i="17"/>
  <c r="E85" i="9"/>
  <c r="I32" i="8"/>
  <c r="K45" i="13"/>
  <c r="F45" i="13"/>
  <c r="K75" i="13"/>
  <c r="F75" i="13"/>
  <c r="K41" i="17"/>
  <c r="F41" i="17"/>
  <c r="F31" i="13"/>
  <c r="K31" i="13"/>
  <c r="F13" i="13"/>
  <c r="K13" i="13"/>
  <c r="E43" i="9"/>
  <c r="I24" i="8"/>
  <c r="E15" i="9"/>
  <c r="I10" i="8"/>
  <c r="F57" i="17"/>
  <c r="K57" i="17"/>
  <c r="F45" i="17"/>
  <c r="K45" i="17"/>
  <c r="F75" i="17"/>
  <c r="K75" i="17"/>
  <c r="E41" i="9"/>
  <c r="I23" i="8"/>
  <c r="E31" i="9"/>
  <c r="I18" i="8"/>
  <c r="K13" i="17"/>
  <c r="F13" i="17"/>
  <c r="E13" i="9"/>
  <c r="I9" i="8"/>
  <c r="K79" i="13"/>
  <c r="F79" i="13"/>
  <c r="K57" i="13"/>
  <c r="F57" i="13"/>
  <c r="E45" i="9"/>
  <c r="I25" i="8"/>
  <c r="E75" i="9"/>
  <c r="I28" i="8"/>
  <c r="F59" i="17"/>
  <c r="K59" i="17"/>
  <c r="K77" i="17"/>
  <c r="F77" i="17"/>
  <c r="F83" i="17"/>
  <c r="K83" i="17"/>
  <c r="F37" i="17"/>
  <c r="K37" i="17"/>
  <c r="F79" i="17"/>
  <c r="K79" i="17"/>
  <c r="E57" i="9"/>
  <c r="I40" i="8"/>
  <c r="F81" i="17"/>
  <c r="K81" i="17"/>
  <c r="F59" i="13"/>
  <c r="K59" i="13"/>
  <c r="F77" i="13"/>
  <c r="K77" i="13"/>
  <c r="F37" i="13"/>
  <c r="K37" i="13"/>
  <c r="E79" i="9"/>
  <c r="I29" i="8"/>
  <c r="K69" i="17"/>
  <c r="F69" i="17"/>
  <c r="F81" i="13"/>
  <c r="K81" i="13"/>
  <c r="E59" i="9"/>
  <c r="I33" i="8"/>
  <c r="E77" i="9"/>
  <c r="I45" i="8"/>
  <c r="K39" i="17"/>
  <c r="F39" i="17"/>
  <c r="K69" i="13"/>
  <c r="F69" i="13"/>
  <c r="E81" i="9"/>
  <c r="I30" i="8"/>
  <c r="F53" i="13"/>
  <c r="K53" i="13"/>
  <c r="E83" i="9"/>
  <c r="I31" i="8"/>
  <c r="F33" i="13"/>
  <c r="K33" i="13"/>
  <c r="F61" i="17"/>
  <c r="K61" i="17"/>
  <c r="K39" i="13"/>
  <c r="F39" i="13"/>
  <c r="E69" i="9"/>
  <c r="I37" i="8"/>
  <c r="K65" i="17"/>
  <c r="F65" i="17"/>
  <c r="K71" i="17"/>
  <c r="F71" i="17"/>
  <c r="F53" i="17"/>
  <c r="K53" i="17"/>
  <c r="F43" i="13"/>
  <c r="K43" i="13"/>
  <c r="F61" i="13"/>
  <c r="K61" i="13"/>
  <c r="K49" i="13"/>
  <c r="F49" i="13"/>
  <c r="K33" i="17"/>
  <c r="F33" i="17"/>
  <c r="E61" i="9"/>
  <c r="I43" i="8"/>
  <c r="E39" i="9"/>
  <c r="I22" i="8"/>
  <c r="K17" i="17"/>
  <c r="F17" i="17"/>
  <c r="F65" i="13"/>
  <c r="K65" i="13"/>
  <c r="K71" i="13"/>
  <c r="F71" i="13"/>
  <c r="E53" i="9"/>
  <c r="I42" i="8"/>
  <c r="F83" i="9" l="1"/>
  <c r="J83" i="9"/>
  <c r="J7" i="14"/>
  <c r="J77" i="14"/>
  <c r="J17" i="14"/>
  <c r="J33" i="14"/>
  <c r="J79" i="14"/>
  <c r="J39" i="14"/>
  <c r="J9" i="14"/>
  <c r="J15" i="14"/>
  <c r="J45" i="14"/>
  <c r="J69" i="14"/>
  <c r="J35" i="14"/>
  <c r="J67" i="14"/>
  <c r="J63" i="14"/>
  <c r="J13" i="14"/>
  <c r="J51" i="14"/>
  <c r="J75" i="14"/>
  <c r="J85" i="14"/>
  <c r="J57" i="14"/>
  <c r="J23" i="14"/>
  <c r="J59" i="14"/>
  <c r="J29" i="14"/>
  <c r="J31" i="14"/>
  <c r="J61" i="14"/>
  <c r="J41" i="14"/>
  <c r="J25" i="14"/>
  <c r="J21" i="14"/>
  <c r="J83" i="14"/>
  <c r="J49" i="14"/>
  <c r="J47" i="14"/>
  <c r="J11" i="14"/>
  <c r="J55" i="14"/>
  <c r="J37" i="14"/>
  <c r="J27" i="14"/>
  <c r="J81" i="14"/>
  <c r="J43" i="14"/>
  <c r="J71" i="14"/>
  <c r="J73" i="14"/>
  <c r="J53" i="14"/>
  <c r="J5" i="14"/>
  <c r="J19" i="14"/>
  <c r="J65" i="14"/>
  <c r="J13" i="9"/>
  <c r="F13" i="9"/>
  <c r="F43" i="9"/>
  <c r="J43" i="9"/>
  <c r="F51" i="9"/>
  <c r="J51" i="9"/>
  <c r="F63" i="9"/>
  <c r="J63" i="9"/>
  <c r="J47" i="9"/>
  <c r="M47" i="9" s="1"/>
  <c r="F47" i="9"/>
  <c r="J31" i="13"/>
  <c r="J29" i="13"/>
  <c r="J5" i="13"/>
  <c r="J73" i="13"/>
  <c r="J77" i="13"/>
  <c r="J81" i="13"/>
  <c r="J57" i="13"/>
  <c r="J9" i="13"/>
  <c r="J27" i="13"/>
  <c r="J35" i="13"/>
  <c r="J39" i="13"/>
  <c r="J21" i="13"/>
  <c r="J63" i="13"/>
  <c r="J43" i="13"/>
  <c r="J33" i="13"/>
  <c r="J85" i="13"/>
  <c r="J15" i="13"/>
  <c r="J49" i="13"/>
  <c r="J11" i="13"/>
  <c r="J67" i="13"/>
  <c r="J13" i="13"/>
  <c r="J17" i="13"/>
  <c r="J79" i="13"/>
  <c r="J53" i="13"/>
  <c r="J61" i="13"/>
  <c r="J75" i="13"/>
  <c r="J41" i="13"/>
  <c r="J69" i="13"/>
  <c r="J59" i="13"/>
  <c r="J37" i="13"/>
  <c r="J25" i="13"/>
  <c r="J7" i="13"/>
  <c r="J65" i="13"/>
  <c r="J23" i="13"/>
  <c r="J45" i="13"/>
  <c r="J83" i="13"/>
  <c r="J19" i="13"/>
  <c r="J47" i="13"/>
  <c r="J55" i="13"/>
  <c r="J71" i="13"/>
  <c r="J51" i="13"/>
  <c r="J79" i="9"/>
  <c r="F79" i="9"/>
  <c r="J25" i="9"/>
  <c r="F25" i="9"/>
  <c r="F9" i="9"/>
  <c r="J9" i="9"/>
  <c r="F17" i="9"/>
  <c r="J17" i="9"/>
  <c r="F81" i="9"/>
  <c r="J81" i="9"/>
  <c r="J31" i="9"/>
  <c r="F31" i="9"/>
  <c r="J67" i="9"/>
  <c r="F67" i="9"/>
  <c r="J7" i="9"/>
  <c r="F7" i="9"/>
  <c r="F39" i="9"/>
  <c r="J39" i="9"/>
  <c r="F41" i="9"/>
  <c r="J41" i="9"/>
  <c r="J29" i="9"/>
  <c r="F29" i="9"/>
  <c r="F35" i="9"/>
  <c r="J35" i="9"/>
  <c r="J33" i="9"/>
  <c r="F33" i="9"/>
  <c r="J75" i="9"/>
  <c r="F75" i="9"/>
  <c r="F23" i="9"/>
  <c r="J23" i="9"/>
  <c r="F73" i="9"/>
  <c r="J73" i="9"/>
  <c r="J55" i="9"/>
  <c r="F55" i="9"/>
  <c r="F19" i="9"/>
  <c r="J19" i="9"/>
  <c r="J49" i="9"/>
  <c r="F49" i="9"/>
  <c r="F77" i="9"/>
  <c r="J77" i="9"/>
  <c r="F45" i="9"/>
  <c r="J45" i="9"/>
  <c r="J11" i="9"/>
  <c r="F11" i="9"/>
  <c r="F71" i="9"/>
  <c r="J71" i="9"/>
  <c r="F57" i="9"/>
  <c r="J57" i="9"/>
  <c r="F69" i="9"/>
  <c r="J69" i="9"/>
  <c r="J85" i="9"/>
  <c r="F85" i="9"/>
  <c r="F27" i="9"/>
  <c r="J27" i="9"/>
  <c r="J65" i="9"/>
  <c r="F65" i="9"/>
  <c r="J37" i="9"/>
  <c r="F37" i="9"/>
  <c r="J61" i="9"/>
  <c r="F61" i="9"/>
  <c r="F53" i="9"/>
  <c r="J53" i="9"/>
  <c r="J59" i="9"/>
  <c r="F59" i="9"/>
  <c r="J15" i="9"/>
  <c r="F15" i="9"/>
  <c r="F21" i="9"/>
  <c r="J21" i="9"/>
  <c r="Q49" i="9" l="1"/>
  <c r="M49" i="9"/>
  <c r="K73" i="14"/>
  <c r="E5" i="14" l="1"/>
  <c r="K23" i="14"/>
  <c r="K15" i="14"/>
  <c r="K45" i="14"/>
  <c r="K53" i="14"/>
  <c r="K29" i="14"/>
  <c r="K31" i="14"/>
  <c r="K75" i="14"/>
  <c r="K41" i="14"/>
  <c r="K51" i="14"/>
  <c r="K49" i="14"/>
  <c r="K77" i="14"/>
  <c r="K71" i="14"/>
  <c r="K47" i="14"/>
  <c r="K65" i="14"/>
  <c r="K7" i="14"/>
  <c r="K21" i="14"/>
  <c r="K35" i="14"/>
  <c r="K37" i="14"/>
  <c r="K5" i="14"/>
  <c r="K25" i="14"/>
  <c r="K69" i="14"/>
  <c r="K59" i="14"/>
  <c r="K33" i="14"/>
  <c r="K81" i="14"/>
  <c r="K63" i="14"/>
  <c r="K19" i="14"/>
  <c r="K79" i="14"/>
  <c r="K13" i="14"/>
  <c r="K11" i="14"/>
  <c r="K9" i="14"/>
  <c r="K39" i="14"/>
  <c r="K83" i="14"/>
  <c r="K57" i="14"/>
  <c r="K61" i="14"/>
  <c r="K85" i="14"/>
  <c r="K17" i="14"/>
  <c r="K55" i="14"/>
  <c r="K67" i="14"/>
  <c r="K43" i="14"/>
  <c r="K27" i="14"/>
  <c r="K51" i="9"/>
  <c r="Q51" i="9" s="1"/>
  <c r="O51" i="9" l="1"/>
  <c r="P51" i="9"/>
  <c r="L51" i="9"/>
  <c r="M51" i="9" s="1"/>
  <c r="L5" i="14"/>
  <c r="O5" i="14" s="1"/>
  <c r="F5" i="14"/>
  <c r="E5" i="17" l="1"/>
  <c r="E5" i="13"/>
  <c r="K53" i="9"/>
  <c r="M5" i="14"/>
  <c r="O7" i="14"/>
  <c r="O9" i="14" s="1"/>
  <c r="O11" i="14" s="1"/>
  <c r="O13" i="14" s="1"/>
  <c r="O15" i="14" s="1"/>
  <c r="O17" i="14" s="1"/>
  <c r="O19" i="14" s="1"/>
  <c r="O21" i="14" s="1"/>
  <c r="O23" i="14" s="1"/>
  <c r="O25" i="14" s="1"/>
  <c r="O27" i="14" s="1"/>
  <c r="O29" i="14" s="1"/>
  <c r="O31" i="14" s="1"/>
  <c r="O33" i="14" s="1"/>
  <c r="O35" i="14" s="1"/>
  <c r="O37" i="14" s="1"/>
  <c r="O39" i="14" s="1"/>
  <c r="O41" i="14" s="1"/>
  <c r="O43" i="14" s="1"/>
  <c r="O45" i="14" s="1"/>
  <c r="O47" i="14" s="1"/>
  <c r="O49" i="14" s="1"/>
  <c r="O51" i="14" s="1"/>
  <c r="O53" i="14" s="1"/>
  <c r="O55" i="14" s="1"/>
  <c r="O57" i="14" s="1"/>
  <c r="O59" i="14" s="1"/>
  <c r="O61" i="14" s="1"/>
  <c r="O63" i="14" s="1"/>
  <c r="O65" i="14" s="1"/>
  <c r="O67" i="14" s="1"/>
  <c r="O69" i="14" s="1"/>
  <c r="O71" i="14" s="1"/>
  <c r="O73" i="14" s="1"/>
  <c r="O75" i="14" s="1"/>
  <c r="O77" i="14" s="1"/>
  <c r="O79" i="14" s="1"/>
  <c r="O81" i="14" s="1"/>
  <c r="O83" i="14" s="1"/>
  <c r="O85" i="14" s="1"/>
  <c r="L53" i="9" l="1"/>
  <c r="M53" i="9" s="1"/>
  <c r="Q53" i="9"/>
  <c r="K5" i="13"/>
  <c r="N5" i="13" s="1"/>
  <c r="F5" i="13"/>
  <c r="K5" i="17"/>
  <c r="N5" i="17" s="1"/>
  <c r="F5" i="17"/>
  <c r="N5" i="14"/>
  <c r="M7" i="14"/>
  <c r="O53" i="9"/>
  <c r="P53" i="9"/>
  <c r="N7" i="14" l="1"/>
  <c r="M9" i="14"/>
  <c r="K55" i="9"/>
  <c r="L55" i="9" s="1"/>
  <c r="M55" i="9" s="1"/>
  <c r="N7" i="17"/>
  <c r="N9" i="17" s="1"/>
  <c r="N11" i="17" s="1"/>
  <c r="N13" i="17" s="1"/>
  <c r="N15" i="17" s="1"/>
  <c r="N17" i="17" s="1"/>
  <c r="N19" i="17" s="1"/>
  <c r="N21" i="17" s="1"/>
  <c r="N23" i="17" s="1"/>
  <c r="N25" i="17" s="1"/>
  <c r="N27" i="17" s="1"/>
  <c r="N29" i="17" s="1"/>
  <c r="N31" i="17" s="1"/>
  <c r="N33" i="17" s="1"/>
  <c r="N35" i="17" s="1"/>
  <c r="N37" i="17" s="1"/>
  <c r="N39" i="17" s="1"/>
  <c r="N41" i="17" s="1"/>
  <c r="N43" i="17" s="1"/>
  <c r="N45" i="17" s="1"/>
  <c r="N47" i="17" s="1"/>
  <c r="N49" i="17" s="1"/>
  <c r="N51" i="17" s="1"/>
  <c r="N53" i="17" s="1"/>
  <c r="N55" i="17" s="1"/>
  <c r="N57" i="17" s="1"/>
  <c r="N59" i="17" s="1"/>
  <c r="N61" i="17" s="1"/>
  <c r="N63" i="17" s="1"/>
  <c r="N65" i="17" s="1"/>
  <c r="N67" i="17" s="1"/>
  <c r="N69" i="17" s="1"/>
  <c r="N71" i="17" s="1"/>
  <c r="N73" i="17" s="1"/>
  <c r="N75" i="17" s="1"/>
  <c r="N77" i="17" s="1"/>
  <c r="N79" i="17" s="1"/>
  <c r="N81" i="17" s="1"/>
  <c r="N83" i="17" s="1"/>
  <c r="N85" i="17" s="1"/>
  <c r="L5" i="17"/>
  <c r="N7" i="13"/>
  <c r="N9" i="13" s="1"/>
  <c r="N11" i="13" s="1"/>
  <c r="N13" i="13" s="1"/>
  <c r="N15" i="13" s="1"/>
  <c r="N17" i="13" s="1"/>
  <c r="N19" i="13" s="1"/>
  <c r="N21" i="13" s="1"/>
  <c r="N23" i="13" s="1"/>
  <c r="N25" i="13" s="1"/>
  <c r="N27" i="13" s="1"/>
  <c r="N29" i="13" s="1"/>
  <c r="N31" i="13" s="1"/>
  <c r="N33" i="13" s="1"/>
  <c r="N35" i="13" s="1"/>
  <c r="N37" i="13" s="1"/>
  <c r="N39" i="13" s="1"/>
  <c r="N41" i="13" s="1"/>
  <c r="N43" i="13" s="1"/>
  <c r="N45" i="13" s="1"/>
  <c r="N47" i="13" s="1"/>
  <c r="N49" i="13" s="1"/>
  <c r="N51" i="13" s="1"/>
  <c r="N53" i="13" s="1"/>
  <c r="N55" i="13" s="1"/>
  <c r="N57" i="13" s="1"/>
  <c r="N59" i="13" s="1"/>
  <c r="N61" i="13" s="1"/>
  <c r="N63" i="13" s="1"/>
  <c r="N65" i="13" s="1"/>
  <c r="N67" i="13" s="1"/>
  <c r="N69" i="13" s="1"/>
  <c r="N71" i="13" s="1"/>
  <c r="N73" i="13" s="1"/>
  <c r="N75" i="13" s="1"/>
  <c r="N77" i="13" s="1"/>
  <c r="N79" i="13" s="1"/>
  <c r="N81" i="13" s="1"/>
  <c r="N83" i="13" s="1"/>
  <c r="N85" i="13" s="1"/>
  <c r="L5" i="13"/>
  <c r="Q55" i="9" l="1"/>
  <c r="O55" i="9"/>
  <c r="M5" i="13"/>
  <c r="L7" i="13"/>
  <c r="M5" i="17"/>
  <c r="L7" i="17"/>
  <c r="I5" i="8"/>
  <c r="M11" i="14"/>
  <c r="N9" i="14"/>
  <c r="P55" i="9"/>
  <c r="M13" i="14" l="1"/>
  <c r="N11" i="14"/>
  <c r="M7" i="17"/>
  <c r="L9" i="17"/>
  <c r="E5" i="9"/>
  <c r="M7" i="13"/>
  <c r="L9" i="13"/>
  <c r="K57" i="9"/>
  <c r="L57" i="9" s="1"/>
  <c r="M57" i="9" s="1"/>
  <c r="M9" i="13" l="1"/>
  <c r="L11" i="13"/>
  <c r="J5" i="9"/>
  <c r="N5" i="9" s="1"/>
  <c r="F5" i="9"/>
  <c r="N13" i="14"/>
  <c r="M15" i="14"/>
  <c r="Q57" i="9"/>
  <c r="O57" i="9"/>
  <c r="L11" i="17"/>
  <c r="M9" i="17"/>
  <c r="P57" i="9"/>
  <c r="K59" i="9" l="1"/>
  <c r="L59" i="9" s="1"/>
  <c r="M59" i="9" s="1"/>
  <c r="M11" i="17"/>
  <c r="L13" i="17"/>
  <c r="M17" i="14"/>
  <c r="N15" i="14"/>
  <c r="N7" i="9"/>
  <c r="N9" i="9" s="1"/>
  <c r="N11" i="9" s="1"/>
  <c r="N13" i="9" s="1"/>
  <c r="N15" i="9" s="1"/>
  <c r="N17" i="9" s="1"/>
  <c r="N19" i="9" s="1"/>
  <c r="N21" i="9" s="1"/>
  <c r="N23" i="9" s="1"/>
  <c r="N25" i="9" s="1"/>
  <c r="N27" i="9" s="1"/>
  <c r="N29" i="9" s="1"/>
  <c r="N31" i="9" s="1"/>
  <c r="N33" i="9" s="1"/>
  <c r="N35" i="9" s="1"/>
  <c r="N37" i="9" s="1"/>
  <c r="N39" i="9" s="1"/>
  <c r="N41" i="9" s="1"/>
  <c r="N43" i="9" s="1"/>
  <c r="N45" i="9" s="1"/>
  <c r="L5" i="9"/>
  <c r="M11" i="13"/>
  <c r="L13" i="13"/>
  <c r="L15" i="13" l="1"/>
  <c r="M13" i="13"/>
  <c r="L7" i="9"/>
  <c r="M5" i="9"/>
  <c r="N17" i="14"/>
  <c r="M19" i="14"/>
  <c r="Q59" i="9"/>
  <c r="P59" i="9"/>
  <c r="L15" i="17"/>
  <c r="M13" i="17"/>
  <c r="O59" i="9"/>
  <c r="L17" i="17" l="1"/>
  <c r="M15" i="17"/>
  <c r="N19" i="14"/>
  <c r="M21" i="14"/>
  <c r="K61" i="9"/>
  <c r="L61" i="9" s="1"/>
  <c r="M61" i="9" s="1"/>
  <c r="L9" i="9"/>
  <c r="M7" i="9"/>
  <c r="M15" i="13"/>
  <c r="L17" i="13"/>
  <c r="L19" i="13" l="1"/>
  <c r="M17" i="13"/>
  <c r="O61" i="9"/>
  <c r="M9" i="9"/>
  <c r="L11" i="9"/>
  <c r="Q61" i="9"/>
  <c r="N21" i="14"/>
  <c r="M23" i="14"/>
  <c r="L19" i="17"/>
  <c r="M17" i="17"/>
  <c r="P61" i="9"/>
  <c r="L21" i="17" l="1"/>
  <c r="M19" i="17"/>
  <c r="N23" i="14"/>
  <c r="M25" i="14"/>
  <c r="L13" i="9"/>
  <c r="M11" i="9"/>
  <c r="K63" i="9"/>
  <c r="L63" i="9" s="1"/>
  <c r="M63" i="9" s="1"/>
  <c r="L21" i="13"/>
  <c r="M19" i="13"/>
  <c r="O63" i="9" l="1"/>
  <c r="L23" i="13"/>
  <c r="M21" i="13"/>
  <c r="M27" i="14"/>
  <c r="N25" i="14"/>
  <c r="L15" i="9"/>
  <c r="M13" i="9"/>
  <c r="Q63" i="9"/>
  <c r="L23" i="17"/>
  <c r="M21" i="17"/>
  <c r="P63" i="9"/>
  <c r="K65" i="9" l="1"/>
  <c r="P65" i="9" s="1"/>
  <c r="L25" i="17"/>
  <c r="M23" i="17"/>
  <c r="Q65" i="9"/>
  <c r="L17" i="9"/>
  <c r="M15" i="9"/>
  <c r="M29" i="14"/>
  <c r="N27" i="14"/>
  <c r="M23" i="13"/>
  <c r="L25" i="13"/>
  <c r="O65" i="9" l="1"/>
  <c r="K67" i="9" s="1"/>
  <c r="P67" i="9" s="1"/>
  <c r="L65" i="9"/>
  <c r="M65" i="9" s="1"/>
  <c r="L27" i="13"/>
  <c r="M25" i="13"/>
  <c r="N29" i="14"/>
  <c r="M31" i="14"/>
  <c r="M17" i="9"/>
  <c r="L19" i="9"/>
  <c r="M25" i="17"/>
  <c r="L27" i="17"/>
  <c r="O67" i="9" l="1"/>
  <c r="L67" i="9"/>
  <c r="M67" i="9" s="1"/>
  <c r="M27" i="17"/>
  <c r="L29" i="17"/>
  <c r="L21" i="9"/>
  <c r="M19" i="9"/>
  <c r="M33" i="14"/>
  <c r="N31" i="14"/>
  <c r="M27" i="13"/>
  <c r="L29" i="13"/>
  <c r="Q67" i="9"/>
  <c r="L31" i="17" l="1"/>
  <c r="M29" i="17"/>
  <c r="L31" i="13"/>
  <c r="M29" i="13"/>
  <c r="M35" i="14"/>
  <c r="N33" i="14"/>
  <c r="L23" i="9"/>
  <c r="M21" i="9"/>
  <c r="K69" i="9"/>
  <c r="O69" i="9" s="1"/>
  <c r="M31" i="17" l="1"/>
  <c r="L33" i="17"/>
  <c r="L69" i="9"/>
  <c r="M69" i="9" s="1"/>
  <c r="P69" i="9"/>
  <c r="L25" i="9"/>
  <c r="M23" i="9"/>
  <c r="M37" i="14"/>
  <c r="N35" i="14"/>
  <c r="M31" i="13"/>
  <c r="L33" i="13"/>
  <c r="Q69" i="9"/>
  <c r="M25" i="9" l="1"/>
  <c r="L27" i="9"/>
  <c r="M33" i="17"/>
  <c r="L35" i="17"/>
  <c r="L35" i="13"/>
  <c r="M33" i="13"/>
  <c r="M39" i="14"/>
  <c r="N37" i="14"/>
  <c r="K71" i="9"/>
  <c r="L71" i="9" l="1"/>
  <c r="M71" i="9" s="1"/>
  <c r="O71" i="9"/>
  <c r="P71" i="9"/>
  <c r="M41" i="14"/>
  <c r="N39" i="14"/>
  <c r="L37" i="13"/>
  <c r="M35" i="13"/>
  <c r="M35" i="17"/>
  <c r="L37" i="17"/>
  <c r="Q71" i="9"/>
  <c r="L29" i="9"/>
  <c r="M27" i="9"/>
  <c r="L31" i="9" l="1"/>
  <c r="M29" i="9"/>
  <c r="M37" i="17"/>
  <c r="L39" i="17"/>
  <c r="M37" i="13"/>
  <c r="L39" i="13"/>
  <c r="M43" i="14"/>
  <c r="N41" i="14"/>
  <c r="K73" i="9"/>
  <c r="L41" i="17" l="1"/>
  <c r="M39" i="17"/>
  <c r="O73" i="9"/>
  <c r="L73" i="9"/>
  <c r="M73" i="9" s="1"/>
  <c r="P73" i="9"/>
  <c r="M45" i="14"/>
  <c r="N43" i="14"/>
  <c r="Q73" i="9"/>
  <c r="M39" i="13"/>
  <c r="L41" i="13"/>
  <c r="L33" i="9"/>
  <c r="M31" i="9"/>
  <c r="L43" i="13" l="1"/>
  <c r="M41" i="13"/>
  <c r="M33" i="9"/>
  <c r="L35" i="9"/>
  <c r="N45" i="14"/>
  <c r="M47" i="14"/>
  <c r="K75" i="9"/>
  <c r="L75" i="9" s="1"/>
  <c r="M75" i="9" s="1"/>
  <c r="M41" i="17"/>
  <c r="L43" i="17"/>
  <c r="O75" i="9" l="1"/>
  <c r="M43" i="17"/>
  <c r="L45" i="17"/>
  <c r="M49" i="14"/>
  <c r="N47" i="14"/>
  <c r="L37" i="9"/>
  <c r="M35" i="9"/>
  <c r="P75" i="9"/>
  <c r="Q75" i="9"/>
  <c r="M43" i="13"/>
  <c r="L45" i="13"/>
  <c r="N49" i="14" l="1"/>
  <c r="M51" i="14"/>
  <c r="M45" i="13"/>
  <c r="L47" i="13"/>
  <c r="L39" i="9"/>
  <c r="M37" i="9"/>
  <c r="M45" i="17"/>
  <c r="L47" i="17"/>
  <c r="K77" i="9"/>
  <c r="L77" i="9" l="1"/>
  <c r="M77" i="9" s="1"/>
  <c r="O77" i="9"/>
  <c r="L49" i="17"/>
  <c r="M47" i="17"/>
  <c r="M53" i="14"/>
  <c r="N51" i="14"/>
  <c r="L41" i="9"/>
  <c r="M39" i="9"/>
  <c r="P77" i="9"/>
  <c r="L49" i="13"/>
  <c r="M47" i="13"/>
  <c r="Q77" i="9"/>
  <c r="K79" i="9" l="1"/>
  <c r="L79" i="9" s="1"/>
  <c r="M79" i="9" s="1"/>
  <c r="L51" i="13"/>
  <c r="M49" i="13"/>
  <c r="M41" i="9"/>
  <c r="L43" i="9"/>
  <c r="M55" i="14"/>
  <c r="N53" i="14"/>
  <c r="M49" i="17"/>
  <c r="L51" i="17"/>
  <c r="L53" i="17" l="1"/>
  <c r="M51" i="17"/>
  <c r="M57" i="14"/>
  <c r="N55" i="14"/>
  <c r="L45" i="9"/>
  <c r="M45" i="9" s="1"/>
  <c r="M43" i="9"/>
  <c r="L53" i="13"/>
  <c r="M51" i="13"/>
  <c r="Q79" i="9"/>
  <c r="O79" i="9"/>
  <c r="P79" i="9"/>
  <c r="K81" i="9" l="1"/>
  <c r="L55" i="13"/>
  <c r="M53" i="13"/>
  <c r="M59" i="14"/>
  <c r="N57" i="14"/>
  <c r="L55" i="17"/>
  <c r="M53" i="17"/>
  <c r="M55" i="17" l="1"/>
  <c r="L57" i="17"/>
  <c r="M61" i="14"/>
  <c r="N59" i="14"/>
  <c r="L57" i="13"/>
  <c r="M55" i="13"/>
  <c r="O81" i="9"/>
  <c r="L81" i="9"/>
  <c r="M81" i="9" s="1"/>
  <c r="P81" i="9"/>
  <c r="Q81" i="9"/>
  <c r="K83" i="9" l="1"/>
  <c r="L83" i="9" s="1"/>
  <c r="M83" i="9" s="1"/>
  <c r="N61" i="14"/>
  <c r="M63" i="14"/>
  <c r="M57" i="17"/>
  <c r="L59" i="17"/>
  <c r="M57" i="13"/>
  <c r="L59" i="13"/>
  <c r="O83" i="9" l="1"/>
  <c r="M59" i="17"/>
  <c r="L61" i="17"/>
  <c r="P83" i="9"/>
  <c r="L61" i="13"/>
  <c r="M59" i="13"/>
  <c r="M65" i="14"/>
  <c r="N63" i="14"/>
  <c r="Q83" i="9"/>
  <c r="K85" i="9" l="1"/>
  <c r="L85" i="9" s="1"/>
  <c r="M85" i="9" s="1"/>
  <c r="Q85" i="9"/>
  <c r="M61" i="17"/>
  <c r="L63" i="17"/>
  <c r="N65" i="14"/>
  <c r="M67" i="14"/>
  <c r="M61" i="13"/>
  <c r="L63" i="13"/>
  <c r="P85" i="9"/>
  <c r="O85" i="9" l="1"/>
  <c r="L65" i="17"/>
  <c r="M63" i="17"/>
  <c r="M63" i="13"/>
  <c r="L65" i="13"/>
  <c r="N67" i="14"/>
  <c r="M69" i="14"/>
  <c r="N69" i="14" l="1"/>
  <c r="M71" i="14"/>
  <c r="M65" i="13"/>
  <c r="L67" i="13"/>
  <c r="L67" i="17"/>
  <c r="M65" i="17"/>
  <c r="L69" i="17" l="1"/>
  <c r="M67" i="17"/>
  <c r="N71" i="14"/>
  <c r="M73" i="14"/>
  <c r="L69" i="13"/>
  <c r="M67" i="13"/>
  <c r="M75" i="14" l="1"/>
  <c r="N73" i="14"/>
  <c r="M69" i="13"/>
  <c r="L71" i="13"/>
  <c r="M69" i="17"/>
  <c r="L71" i="17"/>
  <c r="L73" i="13" l="1"/>
  <c r="M71" i="13"/>
  <c r="L73" i="17"/>
  <c r="M71" i="17"/>
  <c r="N75" i="14"/>
  <c r="M77" i="14"/>
  <c r="N77" i="14" l="1"/>
  <c r="M79" i="14"/>
  <c r="L75" i="17"/>
  <c r="M73" i="17"/>
  <c r="L75" i="13"/>
  <c r="M73" i="13"/>
  <c r="M75" i="13" l="1"/>
  <c r="L77" i="13"/>
  <c r="M75" i="17"/>
  <c r="L77" i="17"/>
  <c r="N79" i="14"/>
  <c r="M81" i="14"/>
  <c r="M77" i="17" l="1"/>
  <c r="L79" i="17"/>
  <c r="M83" i="14"/>
  <c r="N81" i="14"/>
  <c r="L79" i="13"/>
  <c r="M77" i="13"/>
  <c r="M79" i="13" l="1"/>
  <c r="L81" i="13"/>
  <c r="M85" i="14"/>
  <c r="N85" i="14" s="1"/>
  <c r="N83" i="14"/>
  <c r="L81" i="17"/>
  <c r="M79" i="17"/>
  <c r="M81" i="17" l="1"/>
  <c r="L83" i="17"/>
  <c r="L83" i="13"/>
  <c r="M81" i="13"/>
  <c r="L85" i="13" l="1"/>
  <c r="M85" i="13" s="1"/>
  <c r="M83" i="13"/>
  <c r="L85" i="17"/>
  <c r="M85" i="17" s="1"/>
  <c r="M83"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8" authorId="0" shapeId="0" xr:uid="{F5C46967-0AB3-435D-B0C2-2063A96068C4}">
      <text>
        <r>
          <rPr>
            <b/>
            <sz val="12"/>
            <color indexed="81"/>
            <rFont val="Tahoma"/>
            <family val="2"/>
          </rPr>
          <t xml:space="preserve">CSBDMS
CSBDML
CSBDMEL
CSBDRS
CSBDRL
CSBDREL
CUAHC464
CUAHC465
CUAHC466
</t>
        </r>
        <r>
          <rPr>
            <b/>
            <sz val="12"/>
            <color indexed="81"/>
            <rFont val="돋움"/>
            <family val="3"/>
            <charset val="129"/>
          </rPr>
          <t>샌딩</t>
        </r>
        <r>
          <rPr>
            <b/>
            <sz val="12"/>
            <color indexed="81"/>
            <rFont val="Tahoma"/>
            <family val="2"/>
          </rPr>
          <t xml:space="preserve"> </t>
        </r>
        <r>
          <rPr>
            <b/>
            <sz val="12"/>
            <color indexed="81"/>
            <rFont val="돋움"/>
            <family val="3"/>
            <charset val="129"/>
          </rPr>
          <t>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6" authorId="0" shapeId="0" xr:uid="{13AB0F77-A9BB-4F16-AB80-1296AF515A8B}">
      <text>
        <r>
          <rPr>
            <b/>
            <sz val="9"/>
            <color indexed="81"/>
            <rFont val="Tahoma"/>
            <family val="2"/>
          </rPr>
          <t xml:space="preserve">CNC </t>
        </r>
        <r>
          <rPr>
            <b/>
            <sz val="9"/>
            <color indexed="81"/>
            <rFont val="돋움"/>
            <family val="3"/>
            <charset val="129"/>
          </rPr>
          <t>인원</t>
        </r>
        <r>
          <rPr>
            <b/>
            <sz val="9"/>
            <color indexed="81"/>
            <rFont val="Tahoma"/>
            <family val="2"/>
          </rPr>
          <t xml:space="preserve"> 1</t>
        </r>
        <r>
          <rPr>
            <b/>
            <sz val="9"/>
            <color indexed="81"/>
            <rFont val="돋움"/>
            <family val="3"/>
            <charset val="129"/>
          </rPr>
          <t>명</t>
        </r>
        <r>
          <rPr>
            <b/>
            <sz val="9"/>
            <color indexed="81"/>
            <rFont val="Tahoma"/>
            <family val="2"/>
          </rPr>
          <t xml:space="preserve"> </t>
        </r>
        <r>
          <rPr>
            <b/>
            <sz val="9"/>
            <color indexed="81"/>
            <rFont val="돋움"/>
            <family val="3"/>
            <charset val="129"/>
          </rPr>
          <t>으로</t>
        </r>
        <r>
          <rPr>
            <b/>
            <sz val="9"/>
            <color indexed="81"/>
            <rFont val="Tahoma"/>
            <family val="2"/>
          </rPr>
          <t xml:space="preserve"> 4</t>
        </r>
        <r>
          <rPr>
            <b/>
            <sz val="9"/>
            <color indexed="81"/>
            <rFont val="돋움"/>
            <family val="3"/>
            <charset val="129"/>
          </rPr>
          <t>대</t>
        </r>
        <r>
          <rPr>
            <b/>
            <sz val="9"/>
            <color indexed="81"/>
            <rFont val="Tahoma"/>
            <family val="2"/>
          </rPr>
          <t xml:space="preserve"> </t>
        </r>
        <r>
          <rPr>
            <b/>
            <sz val="9"/>
            <color indexed="81"/>
            <rFont val="돋움"/>
            <family val="3"/>
            <charset val="129"/>
          </rPr>
          <t>가동</t>
        </r>
        <r>
          <rPr>
            <b/>
            <sz val="9"/>
            <color indexed="81"/>
            <rFont val="Tahoma"/>
            <family val="2"/>
          </rPr>
          <t xml:space="preserve"> 24</t>
        </r>
        <r>
          <rPr>
            <b/>
            <sz val="9"/>
            <color indexed="81"/>
            <rFont val="돋움"/>
            <family val="3"/>
            <charset val="129"/>
          </rPr>
          <t>시간</t>
        </r>
        <r>
          <rPr>
            <b/>
            <sz val="9"/>
            <color indexed="81"/>
            <rFont val="Tahoma"/>
            <family val="2"/>
          </rPr>
          <t xml:space="preserve"> </t>
        </r>
        <r>
          <rPr>
            <b/>
            <sz val="9"/>
            <color indexed="81"/>
            <rFont val="돋움"/>
            <family val="3"/>
            <charset val="129"/>
          </rPr>
          <t>자동생산</t>
        </r>
        <r>
          <rPr>
            <b/>
            <sz val="9"/>
            <color indexed="81"/>
            <rFont val="Tahoma"/>
            <family val="2"/>
          </rPr>
          <t xml:space="preserve"> 
</t>
        </r>
        <r>
          <rPr>
            <b/>
            <sz val="9"/>
            <color indexed="81"/>
            <rFont val="돋움"/>
            <family val="3"/>
            <charset val="129"/>
          </rPr>
          <t>탈지</t>
        </r>
        <r>
          <rPr>
            <b/>
            <sz val="9"/>
            <color indexed="81"/>
            <rFont val="Tahoma"/>
            <family val="2"/>
          </rPr>
          <t xml:space="preserve"> </t>
        </r>
        <r>
          <rPr>
            <b/>
            <sz val="9"/>
            <color indexed="81"/>
            <rFont val="돋움"/>
            <family val="3"/>
            <charset val="129"/>
          </rPr>
          <t>및</t>
        </r>
        <r>
          <rPr>
            <b/>
            <sz val="9"/>
            <color indexed="81"/>
            <rFont val="Tahoma"/>
            <family val="2"/>
          </rPr>
          <t xml:space="preserve"> </t>
        </r>
        <r>
          <rPr>
            <b/>
            <sz val="9"/>
            <color indexed="81"/>
            <rFont val="돋움"/>
            <family val="3"/>
            <charset val="129"/>
          </rPr>
          <t>세척까지</t>
        </r>
        <r>
          <rPr>
            <b/>
            <sz val="9"/>
            <color indexed="81"/>
            <rFont val="Tahoma"/>
            <family val="2"/>
          </rPr>
          <t xml:space="preserve"> </t>
        </r>
        <r>
          <rPr>
            <b/>
            <sz val="9"/>
            <color indexed="81"/>
            <rFont val="돋움"/>
            <family val="3"/>
            <charset val="129"/>
          </rPr>
          <t>진행</t>
        </r>
      </text>
    </comment>
    <comment ref="D21" authorId="0" shapeId="0" xr:uid="{851BA171-F2A0-4368-9FDE-E4C623DF3598}">
      <text>
        <r>
          <rPr>
            <sz val="11"/>
            <color indexed="81"/>
            <rFont val="돋움"/>
            <family val="3"/>
            <charset val="129"/>
          </rPr>
          <t>에칭 전 준비시간 1시간 30 ~ 2시간 
폐유 처리 -&gt; 염산 황산 투입 -&gt; 가열
-&gt; 물보충 -&gt; 기타 등  = 1Cycle</t>
        </r>
      </text>
    </comment>
    <comment ref="N21" authorId="0" shapeId="0" xr:uid="{9FA8E10D-FD48-4EF7-8FD7-6ECEFE5483AD}">
      <text>
        <r>
          <rPr>
            <b/>
            <sz val="9"/>
            <color indexed="81"/>
            <rFont val="돋움"/>
            <family val="3"/>
            <charset val="129"/>
          </rPr>
          <t>셋팅시간</t>
        </r>
        <r>
          <rPr>
            <b/>
            <sz val="9"/>
            <color indexed="81"/>
            <rFont val="Tahoma"/>
            <family val="2"/>
          </rPr>
          <t xml:space="preserve"> 4</t>
        </r>
        <r>
          <rPr>
            <b/>
            <sz val="9"/>
            <color indexed="81"/>
            <rFont val="돋움"/>
            <family val="3"/>
            <charset val="129"/>
          </rPr>
          <t>시간</t>
        </r>
        <r>
          <rPr>
            <b/>
            <sz val="9"/>
            <color indexed="81"/>
            <rFont val="Tahoma"/>
            <family val="2"/>
          </rPr>
          <t xml:space="preserve"> </t>
        </r>
        <r>
          <rPr>
            <b/>
            <sz val="9"/>
            <color indexed="81"/>
            <rFont val="돋움"/>
            <family val="3"/>
            <charset val="129"/>
          </rPr>
          <t>제외</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13" authorId="0" shapeId="0" xr:uid="{72D65F57-56B3-4872-8A11-5BD118F0C3FD}">
      <text>
        <r>
          <rPr>
            <b/>
            <sz val="11"/>
            <color indexed="81"/>
            <rFont val="Tahoma"/>
            <family val="2"/>
          </rPr>
          <t xml:space="preserve">2K OVER </t>
        </r>
        <r>
          <rPr>
            <b/>
            <sz val="11"/>
            <color indexed="81"/>
            <rFont val="돋움"/>
            <family val="3"/>
            <charset val="129"/>
          </rPr>
          <t>생산됨</t>
        </r>
        <r>
          <rPr>
            <b/>
            <sz val="11"/>
            <color indexed="81"/>
            <rFont val="Tahoma"/>
            <family val="2"/>
          </rPr>
          <t xml:space="preserve"> 
</t>
        </r>
        <r>
          <rPr>
            <b/>
            <sz val="11"/>
            <color indexed="81"/>
            <rFont val="돋움"/>
            <family val="3"/>
            <charset val="129"/>
          </rPr>
          <t>확인</t>
        </r>
        <r>
          <rPr>
            <b/>
            <sz val="11"/>
            <color indexed="81"/>
            <rFont val="Tahoma"/>
            <family val="2"/>
          </rPr>
          <t xml:space="preserve"> </t>
        </r>
        <r>
          <rPr>
            <b/>
            <sz val="11"/>
            <color indexed="81"/>
            <rFont val="돋움"/>
            <family val="3"/>
            <charset val="129"/>
          </rPr>
          <t>필요</t>
        </r>
        <r>
          <rPr>
            <b/>
            <sz val="11"/>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S6" authorId="0" shapeId="0" xr:uid="{5B76A91D-C1B5-4C9F-A97D-9F9E1148B608}">
      <text>
        <r>
          <rPr>
            <sz val="18"/>
            <color indexed="81"/>
            <rFont val="Tahoma"/>
            <family val="2"/>
          </rPr>
          <t>“</t>
        </r>
        <r>
          <rPr>
            <sz val="18"/>
            <color indexed="81"/>
            <rFont val="돋움"/>
            <family val="3"/>
            <charset val="129"/>
          </rPr>
          <t>모델</t>
        </r>
        <r>
          <rPr>
            <sz val="18"/>
            <color indexed="81"/>
            <rFont val="Tahoma"/>
            <family val="2"/>
          </rPr>
          <t xml:space="preserve"> </t>
        </r>
        <r>
          <rPr>
            <sz val="18"/>
            <color indexed="81"/>
            <rFont val="돋움"/>
            <family val="3"/>
            <charset val="129"/>
          </rPr>
          <t>찾고</t>
        </r>
        <r>
          <rPr>
            <sz val="18"/>
            <color indexed="81"/>
            <rFont val="Tahoma"/>
            <family val="2"/>
          </rPr>
          <t xml:space="preserve"> </t>
        </r>
        <r>
          <rPr>
            <sz val="18"/>
            <color indexed="81"/>
            <rFont val="돋움"/>
            <family val="3"/>
            <charset val="129"/>
          </rPr>
          <t>해서</t>
        </r>
        <r>
          <rPr>
            <sz val="18"/>
            <color indexed="81"/>
            <rFont val="Tahoma"/>
            <family val="2"/>
          </rPr>
          <t xml:space="preserve"> CNC </t>
        </r>
        <r>
          <rPr>
            <sz val="18"/>
            <color indexed="81"/>
            <rFont val="돋움"/>
            <family val="3"/>
            <charset val="129"/>
          </rPr>
          <t>→</t>
        </r>
        <r>
          <rPr>
            <sz val="18"/>
            <color indexed="81"/>
            <rFont val="Tahoma"/>
            <family val="2"/>
          </rPr>
          <t xml:space="preserve"> </t>
        </r>
        <r>
          <rPr>
            <sz val="18"/>
            <color indexed="81"/>
            <rFont val="돋움"/>
            <family val="3"/>
            <charset val="129"/>
          </rPr>
          <t>날짜</t>
        </r>
        <r>
          <rPr>
            <sz val="18"/>
            <color indexed="81"/>
            <rFont val="Tahoma"/>
            <family val="2"/>
          </rPr>
          <t xml:space="preserve"> </t>
        </r>
        <r>
          <rPr>
            <sz val="18"/>
            <color indexed="81"/>
            <rFont val="돋움"/>
            <family val="3"/>
            <charset val="129"/>
          </rPr>
          <t>찾아서</t>
        </r>
        <r>
          <rPr>
            <sz val="18"/>
            <color indexed="81"/>
            <rFont val="Tahoma"/>
            <family val="2"/>
          </rPr>
          <t xml:space="preserve"> </t>
        </r>
        <r>
          <rPr>
            <sz val="18"/>
            <color indexed="81"/>
            <rFont val="돋움"/>
            <family val="3"/>
            <charset val="129"/>
          </rPr>
          <t>교차값</t>
        </r>
        <r>
          <rPr>
            <sz val="18"/>
            <color indexed="81"/>
            <rFont val="Tahoma"/>
            <family val="2"/>
          </rPr>
          <t xml:space="preserve"> </t>
        </r>
        <r>
          <rPr>
            <sz val="18"/>
            <color indexed="81"/>
            <rFont val="돋움"/>
            <family val="3"/>
            <charset val="129"/>
          </rPr>
          <t>가져오기</t>
        </r>
        <r>
          <rPr>
            <sz val="18"/>
            <color indexed="81"/>
            <rFont val="Tahoma"/>
            <family val="2"/>
          </rPr>
          <t>”
(+</t>
        </r>
        <r>
          <rPr>
            <sz val="18"/>
            <color indexed="81"/>
            <rFont val="돋움"/>
            <family val="3"/>
            <charset val="129"/>
          </rPr>
          <t>숫자</t>
        </r>
        <r>
          <rPr>
            <sz val="18"/>
            <color indexed="81"/>
            <rFont val="Tahoma"/>
            <family val="2"/>
          </rPr>
          <t xml:space="preserve"> </t>
        </r>
        <r>
          <rPr>
            <sz val="18"/>
            <color indexed="81"/>
            <rFont val="돋움"/>
            <family val="3"/>
            <charset val="129"/>
          </rPr>
          <t>하면</t>
        </r>
        <r>
          <rPr>
            <sz val="18"/>
            <color indexed="81"/>
            <rFont val="Tahoma"/>
            <family val="2"/>
          </rPr>
          <t xml:space="preserve"> </t>
        </r>
        <r>
          <rPr>
            <sz val="18"/>
            <color indexed="81"/>
            <rFont val="돋움"/>
            <family val="3"/>
            <charset val="129"/>
          </rPr>
          <t>밑에행</t>
        </r>
        <r>
          <rPr>
            <sz val="18"/>
            <color indexed="81"/>
            <rFont val="Tahoma"/>
            <family val="2"/>
          </rPr>
          <t xml:space="preserve"> </t>
        </r>
        <r>
          <rPr>
            <sz val="18"/>
            <color indexed="81"/>
            <rFont val="돋움"/>
            <family val="3"/>
            <charset val="129"/>
          </rPr>
          <t>값</t>
        </r>
        <r>
          <rPr>
            <sz val="18"/>
            <color indexed="81"/>
            <rFont val="Tahoma"/>
            <family val="2"/>
          </rPr>
          <t xml:space="preserve"> </t>
        </r>
        <r>
          <rPr>
            <sz val="18"/>
            <color indexed="81"/>
            <rFont val="돋움"/>
            <family val="3"/>
            <charset val="129"/>
          </rPr>
          <t>가져옴</t>
        </r>
        <r>
          <rPr>
            <sz val="18"/>
            <color indexed="81"/>
            <rFont val="Tahoma"/>
            <family val="2"/>
          </rPr>
          <t xml:space="preserve">)
INDEX = </t>
        </r>
        <r>
          <rPr>
            <sz val="18"/>
            <color indexed="81"/>
            <rFont val="돋움"/>
            <family val="3"/>
            <charset val="129"/>
          </rPr>
          <t>값</t>
        </r>
        <r>
          <rPr>
            <sz val="18"/>
            <color indexed="81"/>
            <rFont val="Tahoma"/>
            <family val="2"/>
          </rPr>
          <t xml:space="preserve"> </t>
        </r>
        <r>
          <rPr>
            <sz val="18"/>
            <color indexed="81"/>
            <rFont val="돋움"/>
            <family val="3"/>
            <charset val="129"/>
          </rPr>
          <t xml:space="preserve">가져오기
</t>
        </r>
        <r>
          <rPr>
            <sz val="18"/>
            <color indexed="81"/>
            <rFont val="Tahoma"/>
            <family val="2"/>
          </rPr>
          <t xml:space="preserve">MATCH = </t>
        </r>
        <r>
          <rPr>
            <sz val="18"/>
            <color indexed="81"/>
            <rFont val="돋움"/>
            <family val="3"/>
            <charset val="129"/>
          </rPr>
          <t>위치</t>
        </r>
        <r>
          <rPr>
            <sz val="18"/>
            <color indexed="81"/>
            <rFont val="Tahoma"/>
            <family val="2"/>
          </rPr>
          <t xml:space="preserve"> </t>
        </r>
        <r>
          <rPr>
            <sz val="18"/>
            <color indexed="81"/>
            <rFont val="돋움"/>
            <family val="3"/>
            <charset val="129"/>
          </rPr>
          <t>찾기</t>
        </r>
      </text>
    </comment>
    <comment ref="K47" authorId="0" shapeId="0" xr:uid="{B481CBB8-EAE7-4F40-9BB4-32FE2F2CBC22}">
      <text>
        <r>
          <rPr>
            <b/>
            <sz val="16"/>
            <color indexed="81"/>
            <rFont val="돋움"/>
            <family val="3"/>
            <charset val="129"/>
          </rPr>
          <t>최초</t>
        </r>
        <r>
          <rPr>
            <b/>
            <sz val="16"/>
            <color indexed="81"/>
            <rFont val="Tahoma"/>
            <family val="2"/>
          </rPr>
          <t xml:space="preserve"> </t>
        </r>
        <r>
          <rPr>
            <b/>
            <sz val="16"/>
            <color indexed="81"/>
            <rFont val="돋움"/>
            <family val="3"/>
            <charset val="129"/>
          </rPr>
          <t>호기</t>
        </r>
        <r>
          <rPr>
            <b/>
            <sz val="16"/>
            <color indexed="81"/>
            <rFont val="Tahoma"/>
            <family val="2"/>
          </rPr>
          <t xml:space="preserve"> </t>
        </r>
        <r>
          <rPr>
            <b/>
            <sz val="16"/>
            <color indexed="81"/>
            <rFont val="돋움"/>
            <family val="3"/>
            <charset val="129"/>
          </rPr>
          <t>설정을</t>
        </r>
        <r>
          <rPr>
            <b/>
            <sz val="16"/>
            <color indexed="81"/>
            <rFont val="Tahoma"/>
            <family val="2"/>
          </rPr>
          <t xml:space="preserve"> 
</t>
        </r>
        <r>
          <rPr>
            <b/>
            <sz val="16"/>
            <color indexed="81"/>
            <rFont val="돋움"/>
            <family val="3"/>
            <charset val="129"/>
          </rPr>
          <t>위해</t>
        </r>
        <r>
          <rPr>
            <b/>
            <sz val="16"/>
            <color indexed="81"/>
            <rFont val="Tahoma"/>
            <family val="2"/>
          </rPr>
          <t xml:space="preserve"> </t>
        </r>
        <r>
          <rPr>
            <b/>
            <sz val="16"/>
            <color indexed="81"/>
            <rFont val="돋움"/>
            <family val="3"/>
            <charset val="129"/>
          </rPr>
          <t>첫</t>
        </r>
        <r>
          <rPr>
            <b/>
            <sz val="16"/>
            <color indexed="81"/>
            <rFont val="Tahoma"/>
            <family val="2"/>
          </rPr>
          <t xml:space="preserve"> </t>
        </r>
        <r>
          <rPr>
            <b/>
            <sz val="16"/>
            <color indexed="81"/>
            <rFont val="돋움"/>
            <family val="3"/>
            <charset val="129"/>
          </rPr>
          <t>행</t>
        </r>
        <r>
          <rPr>
            <b/>
            <sz val="16"/>
            <color indexed="81"/>
            <rFont val="Tahoma"/>
            <family val="2"/>
          </rPr>
          <t xml:space="preserve"> </t>
        </r>
        <r>
          <rPr>
            <b/>
            <sz val="16"/>
            <color indexed="81"/>
            <rFont val="돋움"/>
            <family val="3"/>
            <charset val="129"/>
          </rPr>
          <t>수동입력</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P6" authorId="0" shapeId="0" xr:uid="{85F62ADA-7F4C-4248-A793-C982A9D8BBDC}">
      <text>
        <r>
          <rPr>
            <sz val="18"/>
            <color indexed="81"/>
            <rFont val="Tahoma"/>
            <family val="2"/>
          </rPr>
          <t>“</t>
        </r>
        <r>
          <rPr>
            <sz val="18"/>
            <color indexed="81"/>
            <rFont val="돋움"/>
            <family val="3"/>
            <charset val="129"/>
          </rPr>
          <t>모델</t>
        </r>
        <r>
          <rPr>
            <sz val="18"/>
            <color indexed="81"/>
            <rFont val="Tahoma"/>
            <family val="2"/>
          </rPr>
          <t xml:space="preserve"> </t>
        </r>
        <r>
          <rPr>
            <sz val="18"/>
            <color indexed="81"/>
            <rFont val="돋움"/>
            <family val="3"/>
            <charset val="129"/>
          </rPr>
          <t>찾고</t>
        </r>
        <r>
          <rPr>
            <sz val="18"/>
            <color indexed="81"/>
            <rFont val="Tahoma"/>
            <family val="2"/>
          </rPr>
          <t xml:space="preserve"> +1 </t>
        </r>
        <r>
          <rPr>
            <sz val="18"/>
            <color indexed="81"/>
            <rFont val="돋움"/>
            <family val="3"/>
            <charset val="129"/>
          </rPr>
          <t>해서</t>
        </r>
        <r>
          <rPr>
            <sz val="18"/>
            <color indexed="81"/>
            <rFont val="Tahoma"/>
            <family val="2"/>
          </rPr>
          <t xml:space="preserve"> </t>
        </r>
        <r>
          <rPr>
            <sz val="18"/>
            <color indexed="81"/>
            <rFont val="돋움"/>
            <family val="3"/>
            <charset val="129"/>
          </rPr>
          <t>후공정</t>
        </r>
        <r>
          <rPr>
            <sz val="18"/>
            <color indexed="81"/>
            <rFont val="Tahoma"/>
            <family val="2"/>
          </rPr>
          <t xml:space="preserve"> </t>
        </r>
        <r>
          <rPr>
            <sz val="18"/>
            <color indexed="81"/>
            <rFont val="돋움"/>
            <family val="3"/>
            <charset val="129"/>
          </rPr>
          <t>→</t>
        </r>
        <r>
          <rPr>
            <sz val="18"/>
            <color indexed="81"/>
            <rFont val="Tahoma"/>
            <family val="2"/>
          </rPr>
          <t xml:space="preserve"> </t>
        </r>
        <r>
          <rPr>
            <sz val="18"/>
            <color indexed="81"/>
            <rFont val="돋움"/>
            <family val="3"/>
            <charset val="129"/>
          </rPr>
          <t>날짜</t>
        </r>
        <r>
          <rPr>
            <sz val="18"/>
            <color indexed="81"/>
            <rFont val="Tahoma"/>
            <family val="2"/>
          </rPr>
          <t xml:space="preserve"> </t>
        </r>
        <r>
          <rPr>
            <sz val="18"/>
            <color indexed="81"/>
            <rFont val="돋움"/>
            <family val="3"/>
            <charset val="129"/>
          </rPr>
          <t>찾아서</t>
        </r>
        <r>
          <rPr>
            <sz val="18"/>
            <color indexed="81"/>
            <rFont val="Tahoma"/>
            <family val="2"/>
          </rPr>
          <t xml:space="preserve"> </t>
        </r>
        <r>
          <rPr>
            <sz val="18"/>
            <color indexed="81"/>
            <rFont val="돋움"/>
            <family val="3"/>
            <charset val="129"/>
          </rPr>
          <t>교차값</t>
        </r>
        <r>
          <rPr>
            <sz val="18"/>
            <color indexed="81"/>
            <rFont val="Tahoma"/>
            <family val="2"/>
          </rPr>
          <t xml:space="preserve"> </t>
        </r>
        <r>
          <rPr>
            <sz val="18"/>
            <color indexed="81"/>
            <rFont val="돋움"/>
            <family val="3"/>
            <charset val="129"/>
          </rPr>
          <t>가져오기</t>
        </r>
        <r>
          <rPr>
            <sz val="18"/>
            <color indexed="81"/>
            <rFont val="Tahoma"/>
            <family val="2"/>
          </rPr>
          <t>”
(+</t>
        </r>
        <r>
          <rPr>
            <sz val="18"/>
            <color indexed="81"/>
            <rFont val="돋움"/>
            <family val="3"/>
            <charset val="129"/>
          </rPr>
          <t>숫자</t>
        </r>
        <r>
          <rPr>
            <sz val="18"/>
            <color indexed="81"/>
            <rFont val="Tahoma"/>
            <family val="2"/>
          </rPr>
          <t xml:space="preserve"> </t>
        </r>
        <r>
          <rPr>
            <sz val="18"/>
            <color indexed="81"/>
            <rFont val="돋움"/>
            <family val="3"/>
            <charset val="129"/>
          </rPr>
          <t>하면</t>
        </r>
        <r>
          <rPr>
            <sz val="18"/>
            <color indexed="81"/>
            <rFont val="Tahoma"/>
            <family val="2"/>
          </rPr>
          <t xml:space="preserve"> </t>
        </r>
        <r>
          <rPr>
            <sz val="18"/>
            <color indexed="81"/>
            <rFont val="돋움"/>
            <family val="3"/>
            <charset val="129"/>
          </rPr>
          <t>밑에행</t>
        </r>
        <r>
          <rPr>
            <sz val="18"/>
            <color indexed="81"/>
            <rFont val="Tahoma"/>
            <family val="2"/>
          </rPr>
          <t xml:space="preserve"> </t>
        </r>
        <r>
          <rPr>
            <sz val="18"/>
            <color indexed="81"/>
            <rFont val="돋움"/>
            <family val="3"/>
            <charset val="129"/>
          </rPr>
          <t>값</t>
        </r>
        <r>
          <rPr>
            <sz val="18"/>
            <color indexed="81"/>
            <rFont val="Tahoma"/>
            <family val="2"/>
          </rPr>
          <t xml:space="preserve"> </t>
        </r>
        <r>
          <rPr>
            <sz val="18"/>
            <color indexed="81"/>
            <rFont val="돋움"/>
            <family val="3"/>
            <charset val="129"/>
          </rPr>
          <t>가져옴</t>
        </r>
        <r>
          <rPr>
            <sz val="18"/>
            <color indexed="81"/>
            <rFont val="Tahoma"/>
            <family val="2"/>
          </rPr>
          <t xml:space="preserve">)
INDEX = </t>
        </r>
        <r>
          <rPr>
            <sz val="18"/>
            <color indexed="81"/>
            <rFont val="돋움"/>
            <family val="3"/>
            <charset val="129"/>
          </rPr>
          <t>값</t>
        </r>
        <r>
          <rPr>
            <sz val="18"/>
            <color indexed="81"/>
            <rFont val="Tahoma"/>
            <family val="2"/>
          </rPr>
          <t xml:space="preserve"> </t>
        </r>
        <r>
          <rPr>
            <sz val="18"/>
            <color indexed="81"/>
            <rFont val="돋움"/>
            <family val="3"/>
            <charset val="129"/>
          </rPr>
          <t xml:space="preserve">가져오기
</t>
        </r>
        <r>
          <rPr>
            <sz val="18"/>
            <color indexed="81"/>
            <rFont val="Tahoma"/>
            <family val="2"/>
          </rPr>
          <t xml:space="preserve">MATCH = </t>
        </r>
        <r>
          <rPr>
            <sz val="18"/>
            <color indexed="81"/>
            <rFont val="돋움"/>
            <family val="3"/>
            <charset val="129"/>
          </rPr>
          <t>위치</t>
        </r>
        <r>
          <rPr>
            <sz val="18"/>
            <color indexed="81"/>
            <rFont val="Tahoma"/>
            <family val="2"/>
          </rPr>
          <t xml:space="preserve"> </t>
        </r>
        <r>
          <rPr>
            <sz val="18"/>
            <color indexed="81"/>
            <rFont val="돋움"/>
            <family val="3"/>
            <charset val="129"/>
          </rPr>
          <t>찾기</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Q6" authorId="0" shapeId="0" xr:uid="{8D35D0FB-FE2A-478A-AA4D-29F916CF50D9}">
      <text>
        <r>
          <rPr>
            <sz val="16"/>
            <color indexed="81"/>
            <rFont val="Tahoma"/>
            <family val="2"/>
          </rPr>
          <t>“</t>
        </r>
        <r>
          <rPr>
            <sz val="16"/>
            <color indexed="81"/>
            <rFont val="돋움"/>
            <family val="3"/>
            <charset val="129"/>
          </rPr>
          <t>모델</t>
        </r>
        <r>
          <rPr>
            <sz val="16"/>
            <color indexed="81"/>
            <rFont val="Tahoma"/>
            <family val="2"/>
          </rPr>
          <t xml:space="preserve"> </t>
        </r>
        <r>
          <rPr>
            <sz val="16"/>
            <color indexed="81"/>
            <rFont val="돋움"/>
            <family val="3"/>
            <charset val="129"/>
          </rPr>
          <t>찾고</t>
        </r>
        <r>
          <rPr>
            <sz val="16"/>
            <color indexed="81"/>
            <rFont val="Tahoma"/>
            <family val="2"/>
          </rPr>
          <t xml:space="preserve"> +2 </t>
        </r>
        <r>
          <rPr>
            <sz val="16"/>
            <color indexed="81"/>
            <rFont val="돋움"/>
            <family val="3"/>
            <charset val="129"/>
          </rPr>
          <t>해서</t>
        </r>
        <r>
          <rPr>
            <sz val="16"/>
            <color indexed="81"/>
            <rFont val="Tahoma"/>
            <family val="2"/>
          </rPr>
          <t xml:space="preserve"> </t>
        </r>
        <r>
          <rPr>
            <sz val="16"/>
            <color indexed="81"/>
            <rFont val="돋움"/>
            <family val="3"/>
            <charset val="129"/>
          </rPr>
          <t>클린룸</t>
        </r>
        <r>
          <rPr>
            <sz val="16"/>
            <color indexed="81"/>
            <rFont val="Tahoma"/>
            <family val="2"/>
          </rPr>
          <t xml:space="preserve"> </t>
        </r>
        <r>
          <rPr>
            <sz val="16"/>
            <color indexed="81"/>
            <rFont val="돋움"/>
            <family val="3"/>
            <charset val="129"/>
          </rPr>
          <t>→</t>
        </r>
        <r>
          <rPr>
            <sz val="16"/>
            <color indexed="81"/>
            <rFont val="Tahoma"/>
            <family val="2"/>
          </rPr>
          <t xml:space="preserve"> </t>
        </r>
        <r>
          <rPr>
            <sz val="16"/>
            <color indexed="81"/>
            <rFont val="돋움"/>
            <family val="3"/>
            <charset val="129"/>
          </rPr>
          <t>날짜</t>
        </r>
        <r>
          <rPr>
            <sz val="16"/>
            <color indexed="81"/>
            <rFont val="Tahoma"/>
            <family val="2"/>
          </rPr>
          <t xml:space="preserve"> </t>
        </r>
        <r>
          <rPr>
            <sz val="16"/>
            <color indexed="81"/>
            <rFont val="돋움"/>
            <family val="3"/>
            <charset val="129"/>
          </rPr>
          <t>찾아서</t>
        </r>
        <r>
          <rPr>
            <sz val="16"/>
            <color indexed="81"/>
            <rFont val="Tahoma"/>
            <family val="2"/>
          </rPr>
          <t xml:space="preserve"> </t>
        </r>
        <r>
          <rPr>
            <sz val="16"/>
            <color indexed="81"/>
            <rFont val="돋움"/>
            <family val="3"/>
            <charset val="129"/>
          </rPr>
          <t>교차값</t>
        </r>
        <r>
          <rPr>
            <sz val="16"/>
            <color indexed="81"/>
            <rFont val="Tahoma"/>
            <family val="2"/>
          </rPr>
          <t xml:space="preserve"> </t>
        </r>
        <r>
          <rPr>
            <sz val="16"/>
            <color indexed="81"/>
            <rFont val="돋움"/>
            <family val="3"/>
            <charset val="129"/>
          </rPr>
          <t>가져오기</t>
        </r>
        <r>
          <rPr>
            <sz val="16"/>
            <color indexed="81"/>
            <rFont val="Tahoma"/>
            <family val="2"/>
          </rPr>
          <t>”
(+</t>
        </r>
        <r>
          <rPr>
            <sz val="16"/>
            <color indexed="81"/>
            <rFont val="돋움"/>
            <family val="3"/>
            <charset val="129"/>
          </rPr>
          <t>숫자</t>
        </r>
        <r>
          <rPr>
            <sz val="16"/>
            <color indexed="81"/>
            <rFont val="Tahoma"/>
            <family val="2"/>
          </rPr>
          <t xml:space="preserve"> </t>
        </r>
        <r>
          <rPr>
            <sz val="16"/>
            <color indexed="81"/>
            <rFont val="돋움"/>
            <family val="3"/>
            <charset val="129"/>
          </rPr>
          <t>하면</t>
        </r>
        <r>
          <rPr>
            <sz val="16"/>
            <color indexed="81"/>
            <rFont val="Tahoma"/>
            <family val="2"/>
          </rPr>
          <t xml:space="preserve"> </t>
        </r>
        <r>
          <rPr>
            <sz val="16"/>
            <color indexed="81"/>
            <rFont val="돋움"/>
            <family val="3"/>
            <charset val="129"/>
          </rPr>
          <t>밑에행</t>
        </r>
        <r>
          <rPr>
            <sz val="16"/>
            <color indexed="81"/>
            <rFont val="Tahoma"/>
            <family val="2"/>
          </rPr>
          <t xml:space="preserve"> </t>
        </r>
        <r>
          <rPr>
            <sz val="16"/>
            <color indexed="81"/>
            <rFont val="돋움"/>
            <family val="3"/>
            <charset val="129"/>
          </rPr>
          <t>값</t>
        </r>
        <r>
          <rPr>
            <sz val="16"/>
            <color indexed="81"/>
            <rFont val="Tahoma"/>
            <family val="2"/>
          </rPr>
          <t xml:space="preserve"> </t>
        </r>
        <r>
          <rPr>
            <sz val="16"/>
            <color indexed="81"/>
            <rFont val="돋움"/>
            <family val="3"/>
            <charset val="129"/>
          </rPr>
          <t>가져옴</t>
        </r>
        <r>
          <rPr>
            <sz val="16"/>
            <color indexed="81"/>
            <rFont val="Tahoma"/>
            <family val="2"/>
          </rPr>
          <t xml:space="preserve">)
INDEX = </t>
        </r>
        <r>
          <rPr>
            <sz val="16"/>
            <color indexed="81"/>
            <rFont val="돋움"/>
            <family val="3"/>
            <charset val="129"/>
          </rPr>
          <t>값</t>
        </r>
        <r>
          <rPr>
            <sz val="16"/>
            <color indexed="81"/>
            <rFont val="Tahoma"/>
            <family val="2"/>
          </rPr>
          <t xml:space="preserve"> </t>
        </r>
        <r>
          <rPr>
            <sz val="16"/>
            <color indexed="81"/>
            <rFont val="돋움"/>
            <family val="3"/>
            <charset val="129"/>
          </rPr>
          <t xml:space="preserve">가져오기
</t>
        </r>
        <r>
          <rPr>
            <sz val="16"/>
            <color indexed="81"/>
            <rFont val="Tahoma"/>
            <family val="2"/>
          </rPr>
          <t xml:space="preserve">MATCH = </t>
        </r>
        <r>
          <rPr>
            <sz val="16"/>
            <color indexed="81"/>
            <rFont val="돋움"/>
            <family val="3"/>
            <charset val="129"/>
          </rPr>
          <t>위치</t>
        </r>
        <r>
          <rPr>
            <sz val="16"/>
            <color indexed="81"/>
            <rFont val="Tahoma"/>
            <family val="2"/>
          </rPr>
          <t xml:space="preserve"> </t>
        </r>
        <r>
          <rPr>
            <sz val="16"/>
            <color indexed="81"/>
            <rFont val="돋움"/>
            <family val="3"/>
            <charset val="129"/>
          </rPr>
          <t>찾기</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<sst xmlns="http://schemas.openxmlformats.org/spreadsheetml/2006/main" count="1763" uniqueCount="367">
  <si>
    <t>가공
공정</t>
    <phoneticPr fontId="2" type="noConversion"/>
  </si>
  <si>
    <t>CNC
가공</t>
    <phoneticPr fontId="2" type="noConversion"/>
  </si>
  <si>
    <t>초품 검사(LOT/1EA)</t>
    <phoneticPr fontId="2" type="noConversion"/>
  </si>
  <si>
    <t>Air세정</t>
    <phoneticPr fontId="2" type="noConversion"/>
  </si>
  <si>
    <t>탈지</t>
    <phoneticPr fontId="2" type="noConversion"/>
  </si>
  <si>
    <t>후공정</t>
    <phoneticPr fontId="2" type="noConversion"/>
  </si>
  <si>
    <t xml:space="preserve">1차 외관검사 </t>
    <phoneticPr fontId="2" type="noConversion"/>
  </si>
  <si>
    <t>전장 길이.체결검사.외관:전수검사</t>
    <phoneticPr fontId="2" type="noConversion"/>
  </si>
  <si>
    <t>샌딩</t>
    <phoneticPr fontId="2" type="noConversion"/>
  </si>
  <si>
    <t>픽스처 핀지그, 와셔 픽스처 조립</t>
    <phoneticPr fontId="2" type="noConversion"/>
  </si>
  <si>
    <t>Stage:8구</t>
    <phoneticPr fontId="2" type="noConversion"/>
  </si>
  <si>
    <t>에칭</t>
    <phoneticPr fontId="2" type="noConversion"/>
  </si>
  <si>
    <t xml:space="preserve">에칭 </t>
    <phoneticPr fontId="2" type="noConversion"/>
  </si>
  <si>
    <t xml:space="preserve"> Jig 분리</t>
    <phoneticPr fontId="2" type="noConversion"/>
  </si>
  <si>
    <t>PH(LOT)</t>
    <phoneticPr fontId="2" type="noConversion"/>
  </si>
  <si>
    <t>LOT/1회(샘플링)</t>
    <phoneticPr fontId="2" type="noConversion"/>
  </si>
  <si>
    <t>전도도</t>
    <phoneticPr fontId="2" type="noConversion"/>
  </si>
  <si>
    <t>표면조도</t>
    <phoneticPr fontId="2" type="noConversion"/>
  </si>
  <si>
    <t>SEM/EDS촬영</t>
    <phoneticPr fontId="2" type="noConversion"/>
  </si>
  <si>
    <t>에칭 6LOT/1LOT/2EA</t>
    <phoneticPr fontId="2" type="noConversion"/>
  </si>
  <si>
    <t>2차 자동 세척</t>
    <phoneticPr fontId="2" type="noConversion"/>
  </si>
  <si>
    <t xml:space="preserve">세척  </t>
    <phoneticPr fontId="2" type="noConversion"/>
  </si>
  <si>
    <t>2차 외관검사</t>
    <phoneticPr fontId="2" type="noConversion"/>
  </si>
  <si>
    <t>전수검사</t>
    <phoneticPr fontId="2" type="noConversion"/>
  </si>
  <si>
    <t>최종 조립</t>
    <phoneticPr fontId="2" type="noConversion"/>
  </si>
  <si>
    <t>자동 실링 포장</t>
    <phoneticPr fontId="2" type="noConversion"/>
  </si>
  <si>
    <t>외주</t>
    <phoneticPr fontId="2" type="noConversion"/>
  </si>
  <si>
    <t>멸균</t>
    <phoneticPr fontId="2" type="noConversion"/>
  </si>
  <si>
    <t>감마:3일 소요</t>
    <phoneticPr fontId="2" type="noConversion"/>
  </si>
  <si>
    <t>포장검사(출하)</t>
    <phoneticPr fontId="2" type="noConversion"/>
  </si>
  <si>
    <t xml:space="preserve">LOT/2EA(샘플링)/외관.라벨 </t>
    <phoneticPr fontId="2" type="noConversion"/>
  </si>
  <si>
    <t>비고</t>
    <phoneticPr fontId="2" type="noConversion"/>
  </si>
  <si>
    <t>C1M3008</t>
  </si>
  <si>
    <t>C1M3008C</t>
  </si>
  <si>
    <t>C1M3010</t>
  </si>
  <si>
    <t>C1M3010C</t>
  </si>
  <si>
    <t>C1M3011</t>
  </si>
  <si>
    <t>C1M3011C</t>
  </si>
  <si>
    <t>C1M3013</t>
  </si>
  <si>
    <t>C1M3013C</t>
  </si>
  <si>
    <t>C1M3508C</t>
  </si>
  <si>
    <t>C1M3510C</t>
  </si>
  <si>
    <t>C1M3511C</t>
  </si>
  <si>
    <t>C1M3513C</t>
  </si>
  <si>
    <t>C1M3508SC</t>
  </si>
  <si>
    <t>C1M3510SC</t>
  </si>
  <si>
    <t>C1M3511SC</t>
  </si>
  <si>
    <t>C1M3513SC</t>
  </si>
  <si>
    <t>C1R4007C</t>
  </si>
  <si>
    <t>C1R4008C</t>
  </si>
  <si>
    <t>C1R4010C</t>
  </si>
  <si>
    <t>C1R4011C</t>
  </si>
  <si>
    <t>C1R4013C</t>
  </si>
  <si>
    <t>C1R4007SC</t>
  </si>
  <si>
    <t>C1R4008SC</t>
  </si>
  <si>
    <t>C1R4010SC</t>
  </si>
  <si>
    <t>C1R4011SC</t>
  </si>
  <si>
    <t>C1R4013SC</t>
  </si>
  <si>
    <t>C1R4507C</t>
  </si>
  <si>
    <t>C1R4508C</t>
  </si>
  <si>
    <t>C1R4510C</t>
  </si>
  <si>
    <t>C1R4511C</t>
  </si>
  <si>
    <t>C1R4513C</t>
  </si>
  <si>
    <t>C1R5007C</t>
  </si>
  <si>
    <t>C1R5008C</t>
  </si>
  <si>
    <t>C1R5010C</t>
  </si>
  <si>
    <t>C1R5011C</t>
  </si>
  <si>
    <t>C1R5013C</t>
  </si>
  <si>
    <t>C1R5006DB0C</t>
  </si>
  <si>
    <t>C1R5006DB1C</t>
  </si>
  <si>
    <t>C1R5006DB2C</t>
  </si>
  <si>
    <t>C1WZ6007C</t>
  </si>
  <si>
    <t>C1WZ6008C</t>
  </si>
  <si>
    <t>C1WZ6010C</t>
  </si>
  <si>
    <t>C1W6007C</t>
  </si>
  <si>
    <t>C1W6008C</t>
  </si>
  <si>
    <t>C1W6010C</t>
  </si>
  <si>
    <t>품목_SUMIF</t>
  </si>
  <si>
    <t># 단위 공정별 CAPA 현황(현재 CAPA)</t>
    <phoneticPr fontId="2" type="noConversion"/>
  </si>
  <si>
    <t>공정</t>
    <phoneticPr fontId="2" type="noConversion"/>
  </si>
  <si>
    <t>단위공정</t>
    <phoneticPr fontId="2" type="noConversion"/>
  </si>
  <si>
    <t>S/T</t>
    <phoneticPr fontId="2" type="noConversion"/>
  </si>
  <si>
    <t>DAY</t>
    <phoneticPr fontId="2" type="noConversion"/>
  </si>
  <si>
    <t>MAX인원</t>
    <phoneticPr fontId="2" type="noConversion"/>
  </si>
  <si>
    <t>현 인원</t>
    <phoneticPr fontId="2" type="noConversion"/>
  </si>
  <si>
    <t>1日 근무시간</t>
    <phoneticPr fontId="2" type="noConversion"/>
  </si>
  <si>
    <t>생산효율</t>
    <phoneticPr fontId="2" type="noConversion"/>
  </si>
  <si>
    <t>불량율 (%)</t>
    <phoneticPr fontId="2" type="noConversion"/>
  </si>
  <si>
    <t>시간당 생산량</t>
    <phoneticPr fontId="2" type="noConversion"/>
  </si>
  <si>
    <t>시간당 맥스CAPA</t>
    <phoneticPr fontId="2" type="noConversion"/>
  </si>
  <si>
    <t>정규시간 CAPA</t>
    <phoneticPr fontId="2" type="noConversion"/>
  </si>
  <si>
    <t>일 MAX CAPA</t>
    <phoneticPr fontId="2" type="noConversion"/>
  </si>
  <si>
    <t>생산 CAPA</t>
    <phoneticPr fontId="2" type="noConversion"/>
  </si>
  <si>
    <t>월 MAX CAPA</t>
    <phoneticPr fontId="2" type="noConversion"/>
  </si>
  <si>
    <t>년 MAX CAPA</t>
    <phoneticPr fontId="2" type="noConversion"/>
  </si>
  <si>
    <t>(sec.)</t>
    <phoneticPr fontId="2" type="noConversion"/>
  </si>
  <si>
    <t>(日)</t>
    <phoneticPr fontId="2" type="noConversion"/>
  </si>
  <si>
    <t>-</t>
    <phoneticPr fontId="2" type="noConversion"/>
  </si>
  <si>
    <t xml:space="preserve">  8hr 기준 (S)</t>
    <phoneticPr fontId="2" type="noConversion"/>
  </si>
  <si>
    <t>(%)</t>
    <phoneticPr fontId="2" type="noConversion"/>
  </si>
  <si>
    <t>(시간_1hr/EA)</t>
    <phoneticPr fontId="2" type="noConversion"/>
  </si>
  <si>
    <t>(일_8hr/EA)</t>
    <phoneticPr fontId="2" type="noConversion"/>
  </si>
  <si>
    <t>(월/EA)</t>
    <phoneticPr fontId="2" type="noConversion"/>
  </si>
  <si>
    <t>(월/EA)</t>
  </si>
  <si>
    <t>(년/EA)</t>
    <phoneticPr fontId="2" type="noConversion"/>
  </si>
  <si>
    <t>(년/EA)</t>
  </si>
  <si>
    <t>입고검사</t>
    <phoneticPr fontId="2" type="noConversion"/>
  </si>
  <si>
    <t>외경파이 치수 검사(등급별)</t>
    <phoneticPr fontId="2" type="noConversion"/>
  </si>
  <si>
    <t>픽처.레굴러.와이드</t>
    <phoneticPr fontId="2" type="noConversion"/>
  </si>
  <si>
    <t>픽처 미니</t>
    <phoneticPr fontId="2" type="noConversion"/>
  </si>
  <si>
    <t>CNC 인원이 탈지~세척 자동라인이라
1명으로 문제없음</t>
    <phoneticPr fontId="2" type="noConversion"/>
  </si>
  <si>
    <t xml:space="preserve"> </t>
    <phoneticPr fontId="2" type="noConversion"/>
  </si>
  <si>
    <t>최초 생산 2시간40분 소요
이후 배출 16분 간격</t>
    <phoneticPr fontId="2" type="noConversion"/>
  </si>
  <si>
    <t>← 2시간 40분 최초 배출 : 300EA  / 5시간20분 320분÷16분 = 20회*300EA = 총생산수량 6,300EA</t>
    <phoneticPr fontId="2" type="noConversion"/>
  </si>
  <si>
    <t>← 8시간 기준 28,800초÷6,300EA = 4.57초ST</t>
    <phoneticPr fontId="2" type="noConversion"/>
  </si>
  <si>
    <t>(EA)</t>
    <phoneticPr fontId="2" type="noConversion"/>
  </si>
  <si>
    <t>클린룸</t>
    <phoneticPr fontId="2" type="noConversion"/>
  </si>
  <si>
    <t>UPH</t>
    <phoneticPr fontId="2" type="noConversion"/>
  </si>
  <si>
    <t>사무실 대응</t>
    <phoneticPr fontId="2" type="noConversion"/>
  </si>
  <si>
    <t>CNC 1호기</t>
    <phoneticPr fontId="2" type="noConversion"/>
  </si>
  <si>
    <t>CNC 2호기</t>
    <phoneticPr fontId="2" type="noConversion"/>
  </si>
  <si>
    <t>CNC 3호기</t>
    <phoneticPr fontId="2" type="noConversion"/>
  </si>
  <si>
    <t>CNC 4호기</t>
    <phoneticPr fontId="2" type="noConversion"/>
  </si>
  <si>
    <t>UPD(8/hr)</t>
    <phoneticPr fontId="2" type="noConversion"/>
  </si>
  <si>
    <t>UPM</t>
    <phoneticPr fontId="2" type="noConversion"/>
  </si>
  <si>
    <t>UPY</t>
    <phoneticPr fontId="2" type="noConversion"/>
  </si>
  <si>
    <t>년 CAPA</t>
    <phoneticPr fontId="2" type="noConversion"/>
  </si>
  <si>
    <t>월 CAPA</t>
    <phoneticPr fontId="2" type="noConversion"/>
  </si>
  <si>
    <t>하루 생산량</t>
    <phoneticPr fontId="2" type="noConversion"/>
  </si>
  <si>
    <t>C1M3508</t>
  </si>
  <si>
    <t>C1M3510</t>
  </si>
  <si>
    <t>C1M3511</t>
  </si>
  <si>
    <t>C1M3513</t>
  </si>
  <si>
    <t>C1M3508S</t>
  </si>
  <si>
    <t>C1M3510S</t>
  </si>
  <si>
    <t>C1M3511S</t>
  </si>
  <si>
    <t>C1M3513S</t>
  </si>
  <si>
    <t>C1R4007</t>
  </si>
  <si>
    <t>C1R4008</t>
  </si>
  <si>
    <t>C1R4010</t>
  </si>
  <si>
    <t>C1R4011</t>
  </si>
  <si>
    <t>C1R4013</t>
  </si>
  <si>
    <t>C1R4007S</t>
  </si>
  <si>
    <t>C1R4008S</t>
  </si>
  <si>
    <t>C1R4010S</t>
  </si>
  <si>
    <t>C1R4011S</t>
  </si>
  <si>
    <t>C1R4013S</t>
  </si>
  <si>
    <t>C1R4507</t>
  </si>
  <si>
    <t>C1R4508</t>
  </si>
  <si>
    <t>C1R4510</t>
  </si>
  <si>
    <t>C1R4511</t>
  </si>
  <si>
    <t>C1R4513</t>
  </si>
  <si>
    <t>C1R5007</t>
  </si>
  <si>
    <t>C1R5008</t>
  </si>
  <si>
    <t>C1R5010</t>
  </si>
  <si>
    <t>C1R5011</t>
  </si>
  <si>
    <t>C1R5013</t>
  </si>
  <si>
    <t>C1R5006DB0</t>
  </si>
  <si>
    <t>C1R5006DB1</t>
  </si>
  <si>
    <t>C1R5006DB2</t>
  </si>
  <si>
    <t>C1WZ6007</t>
  </si>
  <si>
    <t>C1WZ6008</t>
  </si>
  <si>
    <t>C1WZ6010</t>
  </si>
  <si>
    <t>C1W6007</t>
  </si>
  <si>
    <t>C1W6008</t>
  </si>
  <si>
    <t>C1W6010</t>
  </si>
  <si>
    <t>후공정검사</t>
    <phoneticPr fontId="2" type="noConversion"/>
  </si>
  <si>
    <t>PH/전도도 , 표면조도 , SEM / EDS , 최종검사</t>
    <phoneticPr fontId="2" type="noConversion"/>
  </si>
  <si>
    <t>참고용</t>
    <phoneticPr fontId="2" type="noConversion"/>
  </si>
  <si>
    <t>제품 포장</t>
    <phoneticPr fontId="2" type="noConversion"/>
  </si>
  <si>
    <t>포장 전 준비작업</t>
    <phoneticPr fontId="2" type="noConversion"/>
  </si>
  <si>
    <t>단상자 준비 및 라벨스티커 부착, 스펙라벨 동봉</t>
    <phoneticPr fontId="2" type="noConversion"/>
  </si>
  <si>
    <t>완제품 단프라 박스 포장</t>
    <phoneticPr fontId="2" type="noConversion"/>
  </si>
  <si>
    <t>CODE</t>
  </si>
  <si>
    <t>완제품 포장</t>
    <phoneticPr fontId="2" type="noConversion"/>
  </si>
  <si>
    <t>픽스처
포장</t>
    <phoneticPr fontId="2" type="noConversion"/>
  </si>
  <si>
    <t>상부외
포장</t>
    <phoneticPr fontId="2" type="noConversion"/>
  </si>
  <si>
    <t xml:space="preserve">포장 </t>
    <phoneticPr fontId="2" type="noConversion"/>
  </si>
  <si>
    <t>기준월</t>
    <phoneticPr fontId="2" type="noConversion"/>
  </si>
  <si>
    <t>Up-Data</t>
    <phoneticPr fontId="2" type="noConversion"/>
  </si>
  <si>
    <t>납품계획</t>
    <phoneticPr fontId="2" type="noConversion"/>
  </si>
  <si>
    <t>Name</t>
  </si>
  <si>
    <t>Specificaton (CE)</t>
  </si>
  <si>
    <t>CORE1 Fixture</t>
    <phoneticPr fontId="2" type="noConversion"/>
  </si>
  <si>
    <t>Ø3.0 x 8.5mm</t>
    <phoneticPr fontId="2" type="noConversion"/>
  </si>
  <si>
    <t>CORE1 Fixture</t>
  </si>
  <si>
    <t>Ø3.0 x 10.0mm</t>
  </si>
  <si>
    <t>Ø3.0 x 11.5mm</t>
  </si>
  <si>
    <t>Ø3.0 x 13.0mm</t>
  </si>
  <si>
    <t>Ø3.5 x 8.5mm</t>
  </si>
  <si>
    <t>Ø3.5 x 10.0mm</t>
  </si>
  <si>
    <t>Ø3.5 x 11.5mm</t>
  </si>
  <si>
    <t>Ø3.5 x 13.0mm</t>
  </si>
  <si>
    <t>Ø4.0 x 7.0mm</t>
  </si>
  <si>
    <t>Ø4.0 x 8.5mm</t>
  </si>
  <si>
    <t>Ø4.0 x 10.0mm</t>
  </si>
  <si>
    <t>Ø4.0 x 11.5mm</t>
  </si>
  <si>
    <t>Ø4.0 x 13.0mm</t>
  </si>
  <si>
    <t>Ø4.5 x 7.0mm</t>
  </si>
  <si>
    <t>Ø4.5 x 8.5mm</t>
  </si>
  <si>
    <t>Ø4.5 x 10.0mm</t>
  </si>
  <si>
    <t>Ø4.5 x 11.5mm</t>
  </si>
  <si>
    <t>Ø4.5 x 13.0mm</t>
  </si>
  <si>
    <t>Ø5.0 x 7.0mm</t>
  </si>
  <si>
    <t>Ø5.0 x 8.5mm</t>
  </si>
  <si>
    <t>Ø5.0 x 10.0mm</t>
  </si>
  <si>
    <t>Ø5.0 x 11.5mm</t>
  </si>
  <si>
    <t>Ø5.0 x 13.0mm</t>
  </si>
  <si>
    <t>Ø6.0 x 7.0mm, M1</t>
  </si>
  <si>
    <t>Ø6.0 x 8.5mm, M1</t>
  </si>
  <si>
    <t>Ø6.0 x 10.0mm, M1</t>
  </si>
  <si>
    <t>Ø6.0 x 7.0mm</t>
  </si>
  <si>
    <t>Ø6.0 x 8.5mm</t>
  </si>
  <si>
    <t>Ø6.0 x 10.0mm</t>
  </si>
  <si>
    <t>CORE1 ES Fixture</t>
  </si>
  <si>
    <t>Ø5.0 x 6.0mm, B0</t>
  </si>
  <si>
    <t>Ø5.0 x 6.0mm, B1</t>
  </si>
  <si>
    <t>Ø5.0 x 6.0mm, B2</t>
  </si>
  <si>
    <t>작업자</t>
    <phoneticPr fontId="2" type="noConversion"/>
  </si>
  <si>
    <t>오석범</t>
    <phoneticPr fontId="2" type="noConversion"/>
  </si>
  <si>
    <t>QC</t>
    <phoneticPr fontId="2" type="noConversion"/>
  </si>
  <si>
    <t>송정화</t>
    <phoneticPr fontId="2" type="noConversion"/>
  </si>
  <si>
    <t>최근호</t>
    <phoneticPr fontId="2" type="noConversion"/>
  </si>
  <si>
    <t>권일양 8시간
김현식 4시간</t>
    <phoneticPr fontId="2" type="noConversion"/>
  </si>
  <si>
    <t>박찬실</t>
    <phoneticPr fontId="2" type="noConversion"/>
  </si>
  <si>
    <t>QA</t>
    <phoneticPr fontId="2" type="noConversion"/>
  </si>
  <si>
    <t>사무실대응</t>
    <phoneticPr fontId="2" type="noConversion"/>
  </si>
  <si>
    <t>멸균 출고 후 입고까지 3일 소요
박스당 약 1K</t>
    <phoneticPr fontId="2" type="noConversion"/>
  </si>
  <si>
    <t>이민희</t>
    <phoneticPr fontId="2" type="noConversion"/>
  </si>
  <si>
    <t>수동 세척</t>
    <phoneticPr fontId="2" type="noConversion"/>
  </si>
  <si>
    <t>1차수동 세척</t>
    <phoneticPr fontId="2" type="noConversion"/>
  </si>
  <si>
    <t xml:space="preserve"> 에칭 Jig 조립 및 세척</t>
    <phoneticPr fontId="2" type="noConversion"/>
  </si>
  <si>
    <t xml:space="preserve">가조립(아웃캡,인바디)체결 → 앰플 스티커 출력 및 타이백 
→ 픽스처 조립(프레스) → 커버스크류, 실리콘캡 조립 </t>
    <phoneticPr fontId="2" type="noConversion"/>
  </si>
  <si>
    <t>김현식 4시간
최근호 4시간</t>
    <phoneticPr fontId="2" type="noConversion"/>
  </si>
  <si>
    <t>이명희
박찬실</t>
    <phoneticPr fontId="2" type="noConversion"/>
  </si>
  <si>
    <t>윤장미,이민희,최유라</t>
    <phoneticPr fontId="2" type="noConversion"/>
  </si>
  <si>
    <t>실제 C/T와 다르지만 2K로 케파 맞춤(이사님 지시사항)</t>
    <phoneticPr fontId="2" type="noConversion"/>
  </si>
  <si>
    <t>호기</t>
    <phoneticPr fontId="2" type="noConversion"/>
  </si>
  <si>
    <t>2호기</t>
  </si>
  <si>
    <t>2호기</t>
    <phoneticPr fontId="2" type="noConversion"/>
  </si>
  <si>
    <t>차이</t>
    <phoneticPr fontId="2" type="noConversion"/>
  </si>
  <si>
    <t>1호기</t>
    <phoneticPr fontId="2" type="noConversion"/>
  </si>
  <si>
    <t>1호기 종료</t>
    <phoneticPr fontId="2" type="noConversion"/>
  </si>
  <si>
    <t>P.O 총합</t>
    <phoneticPr fontId="2" type="noConversion"/>
  </si>
  <si>
    <t>계획 합계</t>
    <phoneticPr fontId="2" type="noConversion"/>
  </si>
  <si>
    <t>2번 이라크 PO29(CE)
부족수량</t>
    <phoneticPr fontId="2" type="noConversion"/>
  </si>
  <si>
    <t>1번 이란 PO26-02(FDA)
부족수량</t>
    <phoneticPr fontId="2" type="noConversion"/>
  </si>
  <si>
    <t>3번 이란 PO26-03 
부족수량</t>
    <phoneticPr fontId="2" type="noConversion"/>
  </si>
  <si>
    <t>실제 C/T와 다르지만 2K로 케파 맞춤(이사님 지시사항)</t>
  </si>
  <si>
    <t>2호기</t>
    <phoneticPr fontId="38" type="noConversion"/>
  </si>
  <si>
    <t>Ø3.0 x 8.5mm</t>
  </si>
  <si>
    <t>4호기누적</t>
  </si>
  <si>
    <t>3호기누적</t>
  </si>
  <si>
    <t>1호기누적</t>
  </si>
  <si>
    <t>2호기 누적</t>
    <phoneticPr fontId="38" type="noConversion"/>
  </si>
  <si>
    <t>종료일</t>
  </si>
  <si>
    <t>시작일</t>
  </si>
  <si>
    <t>배정설비</t>
  </si>
  <si>
    <t>필요일수</t>
  </si>
  <si>
    <t>계획수량</t>
    <phoneticPr fontId="38" type="noConversion"/>
  </si>
  <si>
    <t>생산계획</t>
    <phoneticPr fontId="38" type="noConversion"/>
  </si>
  <si>
    <t>생산 필요수량</t>
    <phoneticPr fontId="38" type="noConversion"/>
  </si>
  <si>
    <t>클린룸</t>
  </si>
  <si>
    <t>누적 일수</t>
    <phoneticPr fontId="38" type="noConversion"/>
  </si>
  <si>
    <t>계획수량</t>
  </si>
  <si>
    <t>계획수량</t>
    <phoneticPr fontId="2" type="noConversion"/>
  </si>
  <si>
    <t>생산수량</t>
  </si>
  <si>
    <t>생산수량</t>
    <phoneticPr fontId="2" type="noConversion"/>
  </si>
  <si>
    <t>실적</t>
    <phoneticPr fontId="2" type="noConversion"/>
  </si>
  <si>
    <t>필요-계획</t>
    <phoneticPr fontId="38" type="noConversion"/>
  </si>
  <si>
    <t>CNC</t>
  </si>
  <si>
    <t>CNC</t>
    <phoneticPr fontId="2" type="noConversion"/>
  </si>
  <si>
    <t>포장</t>
  </si>
  <si>
    <t>포장</t>
    <phoneticPr fontId="2" type="noConversion"/>
  </si>
  <si>
    <t>생산실적</t>
    <phoneticPr fontId="2" type="noConversion"/>
  </si>
  <si>
    <t>CNC 합계</t>
    <phoneticPr fontId="2" type="noConversion"/>
  </si>
  <si>
    <t>클린룸 합계</t>
    <phoneticPr fontId="2" type="noConversion"/>
  </si>
  <si>
    <t>포장 합계</t>
    <phoneticPr fontId="2" type="noConversion"/>
  </si>
  <si>
    <t>해외 주문 수량</t>
    <phoneticPr fontId="7" type="noConversion"/>
  </si>
  <si>
    <t>CODE</t>
    <phoneticPr fontId="7" type="noConversion"/>
  </si>
  <si>
    <t>주문 합계 _ CE</t>
    <phoneticPr fontId="7" type="noConversion"/>
  </si>
  <si>
    <t>주문 합계 _ FDA</t>
    <phoneticPr fontId="7" type="noConversion"/>
  </si>
  <si>
    <t>포장 재고(CE)</t>
    <phoneticPr fontId="7" type="noConversion"/>
  </si>
  <si>
    <t>포장재고(FDA)</t>
    <phoneticPr fontId="7" type="noConversion"/>
  </si>
  <si>
    <t>출하 가능_CE</t>
    <phoneticPr fontId="7" type="noConversion"/>
  </si>
  <si>
    <t>출하 가능_FDA</t>
    <phoneticPr fontId="7" type="noConversion"/>
  </si>
  <si>
    <t>멸균완료 
포장대기</t>
    <phoneticPr fontId="7" type="noConversion"/>
  </si>
  <si>
    <t>출하 가능</t>
    <phoneticPr fontId="7" type="noConversion"/>
  </si>
  <si>
    <t>멸균중</t>
    <phoneticPr fontId="7" type="noConversion"/>
  </si>
  <si>
    <t>멸균대기</t>
    <phoneticPr fontId="7" type="noConversion"/>
  </si>
  <si>
    <t>클린룸</t>
    <phoneticPr fontId="7" type="noConversion"/>
  </si>
  <si>
    <t>2차 검사</t>
    <phoneticPr fontId="7" type="noConversion"/>
  </si>
  <si>
    <t>샌딩 &amp; 에칭</t>
    <phoneticPr fontId="7" type="noConversion"/>
  </si>
  <si>
    <t>1차 검사</t>
    <phoneticPr fontId="7" type="noConversion"/>
  </si>
  <si>
    <t>CNC 가공</t>
    <phoneticPr fontId="7" type="noConversion"/>
  </si>
  <si>
    <t>C1M3008C</t>
    <phoneticPr fontId="7" type="noConversion"/>
  </si>
  <si>
    <t>C1M3011C</t>
    <phoneticPr fontId="7" type="noConversion"/>
  </si>
  <si>
    <t>C1M3513C</t>
    <phoneticPr fontId="7" type="noConversion"/>
  </si>
  <si>
    <t>C1M3508SC</t>
    <phoneticPr fontId="7" type="noConversion"/>
  </si>
  <si>
    <t>C1M3510SC</t>
    <phoneticPr fontId="7" type="noConversion"/>
  </si>
  <si>
    <t>C1M3511SC</t>
    <phoneticPr fontId="7" type="noConversion"/>
  </si>
  <si>
    <t>C1M3513SC</t>
    <phoneticPr fontId="7" type="noConversion"/>
  </si>
  <si>
    <t>C1R4011C</t>
    <phoneticPr fontId="7" type="noConversion"/>
  </si>
  <si>
    <t>C1R4007SC</t>
    <phoneticPr fontId="7" type="noConversion"/>
  </si>
  <si>
    <t>C1R4008SC</t>
    <phoneticPr fontId="7" type="noConversion"/>
  </si>
  <si>
    <t>C1R4010SC</t>
    <phoneticPr fontId="7" type="noConversion"/>
  </si>
  <si>
    <t>C1R4011SC</t>
    <phoneticPr fontId="7" type="noConversion"/>
  </si>
  <si>
    <t>C1R4013SC</t>
    <phoneticPr fontId="7" type="noConversion"/>
  </si>
  <si>
    <t>C1R5007C</t>
    <phoneticPr fontId="7" type="noConversion"/>
  </si>
  <si>
    <t>C1R5013C</t>
    <phoneticPr fontId="7" type="noConversion"/>
  </si>
  <si>
    <t>C1R5006DB0C</t>
    <phoneticPr fontId="7" type="noConversion"/>
  </si>
  <si>
    <t>C1R5006DB1C</t>
    <phoneticPr fontId="7" type="noConversion"/>
  </si>
  <si>
    <t>C1R5006DB2C</t>
    <phoneticPr fontId="7" type="noConversion"/>
  </si>
  <si>
    <t>C1WZ6007C</t>
    <phoneticPr fontId="7" type="noConversion"/>
  </si>
  <si>
    <t>C1W6007C</t>
    <phoneticPr fontId="7" type="noConversion"/>
  </si>
  <si>
    <t>합계</t>
    <phoneticPr fontId="7" type="noConversion"/>
  </si>
  <si>
    <t>비고</t>
    <phoneticPr fontId="7" type="noConversion"/>
  </si>
  <si>
    <t>Y</t>
    <phoneticPr fontId="2" type="noConversion"/>
  </si>
  <si>
    <t>진척율</t>
    <phoneticPr fontId="2" type="noConversion"/>
  </si>
  <si>
    <t>CORE1 Fixture</t>
    <phoneticPr fontId="2" type="noConversion"/>
  </si>
  <si>
    <t>샌딩대기
재고 확인용</t>
    <phoneticPr fontId="7" type="noConversion"/>
  </si>
  <si>
    <t>샌딩 대기수량</t>
    <phoneticPr fontId="2" type="noConversion"/>
  </si>
  <si>
    <t>애칭 대기수량</t>
    <phoneticPr fontId="2" type="noConversion"/>
  </si>
  <si>
    <t>후공정(샌딩)</t>
  </si>
  <si>
    <t>후공정(샌딩)</t>
    <phoneticPr fontId="2" type="noConversion"/>
  </si>
  <si>
    <t>후공정(애칭)</t>
  </si>
  <si>
    <t>후공정(애칭)</t>
    <phoneticPr fontId="2" type="noConversion"/>
  </si>
  <si>
    <t>샌딩 합계</t>
    <phoneticPr fontId="2" type="noConversion"/>
  </si>
  <si>
    <t>애칭 합계</t>
    <phoneticPr fontId="2" type="noConversion"/>
  </si>
  <si>
    <t>CNC 일별 합계</t>
    <phoneticPr fontId="2" type="noConversion"/>
  </si>
  <si>
    <t>샌딩 일별 합계</t>
    <phoneticPr fontId="2" type="noConversion"/>
  </si>
  <si>
    <t>애칭 일별 합계</t>
    <phoneticPr fontId="2" type="noConversion"/>
  </si>
  <si>
    <t>클린룸 일별 합계</t>
    <phoneticPr fontId="2" type="noConversion"/>
  </si>
  <si>
    <t>포장 일별 합계</t>
    <phoneticPr fontId="2" type="noConversion"/>
  </si>
  <si>
    <t>2차검사</t>
    <phoneticPr fontId="2" type="noConversion"/>
  </si>
  <si>
    <t>클린룸
조립대기</t>
    <phoneticPr fontId="2" type="noConversion"/>
  </si>
  <si>
    <t>세척</t>
    <phoneticPr fontId="2" type="noConversion"/>
  </si>
  <si>
    <t>수입검사</t>
    <phoneticPr fontId="2" type="noConversion"/>
  </si>
  <si>
    <t>검사</t>
    <phoneticPr fontId="2" type="noConversion"/>
  </si>
  <si>
    <t>제품별 수입검사 진행</t>
    <phoneticPr fontId="2" type="noConversion"/>
  </si>
  <si>
    <t>검사 완료 후 최종 세척</t>
    <phoneticPr fontId="2" type="noConversion"/>
  </si>
  <si>
    <t>최종 세척</t>
    <phoneticPr fontId="2" type="noConversion"/>
  </si>
  <si>
    <t>상부제품 샌딩 진행</t>
    <phoneticPr fontId="2" type="noConversion"/>
  </si>
  <si>
    <t>C/T 측정 다시 해봐야함</t>
    <phoneticPr fontId="2" type="noConversion"/>
  </si>
  <si>
    <t>입고수량의 10% 수입검사 / 협의해서 수량 해야함</t>
    <phoneticPr fontId="2" type="noConversion"/>
  </si>
  <si>
    <t>출하가능</t>
    <phoneticPr fontId="7" type="noConversion"/>
  </si>
  <si>
    <t>무게(g)</t>
    <phoneticPr fontId="7" type="noConversion"/>
  </si>
  <si>
    <t>양수전환</t>
    <phoneticPr fontId="7" type="noConversion"/>
  </si>
  <si>
    <t>LOT 수량</t>
    <phoneticPr fontId="7" type="noConversion"/>
  </si>
  <si>
    <t>PH 전도도 
뺴야할 수량</t>
    <phoneticPr fontId="7" type="noConversion"/>
  </si>
  <si>
    <t>LOT별 
빼야할 수량(4g)</t>
    <phoneticPr fontId="7" type="noConversion"/>
  </si>
  <si>
    <t>★ PH 전도도 측정 수량 뺴야함 (모델별로 4g)</t>
    <phoneticPr fontId="7" type="noConversion"/>
  </si>
  <si>
    <t>국내 + CE + FDA 동시사용 (한글 포장)</t>
  </si>
  <si>
    <t>-</t>
    <phoneticPr fontId="7" type="noConversion"/>
  </si>
  <si>
    <t>제품 설명서 투입 및 실링 후</t>
    <phoneticPr fontId="2" type="noConversion"/>
  </si>
  <si>
    <t>제품 실링 및 라벨부착 완포장</t>
    <phoneticPr fontId="2" type="noConversion"/>
  </si>
  <si>
    <t>신규 베트남 PO03</t>
    <phoneticPr fontId="7" type="noConversion"/>
  </si>
  <si>
    <t>CE
이라크 PO30</t>
    <phoneticPr fontId="7" type="noConversion"/>
  </si>
  <si>
    <r>
      <rPr>
        <sz val="10"/>
        <color theme="1"/>
        <rFont val="맑은 고딕"/>
        <family val="2"/>
        <charset val="129"/>
      </rPr>
      <t>FDA</t>
    </r>
    <r>
      <rPr>
        <sz val="10"/>
        <color theme="1"/>
        <rFont val="현대하모니 L"/>
        <family val="2"/>
        <charset val="129"/>
      </rPr>
      <t xml:space="preserve">
이란</t>
    </r>
    <r>
      <rPr>
        <sz val="10"/>
        <color theme="1"/>
        <rFont val="맑은 고딕"/>
        <family val="2"/>
        <charset val="129"/>
      </rPr>
      <t xml:space="preserve"> </t>
    </r>
    <r>
      <rPr>
        <sz val="10"/>
        <color theme="1"/>
        <rFont val="현대하모니 L"/>
        <family val="2"/>
        <charset val="129"/>
      </rPr>
      <t>PO26-</t>
    </r>
    <r>
      <rPr>
        <sz val="10"/>
        <color theme="1"/>
        <rFont val="맑은 고딕"/>
        <family val="2"/>
        <charset val="129"/>
      </rPr>
      <t>03</t>
    </r>
    <phoneticPr fontId="44" type="noConversion"/>
  </si>
  <si>
    <t>CE
리투아니아 PO04</t>
    <phoneticPr fontId="7" type="noConversion"/>
  </si>
  <si>
    <t>2순위
CE
아자르바이젠 PO03</t>
    <phoneticPr fontId="7" type="noConversion"/>
  </si>
  <si>
    <t>CE
이라크 PO31</t>
    <phoneticPr fontId="7" type="noConversion"/>
  </si>
  <si>
    <t>CE
두바이 PO08</t>
    <phoneticPr fontId="7" type="noConversion"/>
  </si>
  <si>
    <t>C1R4011C</t>
    <phoneticPr fontId="2" type="noConversion"/>
  </si>
  <si>
    <t>4호기</t>
    <phoneticPr fontId="38" type="noConversion"/>
  </si>
  <si>
    <t>CE
몰도바PO07</t>
    <phoneticPr fontId="2" type="noConversion"/>
  </si>
  <si>
    <t>필요일수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</si>
</sst>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 #,##0_-;_-* &quot;-&quot;_-;_-@_-"/>
    <numFmt numFmtId="43" formatCode="_-* #,##0.00_-;\-* #,##0.00_-;_-* &quot;-&quot;??_-;_-@_-"/>
    <numFmt numFmtId="176" formatCode="_-* #,##0.0_-;\-* #,##0.0_-;_-* &quot;-&quot;_-;_-@_-"/>
    <numFmt numFmtId="177" formatCode="_-* #,##0.00_-;\-* #,##0.00_-;_-* &quot;-&quot;_-;_-@_-"/>
    <numFmt numFmtId="178" formatCode="yyyy&quot;/&quot;m&quot;/&quot;d;@"/>
    <numFmt numFmtId="179" formatCode="0.0_ "/>
    <numFmt numFmtId="180" formatCode="0_ "/>
    <numFmt numFmtId="181" formatCode="[Black]#,##0;[Red]\-#,##0;[Black]&quot;-&quot;"/>
    <numFmt numFmtId="182" formatCode="0.0%"/>
    <numFmt numFmtId="183" formatCode="_-* #,##0.0000000_-;\-* #,##0.0000000_-;_-* &quot;-&quot;_-;_-@_-"/>
    <numFmt numFmtId="184" formatCode="yyyy&quot;년&quot;mm&quot;월&quot;"/>
    <numFmt numFmtId="185" formatCode="[$-412]yyyy&quot;년&quot;\ m&quot;월&quot;\ d&quot;일&quot;"/>
    <numFmt numFmtId="186" formatCode="[$-F400]h:mm:ss\ AM/PM"/>
    <numFmt numFmtId="187" formatCode="m&quot;월&quot;\ d&quot;일&quot;;@"/>
    <numFmt numFmtId="188" formatCode="d"/>
    <numFmt numFmtId="189" formatCode="aaa"/>
    <numFmt numFmtId="190" formatCode="mm&quot;월&quot;\ dd&quot;일&quot;"/>
    <numFmt numFmtId="191" formatCode="[$-412]AM/PM\ h:mm;@"/>
  </numFmts>
  <fonts count="58"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9"/>
      <color indexed="81"/>
      <name val="Tahoma"/>
      <family val="2"/>
    </font>
    <font>
      <b/>
      <sz val="9"/>
      <color indexed="81"/>
      <name val="돋움"/>
      <family val="3"/>
      <charset val="129"/>
    </font>
    <font>
      <sz val="11"/>
      <color rgb="FF000000"/>
      <name val="맑은 고딕"/>
      <family val="3"/>
      <charset val="129"/>
    </font>
    <font>
      <b/>
      <sz val="11"/>
      <color theme="1"/>
      <name val="맑은 고딕"/>
      <family val="2"/>
      <scheme val="minor"/>
    </font>
    <font>
      <sz val="11"/>
      <color theme="1"/>
      <name val="맑은 고딕"/>
      <family val="2"/>
      <scheme val="minor"/>
    </font>
    <font>
      <b/>
      <sz val="11"/>
      <name val="맑은 고딕"/>
      <family val="2"/>
      <scheme val="minor"/>
    </font>
    <font>
      <b/>
      <strike/>
      <sz val="11"/>
      <color theme="1"/>
      <name val="맑은 고딕"/>
      <family val="3"/>
      <charset val="129"/>
      <scheme val="minor"/>
    </font>
    <font>
      <b/>
      <sz val="11"/>
      <color theme="1"/>
      <name val="맑은 고딕"/>
      <family val="3"/>
      <charset val="129"/>
      <scheme val="minor"/>
    </font>
    <font>
      <b/>
      <sz val="11"/>
      <name val="맑은 고딕"/>
      <family val="3"/>
      <charset val="129"/>
      <scheme val="minor"/>
    </font>
    <font>
      <sz val="11"/>
      <color theme="1"/>
      <name val="맑은 고딕"/>
      <family val="3"/>
      <charset val="129"/>
      <scheme val="minor"/>
    </font>
    <font>
      <sz val="11"/>
      <name val="맑은 고딕"/>
      <family val="3"/>
      <charset val="129"/>
      <scheme val="minor"/>
    </font>
    <font>
      <b/>
      <u/>
      <sz val="20"/>
      <color theme="1"/>
      <name val="맑은 고딕"/>
      <family val="3"/>
      <charset val="129"/>
      <scheme val="minor"/>
    </font>
    <font>
      <b/>
      <u/>
      <sz val="20"/>
      <color theme="1"/>
      <name val="맑은 고딕"/>
      <family val="2"/>
      <scheme val="minor"/>
    </font>
    <font>
      <b/>
      <sz val="11"/>
      <color rgb="FFFF0000"/>
      <name val="맑은 고딕"/>
      <family val="3"/>
      <charset val="129"/>
      <scheme val="minor"/>
    </font>
    <font>
      <sz val="10"/>
      <color theme="1"/>
      <name val="현대하모니 L"/>
      <family val="2"/>
      <charset val="129"/>
    </font>
    <font>
      <b/>
      <sz val="9"/>
      <color theme="1"/>
      <name val="맑은 고딕"/>
      <family val="3"/>
      <charset val="129"/>
      <scheme val="minor"/>
    </font>
    <font>
      <sz val="10"/>
      <color theme="1"/>
      <name val="맑은 고딕"/>
      <family val="2"/>
      <scheme val="minor"/>
    </font>
    <font>
      <sz val="11"/>
      <color rgb="FFFF0000"/>
      <name val="맑은 고딕"/>
      <family val="3"/>
      <charset val="129"/>
      <scheme val="minor"/>
    </font>
    <font>
      <sz val="16"/>
      <color theme="1"/>
      <name val="맑은 고딕"/>
      <family val="2"/>
      <scheme val="minor"/>
    </font>
    <font>
      <b/>
      <sz val="16"/>
      <color theme="1"/>
      <name val="맑은 고딕"/>
      <family val="2"/>
      <scheme val="minor"/>
    </font>
    <font>
      <b/>
      <sz val="8"/>
      <color theme="1"/>
      <name val="맑은 고딕"/>
      <family val="3"/>
      <charset val="129"/>
      <scheme val="minor"/>
    </font>
    <font>
      <b/>
      <sz val="9"/>
      <color theme="1"/>
      <name val="맑은 고딕"/>
      <family val="2"/>
      <scheme val="minor"/>
    </font>
    <font>
      <b/>
      <sz val="8"/>
      <name val="맑은 고딕"/>
      <family val="2"/>
      <scheme val="minor"/>
    </font>
    <font>
      <b/>
      <sz val="10"/>
      <name val="맑은 고딕"/>
      <family val="3"/>
      <charset val="129"/>
      <scheme val="minor"/>
    </font>
    <font>
      <b/>
      <sz val="8"/>
      <name val="맑은 고딕"/>
      <family val="3"/>
      <charset val="129"/>
      <scheme val="minor"/>
    </font>
    <font>
      <b/>
      <sz val="8"/>
      <color theme="1"/>
      <name val="맑은 고딕"/>
      <family val="2"/>
      <scheme val="minor"/>
    </font>
    <font>
      <b/>
      <sz val="8"/>
      <color rgb="FF0000FF"/>
      <name val="맑은 고딕"/>
      <family val="2"/>
      <scheme val="minor"/>
    </font>
    <font>
      <sz val="9"/>
      <color theme="1"/>
      <name val="맑은 고딕"/>
      <family val="2"/>
      <charset val="129"/>
      <scheme val="minor"/>
    </font>
    <font>
      <b/>
      <sz val="10"/>
      <color theme="1"/>
      <name val="맑은 고딕"/>
      <family val="3"/>
      <charset val="129"/>
      <scheme val="minor"/>
    </font>
    <font>
      <b/>
      <strike/>
      <sz val="11"/>
      <name val="맑은 고딕"/>
      <family val="3"/>
      <charset val="129"/>
      <scheme val="minor"/>
    </font>
    <font>
      <sz val="11"/>
      <color rgb="FF000000"/>
      <name val="맑은 고딕"/>
      <family val="3"/>
      <charset val="129"/>
      <scheme val="minor"/>
    </font>
    <font>
      <b/>
      <sz val="10"/>
      <color rgb="FFFF0000"/>
      <name val="맑은 고딕"/>
      <family val="3"/>
      <charset val="129"/>
      <scheme val="minor"/>
    </font>
    <font>
      <b/>
      <sz val="11"/>
      <color rgb="FFFF0000"/>
      <name val="맑은 고딕"/>
      <family val="2"/>
      <scheme val="minor"/>
    </font>
    <font>
      <sz val="11"/>
      <color indexed="81"/>
      <name val="돋움"/>
      <family val="3"/>
      <charset val="129"/>
    </font>
    <font>
      <sz val="11"/>
      <name val="돋움"/>
      <family val="3"/>
      <charset val="129"/>
    </font>
    <font>
      <sz val="8"/>
      <name val="맑은 고딕"/>
      <family val="3"/>
      <charset val="129"/>
      <scheme val="minor"/>
    </font>
    <font>
      <sz val="16"/>
      <color indexed="81"/>
      <name val="돋움"/>
      <family val="3"/>
      <charset val="129"/>
    </font>
    <font>
      <sz val="16"/>
      <color indexed="81"/>
      <name val="Tahoma"/>
      <family val="2"/>
    </font>
    <font>
      <sz val="11"/>
      <color rgb="FFFF0000"/>
      <name val="맑은 고딕"/>
      <family val="2"/>
      <charset val="129"/>
      <scheme val="minor"/>
    </font>
    <font>
      <sz val="18"/>
      <color indexed="81"/>
      <name val="Tahoma"/>
      <family val="2"/>
    </font>
    <font>
      <sz val="18"/>
      <color indexed="81"/>
      <name val="돋움"/>
      <family val="3"/>
      <charset val="129"/>
    </font>
    <font>
      <sz val="8"/>
      <name val="현대하모니 L"/>
      <family val="2"/>
      <charset val="129"/>
    </font>
    <font>
      <sz val="10"/>
      <color theme="1"/>
      <name val="맑은 고딕"/>
      <family val="2"/>
      <charset val="129"/>
    </font>
    <font>
      <sz val="12"/>
      <color theme="1"/>
      <name val="맑은 고딕"/>
      <family val="3"/>
      <charset val="129"/>
      <scheme val="minor"/>
    </font>
    <font>
      <b/>
      <sz val="12"/>
      <color theme="1"/>
      <name val="맑은 고딕"/>
      <family val="3"/>
      <charset val="129"/>
      <scheme val="minor"/>
    </font>
    <font>
      <sz val="12"/>
      <color rgb="FFFF0000"/>
      <name val="맑은 고딕"/>
      <family val="3"/>
      <charset val="129"/>
      <scheme val="minor"/>
    </font>
    <font>
      <sz val="12"/>
      <color rgb="FF0000CC"/>
      <name val="맑은 고딕"/>
      <family val="3"/>
      <charset val="129"/>
      <scheme val="minor"/>
    </font>
    <font>
      <strike/>
      <sz val="12"/>
      <color theme="1"/>
      <name val="맑은 고딕"/>
      <family val="3"/>
      <charset val="129"/>
      <scheme val="minor"/>
    </font>
    <font>
      <b/>
      <sz val="11"/>
      <color indexed="81"/>
      <name val="Tahoma"/>
      <family val="2"/>
    </font>
    <font>
      <b/>
      <sz val="11"/>
      <color indexed="81"/>
      <name val="돋움"/>
      <family val="3"/>
      <charset val="129"/>
    </font>
    <font>
      <b/>
      <sz val="16"/>
      <color indexed="81"/>
      <name val="돋움"/>
      <family val="3"/>
      <charset val="129"/>
    </font>
    <font>
      <b/>
      <sz val="16"/>
      <color indexed="81"/>
      <name val="Tahoma"/>
      <family val="2"/>
    </font>
    <font>
      <sz val="11"/>
      <color rgb="FF9C0006"/>
      <name val="맑은 고딕"/>
      <family val="2"/>
      <charset val="129"/>
      <scheme val="minor"/>
    </font>
    <font>
      <b/>
      <sz val="12"/>
      <color indexed="81"/>
      <name val="Tahoma"/>
      <family val="2"/>
    </font>
    <font>
      <b/>
      <sz val="12"/>
      <color indexed="81"/>
      <name val="돋움"/>
      <family val="3"/>
      <charset val="129"/>
    </font>
  </fonts>
  <fills count="10">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2"/>
        <bgColor indexed="64"/>
      </patternFill>
    </fill>
    <fill>
      <patternFill patternType="solid">
        <fgColor rgb="FFFFFF00"/>
        <bgColor indexed="64"/>
      </patternFill>
    </fill>
    <fill>
      <patternFill patternType="solid">
        <fgColor theme="0" tint="-4.9989318521683403E-2"/>
        <bgColor indexed="64"/>
      </patternFill>
    </fill>
  </fills>
  <borders count="80">
    <border>
      <left/>
      <right/>
      <top/>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thin">
        <color auto="1"/>
      </top>
      <bottom style="thin">
        <color auto="1"/>
      </bottom>
      <diagonal/>
    </border>
    <border>
      <left style="thin">
        <color indexed="64"/>
      </left>
      <right style="medium">
        <color indexed="64"/>
      </right>
      <top style="thin">
        <color indexed="64"/>
      </top>
      <bottom style="thin">
        <color indexed="64"/>
      </bottom>
      <diagonal/>
    </border>
    <border>
      <left/>
      <right/>
      <top style="thin">
        <color auto="1"/>
      </top>
      <bottom style="thin">
        <color auto="1"/>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right style="hair">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right style="thin">
        <color indexed="64"/>
      </right>
      <top/>
      <bottom/>
      <diagonal/>
    </border>
    <border>
      <left/>
      <right style="hair">
        <color indexed="64"/>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bottom/>
      <diagonal/>
    </border>
    <border>
      <left style="hair">
        <color indexed="64"/>
      </left>
      <right style="thin">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right style="hair">
        <color indexed="64"/>
      </right>
      <top style="medium">
        <color indexed="64"/>
      </top>
      <bottom style="thin">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hair">
        <color indexed="64"/>
      </left>
      <right/>
      <top style="thin">
        <color indexed="64"/>
      </top>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auto="1"/>
      </left>
      <right/>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thin">
        <color indexed="64"/>
      </right>
      <top style="medium">
        <color indexed="64"/>
      </top>
      <bottom/>
      <diagonal/>
    </border>
    <border>
      <left style="thin">
        <color indexed="64"/>
      </left>
      <right style="hair">
        <color indexed="64"/>
      </right>
      <top style="medium">
        <color indexed="64"/>
      </top>
      <bottom/>
      <diagonal/>
    </border>
    <border>
      <left style="thin">
        <color indexed="64"/>
      </left>
      <right style="hair">
        <color indexed="64"/>
      </right>
      <top style="medium">
        <color indexed="64"/>
      </top>
      <bottom style="thin">
        <color indexed="64"/>
      </bottom>
      <diagonal/>
    </border>
  </borders>
  <cellStyleXfs count="15">
    <xf numFmtId="0" fontId="0" fillId="0" borderId="0">
      <alignment vertical="center"/>
    </xf>
    <xf numFmtId="41" fontId="1" fillId="0" borderId="0" applyFont="0" applyFill="0" applyBorder="0" applyAlignment="0" applyProtection="0">
      <alignment vertical="center"/>
    </xf>
    <xf numFmtId="0" fontId="5" fillId="0" borderId="0">
      <alignment vertical="center"/>
    </xf>
    <xf numFmtId="41" fontId="5" fillId="0" borderId="0">
      <alignment vertical="center"/>
    </xf>
    <xf numFmtId="0" fontId="7" fillId="0" borderId="0"/>
    <xf numFmtId="41" fontId="7" fillId="0" borderId="0" applyFont="0" applyFill="0" applyBorder="0" applyAlignment="0" applyProtection="0">
      <alignment vertical="center"/>
    </xf>
    <xf numFmtId="9" fontId="5" fillId="0" borderId="0">
      <alignment vertical="center"/>
    </xf>
    <xf numFmtId="0" fontId="1" fillId="0" borderId="0">
      <alignment vertical="center"/>
    </xf>
    <xf numFmtId="41" fontId="1" fillId="0" borderId="0" applyFont="0" applyFill="0" applyBorder="0" applyAlignment="0" applyProtection="0">
      <alignment vertical="center"/>
    </xf>
    <xf numFmtId="0" fontId="12" fillId="0" borderId="0">
      <alignment vertical="center"/>
    </xf>
    <xf numFmtId="0" fontId="12" fillId="0" borderId="0">
      <alignment vertical="center"/>
    </xf>
    <xf numFmtId="0" fontId="37" fillId="0" borderId="0"/>
    <xf numFmtId="41" fontId="7" fillId="0" borderId="0" applyFont="0" applyFill="0" applyBorder="0" applyAlignment="0" applyProtection="0">
      <alignment vertical="center"/>
    </xf>
    <xf numFmtId="9" fontId="1" fillId="0" borderId="0" applyFont="0" applyFill="0" applyBorder="0" applyAlignment="0" applyProtection="0">
      <alignment vertical="center"/>
    </xf>
    <xf numFmtId="41" fontId="7" fillId="0" borderId="0" applyFont="0" applyFill="0" applyBorder="0" applyAlignment="0" applyProtection="0">
      <alignment vertical="center"/>
    </xf>
  </cellStyleXfs>
  <cellXfs count="476">
    <xf numFmtId="0" fontId="0" fillId="0" borderId="0" xfId="0">
      <alignment vertical="center"/>
    </xf>
    <xf numFmtId="0" fontId="0" fillId="0" borderId="0" xfId="0" applyAlignment="1">
      <alignment horizontal="center" vertical="center"/>
    </xf>
    <xf numFmtId="14" fontId="6" fillId="2" borderId="2" xfId="3" applyNumberFormat="1" applyFont="1" applyFill="1" applyBorder="1" applyAlignment="1" applyProtection="1">
      <alignment horizontal="center" vertical="center" wrapText="1"/>
      <protection locked="0"/>
    </xf>
    <xf numFmtId="14" fontId="6" fillId="0" borderId="2" xfId="3" applyNumberFormat="1" applyFont="1" applyBorder="1" applyAlignment="1" applyProtection="1">
      <alignment horizontal="center" vertical="center"/>
      <protection locked="0"/>
    </xf>
    <xf numFmtId="41" fontId="6" fillId="2" borderId="2" xfId="3" applyFont="1" applyFill="1" applyBorder="1" applyAlignment="1" applyProtection="1">
      <alignment horizontal="center" vertical="center"/>
      <protection locked="0"/>
    </xf>
    <xf numFmtId="0" fontId="7" fillId="0" borderId="2" xfId="2" applyFont="1" applyBorder="1">
      <alignment vertical="center"/>
    </xf>
    <xf numFmtId="0" fontId="6" fillId="0" borderId="2" xfId="2" applyFont="1" applyBorder="1" applyAlignment="1">
      <alignment horizontal="center" vertical="center"/>
    </xf>
    <xf numFmtId="176" fontId="6" fillId="2" borderId="2" xfId="3" applyNumberFormat="1" applyFont="1" applyFill="1" applyBorder="1" applyAlignment="1" applyProtection="1">
      <alignment horizontal="center" vertical="center"/>
      <protection locked="0"/>
    </xf>
    <xf numFmtId="14" fontId="6" fillId="2" borderId="2" xfId="3" applyNumberFormat="1" applyFont="1" applyFill="1" applyBorder="1" applyAlignment="1" applyProtection="1">
      <alignment horizontal="center" vertical="center"/>
      <protection locked="0"/>
    </xf>
    <xf numFmtId="14" fontId="8" fillId="0" borderId="2" xfId="3" applyNumberFormat="1" applyFont="1" applyBorder="1" applyAlignment="1" applyProtection="1">
      <alignment horizontal="center" vertical="center"/>
      <protection locked="0"/>
    </xf>
    <xf numFmtId="176" fontId="6" fillId="0" borderId="2" xfId="3" applyNumberFormat="1" applyFont="1" applyBorder="1" applyAlignment="1" applyProtection="1">
      <alignment horizontal="center" vertical="center"/>
      <protection locked="0"/>
    </xf>
    <xf numFmtId="14" fontId="9" fillId="0" borderId="2" xfId="3" applyNumberFormat="1" applyFont="1" applyBorder="1" applyAlignment="1" applyProtection="1">
      <alignment horizontal="center" vertical="center"/>
      <protection locked="0"/>
    </xf>
    <xf numFmtId="41" fontId="9" fillId="2" borderId="2" xfId="3" applyFont="1" applyFill="1" applyBorder="1" applyAlignment="1" applyProtection="1">
      <alignment horizontal="center" vertical="center"/>
      <protection locked="0"/>
    </xf>
    <xf numFmtId="176" fontId="10" fillId="2" borderId="2" xfId="3" applyNumberFormat="1" applyFont="1" applyFill="1" applyBorder="1" applyAlignment="1" applyProtection="1">
      <alignment horizontal="center" vertical="center"/>
      <protection locked="0"/>
    </xf>
    <xf numFmtId="41" fontId="12" fillId="0" borderId="17" xfId="5" applyFont="1" applyBorder="1" applyAlignment="1">
      <alignment vertical="center"/>
    </xf>
    <xf numFmtId="41" fontId="12" fillId="0" borderId="2" xfId="5" applyFont="1" applyBorder="1" applyAlignment="1">
      <alignment vertical="center"/>
    </xf>
    <xf numFmtId="41" fontId="12" fillId="0" borderId="6" xfId="5" applyFont="1" applyBorder="1" applyAlignment="1">
      <alignment vertical="center"/>
    </xf>
    <xf numFmtId="41" fontId="13" fillId="0" borderId="7" xfId="5" applyFont="1" applyBorder="1" applyAlignment="1">
      <alignment vertical="center"/>
    </xf>
    <xf numFmtId="41" fontId="13" fillId="0" borderId="2" xfId="5" applyFont="1" applyBorder="1" applyAlignment="1">
      <alignment vertical="center"/>
    </xf>
    <xf numFmtId="41" fontId="13" fillId="0" borderId="4" xfId="5" applyFont="1" applyBorder="1" applyAlignment="1">
      <alignment vertical="center"/>
    </xf>
    <xf numFmtId="41" fontId="13" fillId="0" borderId="17" xfId="5" applyFont="1" applyBorder="1" applyAlignment="1">
      <alignment vertical="center"/>
    </xf>
    <xf numFmtId="41" fontId="13" fillId="0" borderId="6" xfId="5" applyFont="1" applyBorder="1" applyAlignment="1">
      <alignment vertical="center"/>
    </xf>
    <xf numFmtId="41" fontId="12" fillId="0" borderId="7" xfId="5" applyFont="1" applyBorder="1" applyAlignment="1">
      <alignment vertical="center"/>
    </xf>
    <xf numFmtId="41" fontId="12" fillId="0" borderId="4" xfId="5" applyFont="1" applyBorder="1" applyAlignment="1">
      <alignment vertical="center"/>
    </xf>
    <xf numFmtId="41" fontId="12" fillId="0" borderId="11" xfId="5" applyFont="1" applyBorder="1" applyAlignment="1">
      <alignment vertical="center"/>
    </xf>
    <xf numFmtId="41" fontId="12" fillId="0" borderId="12" xfId="5" applyFont="1" applyBorder="1" applyAlignment="1">
      <alignment vertical="center"/>
    </xf>
    <xf numFmtId="0" fontId="5" fillId="0" borderId="0" xfId="2">
      <alignment vertical="center"/>
    </xf>
    <xf numFmtId="0" fontId="5" fillId="0" borderId="0" xfId="2" applyAlignment="1">
      <alignment horizontal="center" vertical="center"/>
    </xf>
    <xf numFmtId="0" fontId="21" fillId="0" borderId="0" xfId="2" applyFont="1">
      <alignment vertical="center"/>
    </xf>
    <xf numFmtId="0" fontId="22" fillId="0" borderId="0" xfId="2" applyFont="1">
      <alignment vertical="center"/>
    </xf>
    <xf numFmtId="0" fontId="21" fillId="0" borderId="0" xfId="2" applyFont="1" applyAlignment="1">
      <alignment horizontal="center" vertical="center"/>
    </xf>
    <xf numFmtId="41" fontId="10" fillId="0" borderId="0" xfId="3" applyFont="1" applyAlignment="1" applyProtection="1">
      <alignment horizontal="center" vertical="center"/>
      <protection locked="0"/>
    </xf>
    <xf numFmtId="41" fontId="10" fillId="3" borderId="2" xfId="3" applyFont="1" applyFill="1" applyBorder="1" applyAlignment="1" applyProtection="1">
      <alignment horizontal="center" vertical="center"/>
      <protection locked="0"/>
    </xf>
    <xf numFmtId="41" fontId="10" fillId="3" borderId="2" xfId="3" applyFont="1" applyFill="1" applyBorder="1" applyAlignment="1" applyProtection="1">
      <alignment horizontal="centerContinuous" vertical="center"/>
      <protection locked="0"/>
    </xf>
    <xf numFmtId="41" fontId="10" fillId="3" borderId="2" xfId="3" applyFont="1" applyFill="1" applyBorder="1" applyProtection="1">
      <alignment vertical="center"/>
      <protection locked="0"/>
    </xf>
    <xf numFmtId="41" fontId="10" fillId="8" borderId="2" xfId="3" applyFont="1" applyFill="1" applyBorder="1" applyAlignment="1" applyProtection="1">
      <alignment horizontal="center" vertical="center"/>
      <protection locked="0"/>
    </xf>
    <xf numFmtId="0" fontId="6" fillId="2" borderId="2" xfId="2" applyFont="1" applyFill="1" applyBorder="1" applyAlignment="1">
      <alignment horizontal="center" vertical="center"/>
    </xf>
    <xf numFmtId="41" fontId="8" fillId="0" borderId="2" xfId="3" applyFont="1" applyBorder="1" applyAlignment="1" applyProtection="1">
      <alignment horizontal="center" vertical="center"/>
      <protection locked="0"/>
    </xf>
    <xf numFmtId="41" fontId="8" fillId="0" borderId="2" xfId="3" applyFont="1" applyBorder="1" applyAlignment="1" applyProtection="1">
      <alignment horizontal="left" vertical="center"/>
      <protection locked="0"/>
    </xf>
    <xf numFmtId="9" fontId="8" fillId="0" borderId="2" xfId="6" applyFont="1" applyBorder="1" applyAlignment="1" applyProtection="1">
      <alignment horizontal="center" vertical="center"/>
      <protection locked="0"/>
    </xf>
    <xf numFmtId="182" fontId="8" fillId="0" borderId="2" xfId="6" applyNumberFormat="1" applyFont="1" applyBorder="1" applyAlignment="1" applyProtection="1">
      <alignment horizontal="center" vertical="center"/>
      <protection locked="0"/>
    </xf>
    <xf numFmtId="41" fontId="8" fillId="0" borderId="2" xfId="3" applyFont="1" applyBorder="1" applyProtection="1">
      <alignment vertical="center"/>
      <protection locked="0"/>
    </xf>
    <xf numFmtId="41" fontId="8" fillId="8" borderId="2" xfId="3" applyFont="1" applyFill="1" applyBorder="1" applyProtection="1">
      <alignment vertical="center"/>
      <protection locked="0"/>
    </xf>
    <xf numFmtId="41" fontId="25" fillId="0" borderId="0" xfId="3" applyFont="1" applyAlignment="1" applyProtection="1">
      <alignment horizontal="center" vertical="center"/>
      <protection locked="0"/>
    </xf>
    <xf numFmtId="176" fontId="8" fillId="0" borderId="2" xfId="1" applyNumberFormat="1" applyFont="1" applyBorder="1" applyAlignment="1" applyProtection="1">
      <alignment horizontal="center" vertical="center"/>
      <protection locked="0"/>
    </xf>
    <xf numFmtId="41" fontId="6" fillId="0" borderId="2" xfId="3" applyFont="1" applyBorder="1" applyProtection="1">
      <alignment vertical="center"/>
      <protection locked="0"/>
    </xf>
    <xf numFmtId="41" fontId="27" fillId="2" borderId="0" xfId="3" applyFont="1" applyFill="1" applyAlignment="1" applyProtection="1">
      <alignment horizontal="center" vertical="center"/>
      <protection locked="0"/>
    </xf>
    <xf numFmtId="41" fontId="28" fillId="0" borderId="0" xfId="3" applyFont="1" applyAlignment="1" applyProtection="1">
      <alignment horizontal="center" vertical="center"/>
      <protection locked="0"/>
    </xf>
    <xf numFmtId="41" fontId="27" fillId="0" borderId="0" xfId="3" applyFont="1" applyAlignment="1" applyProtection="1">
      <alignment horizontal="center" vertical="center"/>
      <protection locked="0"/>
    </xf>
    <xf numFmtId="41" fontId="29" fillId="0" borderId="0" xfId="3" applyFont="1" applyAlignment="1" applyProtection="1">
      <alignment horizontal="center" vertical="center" wrapText="1"/>
      <protection locked="0"/>
    </xf>
    <xf numFmtId="41" fontId="28" fillId="0" borderId="0" xfId="3" applyFont="1" applyAlignment="1" applyProtection="1">
      <alignment horizontal="center" vertical="center" wrapText="1"/>
      <protection locked="0"/>
    </xf>
    <xf numFmtId="0" fontId="30" fillId="0" borderId="0" xfId="2" applyFont="1" applyAlignment="1">
      <alignment horizontal="left" vertical="center"/>
    </xf>
    <xf numFmtId="176" fontId="6" fillId="2" borderId="2" xfId="1" applyNumberFormat="1" applyFont="1" applyFill="1" applyBorder="1" applyAlignment="1" applyProtection="1">
      <alignment horizontal="center" vertical="center"/>
      <protection locked="0"/>
    </xf>
    <xf numFmtId="41" fontId="8" fillId="2" borderId="2" xfId="3" applyFont="1" applyFill="1" applyBorder="1" applyAlignment="1" applyProtection="1">
      <alignment horizontal="left" vertical="center"/>
      <protection locked="0"/>
    </xf>
    <xf numFmtId="182" fontId="6" fillId="2" borderId="2" xfId="6" applyNumberFormat="1" applyFont="1" applyFill="1" applyBorder="1" applyAlignment="1" applyProtection="1">
      <alignment horizontal="center" vertical="center"/>
      <protection locked="0"/>
    </xf>
    <xf numFmtId="41" fontId="8" fillId="2" borderId="2" xfId="3" applyFont="1" applyFill="1" applyBorder="1" applyAlignment="1" applyProtection="1">
      <alignment horizontal="center" vertical="center"/>
      <protection locked="0"/>
    </xf>
    <xf numFmtId="41" fontId="27" fillId="2" borderId="0" xfId="3" applyFont="1" applyFill="1" applyAlignment="1" applyProtection="1">
      <alignment horizontal="center" vertical="center" wrapText="1"/>
      <protection locked="0"/>
    </xf>
    <xf numFmtId="0" fontId="5" fillId="8" borderId="0" xfId="2" applyFill="1">
      <alignment vertical="center"/>
    </xf>
    <xf numFmtId="41" fontId="6" fillId="2" borderId="2" xfId="3" applyFont="1" applyFill="1" applyBorder="1" applyAlignment="1" applyProtection="1">
      <alignment horizontal="left" vertical="center"/>
      <protection locked="0"/>
    </xf>
    <xf numFmtId="41" fontId="32" fillId="0" borderId="2" xfId="3" applyFont="1" applyBorder="1" applyAlignment="1" applyProtection="1">
      <alignment horizontal="center" vertical="center"/>
      <protection locked="0"/>
    </xf>
    <xf numFmtId="176" fontId="32" fillId="0" borderId="2" xfId="1" applyNumberFormat="1" applyFont="1" applyBorder="1" applyAlignment="1" applyProtection="1">
      <alignment horizontal="center" vertical="center"/>
      <protection locked="0"/>
    </xf>
    <xf numFmtId="41" fontId="32" fillId="0" borderId="2" xfId="3" applyFont="1" applyBorder="1" applyAlignment="1" applyProtection="1">
      <alignment horizontal="left" vertical="center"/>
      <protection locked="0"/>
    </xf>
    <xf numFmtId="182" fontId="32" fillId="0" borderId="2" xfId="6" applyNumberFormat="1" applyFont="1" applyBorder="1" applyAlignment="1" applyProtection="1">
      <alignment horizontal="center" vertical="center"/>
      <protection locked="0"/>
    </xf>
    <xf numFmtId="41" fontId="9" fillId="0" borderId="2" xfId="3" applyFont="1" applyBorder="1" applyProtection="1">
      <alignment vertical="center"/>
      <protection locked="0"/>
    </xf>
    <xf numFmtId="41" fontId="27" fillId="0" borderId="0" xfId="3" applyFont="1" applyAlignment="1" applyProtection="1">
      <alignment horizontal="center" vertical="center" wrapText="1"/>
      <protection locked="0"/>
    </xf>
    <xf numFmtId="41" fontId="5" fillId="0" borderId="0" xfId="1" applyFont="1">
      <alignment vertical="center"/>
    </xf>
    <xf numFmtId="183" fontId="5" fillId="0" borderId="0" xfId="1" applyNumberFormat="1" applyFont="1">
      <alignment vertical="center"/>
    </xf>
    <xf numFmtId="1" fontId="5" fillId="0" borderId="0" xfId="2" applyNumberFormat="1">
      <alignment vertical="center"/>
    </xf>
    <xf numFmtId="41" fontId="6" fillId="3" borderId="2" xfId="3" applyFont="1" applyFill="1" applyBorder="1" applyAlignment="1" applyProtection="1">
      <alignment horizontal="center" vertical="center"/>
      <protection locked="0"/>
    </xf>
    <xf numFmtId="41" fontId="10" fillId="3" borderId="4" xfId="3" applyFont="1" applyFill="1" applyBorder="1" applyAlignment="1" applyProtection="1">
      <alignment horizontal="center" vertical="center"/>
      <protection locked="0"/>
    </xf>
    <xf numFmtId="41" fontId="10" fillId="3" borderId="0" xfId="3" applyFont="1" applyFill="1" applyAlignment="1" applyProtection="1">
      <alignment horizontal="center" vertical="center"/>
      <protection locked="0"/>
    </xf>
    <xf numFmtId="41" fontId="10" fillId="3" borderId="7" xfId="3" applyFont="1" applyFill="1" applyBorder="1" applyAlignment="1" applyProtection="1">
      <alignment horizontal="center" vertical="center"/>
      <protection locked="0"/>
    </xf>
    <xf numFmtId="3" fontId="33" fillId="0" borderId="0" xfId="0" applyNumberFormat="1" applyFont="1">
      <alignment vertical="center"/>
    </xf>
    <xf numFmtId="41" fontId="8" fillId="8" borderId="2" xfId="3" applyFont="1" applyFill="1" applyBorder="1" applyAlignment="1" applyProtection="1">
      <alignment horizontal="center" vertical="center"/>
      <protection locked="0"/>
    </xf>
    <xf numFmtId="0" fontId="14" fillId="0" borderId="8" xfId="0" applyFont="1" applyBorder="1">
      <alignment vertical="center"/>
    </xf>
    <xf numFmtId="0" fontId="14" fillId="0" borderId="9" xfId="0" applyFont="1" applyBorder="1">
      <alignment vertical="center"/>
    </xf>
    <xf numFmtId="0" fontId="15" fillId="0" borderId="9" xfId="0" applyFont="1" applyBorder="1">
      <alignment vertical="center"/>
    </xf>
    <xf numFmtId="0" fontId="19" fillId="0" borderId="0" xfId="0" applyFont="1">
      <alignment vertical="center"/>
    </xf>
    <xf numFmtId="0" fontId="10" fillId="4" borderId="16" xfId="0" applyFont="1" applyFill="1" applyBorder="1" applyAlignment="1">
      <alignment horizontal="center" vertical="center"/>
    </xf>
    <xf numFmtId="181" fontId="10" fillId="5" borderId="16" xfId="0" applyNumberFormat="1" applyFont="1" applyFill="1" applyBorder="1" applyAlignment="1">
      <alignment horizontal="right" vertical="center"/>
    </xf>
    <xf numFmtId="181" fontId="12" fillId="6" borderId="19" xfId="0" applyNumberFormat="1" applyFont="1" applyFill="1" applyBorder="1" applyAlignment="1">
      <alignment horizontal="right" vertical="center"/>
    </xf>
    <xf numFmtId="181" fontId="12" fillId="6" borderId="16" xfId="0" applyNumberFormat="1" applyFont="1" applyFill="1" applyBorder="1">
      <alignment vertical="center"/>
    </xf>
    <xf numFmtId="181" fontId="12" fillId="2" borderId="19" xfId="0" applyNumberFormat="1" applyFont="1" applyFill="1" applyBorder="1">
      <alignment vertical="center"/>
    </xf>
    <xf numFmtId="181" fontId="20" fillId="2" borderId="16" xfId="0" applyNumberFormat="1" applyFont="1" applyFill="1" applyBorder="1">
      <alignment vertical="center"/>
    </xf>
    <xf numFmtId="181" fontId="12" fillId="2" borderId="16" xfId="0" applyNumberFormat="1" applyFont="1" applyFill="1" applyBorder="1">
      <alignment vertical="center"/>
    </xf>
    <xf numFmtId="0" fontId="10" fillId="4" borderId="20" xfId="0" applyFont="1" applyFill="1" applyBorder="1" applyAlignment="1">
      <alignment horizontal="center" vertical="center"/>
    </xf>
    <xf numFmtId="181" fontId="10" fillId="5" borderId="20" xfId="0" applyNumberFormat="1" applyFont="1" applyFill="1" applyBorder="1" applyAlignment="1">
      <alignment horizontal="right" vertical="center"/>
    </xf>
    <xf numFmtId="181" fontId="12" fillId="6" borderId="22" xfId="0" applyNumberFormat="1" applyFont="1" applyFill="1" applyBorder="1" applyAlignment="1">
      <alignment horizontal="right" vertical="center"/>
    </xf>
    <xf numFmtId="181" fontId="12" fillId="6" borderId="20" xfId="0" applyNumberFormat="1" applyFont="1" applyFill="1" applyBorder="1">
      <alignment vertical="center"/>
    </xf>
    <xf numFmtId="181" fontId="12" fillId="2" borderId="22" xfId="0" applyNumberFormat="1" applyFont="1" applyFill="1" applyBorder="1">
      <alignment vertical="center"/>
    </xf>
    <xf numFmtId="181" fontId="20" fillId="2" borderId="20" xfId="0" applyNumberFormat="1" applyFont="1" applyFill="1" applyBorder="1">
      <alignment vertical="center"/>
    </xf>
    <xf numFmtId="181" fontId="12" fillId="2" borderId="20" xfId="0" applyNumberFormat="1" applyFont="1" applyFill="1" applyBorder="1">
      <alignment vertical="center"/>
    </xf>
    <xf numFmtId="0" fontId="10" fillId="4" borderId="23" xfId="0" applyFont="1" applyFill="1" applyBorder="1" applyAlignment="1">
      <alignment horizontal="center" vertical="center"/>
    </xf>
    <xf numFmtId="181" fontId="10" fillId="5" borderId="23" xfId="0" applyNumberFormat="1" applyFont="1" applyFill="1" applyBorder="1" applyAlignment="1">
      <alignment horizontal="right" vertical="center"/>
    </xf>
    <xf numFmtId="181" fontId="12" fillId="6" borderId="24" xfId="0" applyNumberFormat="1" applyFont="1" applyFill="1" applyBorder="1" applyAlignment="1">
      <alignment horizontal="right" vertical="center"/>
    </xf>
    <xf numFmtId="181" fontId="12" fillId="6" borderId="23" xfId="0" applyNumberFormat="1" applyFont="1" applyFill="1" applyBorder="1">
      <alignment vertical="center"/>
    </xf>
    <xf numFmtId="181" fontId="12" fillId="2" borderId="24" xfId="0" applyNumberFormat="1" applyFont="1" applyFill="1" applyBorder="1">
      <alignment vertical="center"/>
    </xf>
    <xf numFmtId="181" fontId="20" fillId="2" borderId="23" xfId="0" applyNumberFormat="1" applyFont="1" applyFill="1" applyBorder="1">
      <alignment vertical="center"/>
    </xf>
    <xf numFmtId="181" fontId="12" fillId="2" borderId="23" xfId="0" applyNumberFormat="1" applyFont="1" applyFill="1" applyBorder="1">
      <alignment vertical="center"/>
    </xf>
    <xf numFmtId="0" fontId="11" fillId="4" borderId="25" xfId="0" applyFont="1" applyFill="1" applyBorder="1" applyAlignment="1">
      <alignment horizontal="center" vertical="center"/>
    </xf>
    <xf numFmtId="181" fontId="10" fillId="5" borderId="25" xfId="0" applyNumberFormat="1" applyFont="1" applyFill="1" applyBorder="1" applyAlignment="1">
      <alignment horizontal="right" vertical="center"/>
    </xf>
    <xf numFmtId="181" fontId="12" fillId="6" borderId="27" xfId="0" applyNumberFormat="1" applyFont="1" applyFill="1" applyBorder="1" applyAlignment="1">
      <alignment horizontal="right" vertical="center"/>
    </xf>
    <xf numFmtId="181" fontId="12" fillId="6" borderId="25" xfId="0" applyNumberFormat="1" applyFont="1" applyFill="1" applyBorder="1">
      <alignment vertical="center"/>
    </xf>
    <xf numFmtId="181" fontId="12" fillId="7" borderId="19" xfId="0" applyNumberFormat="1" applyFont="1" applyFill="1" applyBorder="1">
      <alignment vertical="center"/>
    </xf>
    <xf numFmtId="181" fontId="20" fillId="7" borderId="25" xfId="0" applyNumberFormat="1" applyFont="1" applyFill="1" applyBorder="1">
      <alignment vertical="center"/>
    </xf>
    <xf numFmtId="181" fontId="12" fillId="7" borderId="27" xfId="0" applyNumberFormat="1" applyFont="1" applyFill="1" applyBorder="1">
      <alignment vertical="center"/>
    </xf>
    <xf numFmtId="181" fontId="12" fillId="7" borderId="25" xfId="0" applyNumberFormat="1" applyFont="1" applyFill="1" applyBorder="1">
      <alignment vertical="center"/>
    </xf>
    <xf numFmtId="0" fontId="11" fillId="4" borderId="20" xfId="0" applyFont="1" applyFill="1" applyBorder="1" applyAlignment="1">
      <alignment horizontal="center" vertical="center"/>
    </xf>
    <xf numFmtId="181" fontId="12" fillId="7" borderId="22" xfId="0" applyNumberFormat="1" applyFont="1" applyFill="1" applyBorder="1">
      <alignment vertical="center"/>
    </xf>
    <xf numFmtId="181" fontId="20" fillId="7" borderId="20" xfId="0" applyNumberFormat="1" applyFont="1" applyFill="1" applyBorder="1">
      <alignment vertical="center"/>
    </xf>
    <xf numFmtId="181" fontId="12" fillId="7" borderId="20" xfId="0" applyNumberFormat="1" applyFont="1" applyFill="1" applyBorder="1">
      <alignment vertical="center"/>
    </xf>
    <xf numFmtId="0" fontId="11" fillId="4" borderId="28" xfId="0" applyFont="1" applyFill="1" applyBorder="1" applyAlignment="1">
      <alignment horizontal="center" vertical="center"/>
    </xf>
    <xf numFmtId="181" fontId="10" fillId="5" borderId="28" xfId="0" applyNumberFormat="1" applyFont="1" applyFill="1" applyBorder="1" applyAlignment="1">
      <alignment horizontal="right" vertical="center"/>
    </xf>
    <xf numFmtId="181" fontId="12" fillId="6" borderId="30" xfId="0" applyNumberFormat="1" applyFont="1" applyFill="1" applyBorder="1" applyAlignment="1">
      <alignment horizontal="right" vertical="center"/>
    </xf>
    <xf numFmtId="181" fontId="12" fillId="6" borderId="28" xfId="0" applyNumberFormat="1" applyFont="1" applyFill="1" applyBorder="1">
      <alignment vertical="center"/>
    </xf>
    <xf numFmtId="181" fontId="12" fillId="7" borderId="24" xfId="0" applyNumberFormat="1" applyFont="1" applyFill="1" applyBorder="1">
      <alignment vertical="center"/>
    </xf>
    <xf numFmtId="181" fontId="20" fillId="7" borderId="28" xfId="0" applyNumberFormat="1" applyFont="1" applyFill="1" applyBorder="1">
      <alignment vertical="center"/>
    </xf>
    <xf numFmtId="181" fontId="12" fillId="7" borderId="30" xfId="0" applyNumberFormat="1" applyFont="1" applyFill="1" applyBorder="1">
      <alignment vertical="center"/>
    </xf>
    <xf numFmtId="181" fontId="12" fillId="7" borderId="28" xfId="0" applyNumberFormat="1" applyFont="1" applyFill="1" applyBorder="1">
      <alignment vertical="center"/>
    </xf>
    <xf numFmtId="0" fontId="11" fillId="4" borderId="16" xfId="0" applyFont="1" applyFill="1" applyBorder="1" applyAlignment="1">
      <alignment horizontal="center" vertical="center"/>
    </xf>
    <xf numFmtId="181" fontId="12" fillId="0" borderId="19" xfId="0" applyNumberFormat="1" applyFont="1" applyBorder="1">
      <alignment vertical="center"/>
    </xf>
    <xf numFmtId="181" fontId="12" fillId="0" borderId="16" xfId="0" applyNumberFormat="1" applyFont="1" applyBorder="1">
      <alignment vertical="center"/>
    </xf>
    <xf numFmtId="181" fontId="12" fillId="0" borderId="22" xfId="0" applyNumberFormat="1" applyFont="1" applyBorder="1">
      <alignment vertical="center"/>
    </xf>
    <xf numFmtId="181" fontId="12" fillId="0" borderId="20" xfId="0" applyNumberFormat="1" applyFont="1" applyBorder="1">
      <alignment vertical="center"/>
    </xf>
    <xf numFmtId="0" fontId="11" fillId="4" borderId="23" xfId="0" applyFont="1" applyFill="1" applyBorder="1" applyAlignment="1">
      <alignment horizontal="center" vertical="center"/>
    </xf>
    <xf numFmtId="181" fontId="12" fillId="0" borderId="24" xfId="0" applyNumberFormat="1" applyFont="1" applyBorder="1">
      <alignment vertical="center"/>
    </xf>
    <xf numFmtId="181" fontId="12" fillId="0" borderId="23" xfId="0" applyNumberFormat="1" applyFont="1" applyBorder="1">
      <alignment vertical="center"/>
    </xf>
    <xf numFmtId="0" fontId="10" fillId="4" borderId="25" xfId="0" applyFont="1" applyFill="1" applyBorder="1" applyAlignment="1">
      <alignment horizontal="center" vertical="center"/>
    </xf>
    <xf numFmtId="0" fontId="10" fillId="4" borderId="28" xfId="0" applyFont="1" applyFill="1" applyBorder="1" applyAlignment="1">
      <alignment horizontal="center" vertical="center"/>
    </xf>
    <xf numFmtId="181" fontId="20" fillId="0" borderId="16" xfId="0" applyNumberFormat="1" applyFont="1" applyBorder="1">
      <alignment vertical="center"/>
    </xf>
    <xf numFmtId="181" fontId="20" fillId="0" borderId="20" xfId="0" applyNumberFormat="1" applyFont="1" applyBorder="1">
      <alignment vertical="center"/>
    </xf>
    <xf numFmtId="181" fontId="20" fillId="0" borderId="23" xfId="0" applyNumberFormat="1" applyFont="1" applyBorder="1">
      <alignment vertical="center"/>
    </xf>
    <xf numFmtId="181" fontId="12" fillId="0" borderId="30" xfId="0" applyNumberFormat="1" applyFont="1" applyBorder="1">
      <alignment vertical="center"/>
    </xf>
    <xf numFmtId="181" fontId="12" fillId="0" borderId="28" xfId="0" applyNumberFormat="1" applyFont="1" applyBorder="1">
      <alignment vertical="center"/>
    </xf>
    <xf numFmtId="181" fontId="12" fillId="2" borderId="30" xfId="0" applyNumberFormat="1" applyFont="1" applyFill="1" applyBorder="1">
      <alignment vertical="center"/>
    </xf>
    <xf numFmtId="181" fontId="12" fillId="2" borderId="28" xfId="0" applyNumberFormat="1" applyFont="1" applyFill="1" applyBorder="1">
      <alignment vertical="center"/>
    </xf>
    <xf numFmtId="0" fontId="10" fillId="8" borderId="16" xfId="0" applyFont="1" applyFill="1" applyBorder="1" applyAlignment="1">
      <alignment horizontal="center" vertical="center"/>
    </xf>
    <xf numFmtId="181" fontId="0" fillId="6" borderId="19" xfId="0" applyNumberFormat="1" applyFill="1" applyBorder="1" applyAlignment="1">
      <alignment horizontal="right" vertical="center"/>
    </xf>
    <xf numFmtId="181" fontId="12" fillId="7" borderId="16" xfId="0" applyNumberFormat="1" applyFont="1" applyFill="1" applyBorder="1">
      <alignment vertical="center"/>
    </xf>
    <xf numFmtId="0" fontId="10" fillId="8" borderId="20" xfId="0" applyFont="1" applyFill="1" applyBorder="1" applyAlignment="1">
      <alignment horizontal="center" vertical="center"/>
    </xf>
    <xf numFmtId="181" fontId="0" fillId="6" borderId="22" xfId="0" applyNumberFormat="1" applyFill="1" applyBorder="1" applyAlignment="1">
      <alignment horizontal="right" vertical="center"/>
    </xf>
    <xf numFmtId="0" fontId="10" fillId="8" borderId="23" xfId="0" applyFont="1" applyFill="1" applyBorder="1" applyAlignment="1">
      <alignment horizontal="center" vertical="center"/>
    </xf>
    <xf numFmtId="181" fontId="0" fillId="6" borderId="24" xfId="0" applyNumberFormat="1" applyFill="1" applyBorder="1" applyAlignment="1">
      <alignment horizontal="right" vertical="center"/>
    </xf>
    <xf numFmtId="181" fontId="20" fillId="7" borderId="23" xfId="0" applyNumberFormat="1" applyFont="1" applyFill="1" applyBorder="1">
      <alignment vertical="center"/>
    </xf>
    <xf numFmtId="181" fontId="12" fillId="7" borderId="23" xfId="0" applyNumberFormat="1" applyFont="1" applyFill="1" applyBorder="1">
      <alignment vertical="center"/>
    </xf>
    <xf numFmtId="0" fontId="10" fillId="8" borderId="25" xfId="0" applyFont="1" applyFill="1" applyBorder="1" applyAlignment="1">
      <alignment horizontal="center" vertical="center"/>
    </xf>
    <xf numFmtId="181" fontId="0" fillId="6" borderId="27" xfId="0" applyNumberFormat="1" applyFill="1" applyBorder="1" applyAlignment="1">
      <alignment horizontal="right" vertical="center"/>
    </xf>
    <xf numFmtId="181" fontId="20" fillId="2" borderId="25" xfId="0" applyNumberFormat="1" applyFont="1" applyFill="1" applyBorder="1">
      <alignment vertical="center"/>
    </xf>
    <xf numFmtId="181" fontId="12" fillId="2" borderId="27" xfId="0" applyNumberFormat="1" applyFont="1" applyFill="1" applyBorder="1">
      <alignment vertical="center"/>
    </xf>
    <xf numFmtId="181" fontId="12" fillId="2" borderId="25" xfId="0" applyNumberFormat="1" applyFont="1" applyFill="1" applyBorder="1">
      <alignment vertical="center"/>
    </xf>
    <xf numFmtId="0" fontId="10" fillId="8" borderId="28" xfId="0" applyFont="1" applyFill="1" applyBorder="1" applyAlignment="1">
      <alignment horizontal="center" vertical="center"/>
    </xf>
    <xf numFmtId="181" fontId="0" fillId="6" borderId="30" xfId="0" applyNumberFormat="1" applyFill="1" applyBorder="1" applyAlignment="1">
      <alignment horizontal="right" vertical="center"/>
    </xf>
    <xf numFmtId="0" fontId="10" fillId="4" borderId="31" xfId="0" applyFont="1" applyFill="1" applyBorder="1" applyAlignment="1">
      <alignment horizontal="center" vertical="center"/>
    </xf>
    <xf numFmtId="181" fontId="10" fillId="5" borderId="31" xfId="0" applyNumberFormat="1" applyFont="1" applyFill="1" applyBorder="1" applyAlignment="1">
      <alignment horizontal="right" vertical="center"/>
    </xf>
    <xf numFmtId="181" fontId="0" fillId="6" borderId="9" xfId="0" applyNumberFormat="1" applyFill="1" applyBorder="1" applyAlignment="1">
      <alignment horizontal="right" vertical="center"/>
    </xf>
    <xf numFmtId="181" fontId="0" fillId="6" borderId="31" xfId="0" applyNumberFormat="1" applyFill="1" applyBorder="1" applyAlignment="1">
      <alignment horizontal="right" vertical="center"/>
    </xf>
    <xf numFmtId="181" fontId="0" fillId="2" borderId="31" xfId="0" applyNumberFormat="1" applyFill="1" applyBorder="1" applyAlignment="1">
      <alignment horizontal="right" vertical="center"/>
    </xf>
    <xf numFmtId="181" fontId="0" fillId="2" borderId="9" xfId="0" applyNumberFormat="1" applyFill="1" applyBorder="1" applyAlignment="1">
      <alignment horizontal="right" vertical="center"/>
    </xf>
    <xf numFmtId="0" fontId="0" fillId="0" borderId="13" xfId="0" applyBorder="1" applyAlignment="1">
      <alignment horizontal="center" vertical="center"/>
    </xf>
    <xf numFmtId="0" fontId="0" fillId="0" borderId="13" xfId="0" applyBorder="1">
      <alignment vertical="center"/>
    </xf>
    <xf numFmtId="0" fontId="0" fillId="0" borderId="4" xfId="0" applyBorder="1">
      <alignment vertical="center"/>
    </xf>
    <xf numFmtId="0" fontId="0" fillId="0" borderId="17" xfId="0" applyBorder="1">
      <alignment vertical="center"/>
    </xf>
    <xf numFmtId="43" fontId="5" fillId="0" borderId="0" xfId="2" applyNumberFormat="1">
      <alignment vertical="center"/>
    </xf>
    <xf numFmtId="41" fontId="23" fillId="3" borderId="2" xfId="3" applyFont="1" applyFill="1" applyBorder="1" applyAlignment="1" applyProtection="1">
      <alignment horizontal="center" vertical="center"/>
      <protection locked="0"/>
    </xf>
    <xf numFmtId="41" fontId="24" fillId="8" borderId="2" xfId="3" applyFont="1" applyFill="1" applyBorder="1" applyAlignment="1" applyProtection="1">
      <alignment horizontal="center" vertical="center"/>
      <protection locked="0"/>
    </xf>
    <xf numFmtId="41" fontId="10" fillId="0" borderId="2" xfId="3" applyFont="1" applyBorder="1" applyAlignment="1" applyProtection="1">
      <alignment horizontal="center" vertical="center"/>
      <protection locked="0"/>
    </xf>
    <xf numFmtId="41" fontId="26" fillId="2" borderId="2" xfId="3" applyFont="1" applyFill="1" applyBorder="1" applyAlignment="1" applyProtection="1">
      <alignment horizontal="center" vertical="center"/>
      <protection locked="0"/>
    </xf>
    <xf numFmtId="0" fontId="5" fillId="0" borderId="2" xfId="2" applyBorder="1" applyAlignment="1">
      <alignment horizontal="center" vertical="center"/>
    </xf>
    <xf numFmtId="41" fontId="26" fillId="0" borderId="2" xfId="3" applyFont="1" applyBorder="1" applyProtection="1">
      <alignment vertical="center"/>
      <protection locked="0"/>
    </xf>
    <xf numFmtId="41" fontId="26" fillId="0" borderId="2" xfId="3" applyFont="1" applyBorder="1" applyAlignment="1" applyProtection="1">
      <alignment horizontal="center" vertical="center" wrapText="1"/>
      <protection locked="0"/>
    </xf>
    <xf numFmtId="41" fontId="34" fillId="0" borderId="2" xfId="3" applyFont="1" applyBorder="1" applyAlignment="1" applyProtection="1">
      <alignment horizontal="center" vertical="center"/>
      <protection locked="0"/>
    </xf>
    <xf numFmtId="41" fontId="26" fillId="0" borderId="2" xfId="3" applyFont="1" applyBorder="1" applyAlignment="1" applyProtection="1">
      <alignment horizontal="center" vertical="center"/>
      <protection locked="0"/>
    </xf>
    <xf numFmtId="0" fontId="5" fillId="0" borderId="2" xfId="2" applyBorder="1">
      <alignment vertical="center"/>
    </xf>
    <xf numFmtId="14" fontId="6" fillId="0" borderId="2" xfId="3" applyNumberFormat="1" applyFont="1" applyBorder="1" applyAlignment="1" applyProtection="1">
      <alignment horizontal="center" vertical="center" wrapText="1"/>
      <protection locked="0"/>
    </xf>
    <xf numFmtId="41" fontId="31" fillId="2" borderId="2" xfId="3" applyFont="1" applyFill="1" applyBorder="1" applyAlignment="1" applyProtection="1">
      <alignment horizontal="center" vertical="center"/>
      <protection locked="0"/>
    </xf>
    <xf numFmtId="41" fontId="34" fillId="0" borderId="2" xfId="3" applyFont="1" applyBorder="1" applyAlignment="1" applyProtection="1">
      <alignment horizontal="center" vertical="center" wrapText="1"/>
      <protection locked="0"/>
    </xf>
    <xf numFmtId="14" fontId="10" fillId="0" borderId="2" xfId="3" applyNumberFormat="1" applyFont="1" applyBorder="1" applyAlignment="1" applyProtection="1">
      <alignment horizontal="center" vertical="center"/>
      <protection locked="0"/>
    </xf>
    <xf numFmtId="41" fontId="10" fillId="2" borderId="2" xfId="3" applyFont="1" applyFill="1" applyBorder="1" applyAlignment="1" applyProtection="1">
      <alignment horizontal="center" vertical="center"/>
      <protection locked="0"/>
    </xf>
    <xf numFmtId="41" fontId="11" fillId="0" borderId="2" xfId="3" applyFont="1" applyBorder="1" applyAlignment="1" applyProtection="1">
      <alignment horizontal="center" vertical="center"/>
      <protection locked="0"/>
    </xf>
    <xf numFmtId="176" fontId="11" fillId="0" borderId="2" xfId="1" applyNumberFormat="1" applyFont="1" applyBorder="1" applyAlignment="1" applyProtection="1">
      <alignment horizontal="center" vertical="center"/>
      <protection locked="0"/>
    </xf>
    <xf numFmtId="9" fontId="11" fillId="0" borderId="2" xfId="6" applyFont="1" applyBorder="1" applyAlignment="1" applyProtection="1">
      <alignment horizontal="center" vertical="center"/>
      <protection locked="0"/>
    </xf>
    <xf numFmtId="182" fontId="11" fillId="0" borderId="2" xfId="6" applyNumberFormat="1" applyFont="1" applyBorder="1" applyAlignment="1" applyProtection="1">
      <alignment horizontal="center" vertical="center"/>
      <protection locked="0"/>
    </xf>
    <xf numFmtId="41" fontId="11" fillId="8" borderId="2" xfId="3" applyFont="1" applyFill="1" applyBorder="1" applyAlignment="1" applyProtection="1">
      <alignment horizontal="center" vertical="center"/>
      <protection locked="0"/>
    </xf>
    <xf numFmtId="41" fontId="6" fillId="0" borderId="2" xfId="3" applyFont="1" applyBorder="1" applyAlignment="1" applyProtection="1">
      <alignment horizontal="center" vertical="center"/>
      <protection locked="0"/>
    </xf>
    <xf numFmtId="0" fontId="1" fillId="0" borderId="0" xfId="7">
      <alignment vertical="center"/>
    </xf>
    <xf numFmtId="0" fontId="1" fillId="0" borderId="0" xfId="7" applyAlignment="1">
      <alignment horizontal="center" vertical="center"/>
    </xf>
    <xf numFmtId="184" fontId="1" fillId="8" borderId="2" xfId="7" applyNumberFormat="1" applyFill="1" applyBorder="1" applyAlignment="1">
      <alignment horizontal="center" vertical="center"/>
    </xf>
    <xf numFmtId="0" fontId="1" fillId="8" borderId="2" xfId="7" applyFill="1" applyBorder="1" applyAlignment="1">
      <alignment horizontal="center" vertical="center"/>
    </xf>
    <xf numFmtId="185" fontId="1" fillId="8" borderId="2" xfId="7" applyNumberFormat="1" applyFill="1" applyBorder="1" applyAlignment="1">
      <alignment horizontal="center" vertical="center"/>
    </xf>
    <xf numFmtId="186" fontId="1" fillId="8" borderId="2" xfId="7" applyNumberFormat="1" applyFill="1" applyBorder="1" applyAlignment="1">
      <alignment horizontal="center" vertical="center"/>
    </xf>
    <xf numFmtId="187" fontId="10" fillId="3" borderId="37" xfId="7" applyNumberFormat="1" applyFont="1" applyFill="1" applyBorder="1" applyAlignment="1">
      <alignment horizontal="centerContinuous" vertical="center"/>
    </xf>
    <xf numFmtId="187" fontId="10" fillId="3" borderId="38" xfId="7" applyNumberFormat="1" applyFont="1" applyFill="1" applyBorder="1" applyAlignment="1">
      <alignment horizontal="centerContinuous" vertical="center"/>
    </xf>
    <xf numFmtId="187" fontId="10" fillId="3" borderId="39" xfId="7" applyNumberFormat="1" applyFont="1" applyFill="1" applyBorder="1" applyAlignment="1">
      <alignment horizontal="centerContinuous" vertical="center"/>
    </xf>
    <xf numFmtId="188" fontId="10" fillId="3" borderId="40" xfId="7" applyNumberFormat="1" applyFont="1" applyFill="1" applyBorder="1" applyAlignment="1">
      <alignment horizontal="center" vertical="center"/>
    </xf>
    <xf numFmtId="188" fontId="10" fillId="3" borderId="38" xfId="7" applyNumberFormat="1" applyFont="1" applyFill="1" applyBorder="1" applyAlignment="1">
      <alignment horizontal="center" vertical="center"/>
    </xf>
    <xf numFmtId="188" fontId="10" fillId="3" borderId="39" xfId="7" applyNumberFormat="1" applyFont="1" applyFill="1" applyBorder="1" applyAlignment="1">
      <alignment horizontal="center" vertical="center"/>
    </xf>
    <xf numFmtId="187" fontId="1" fillId="0" borderId="0" xfId="7" applyNumberFormat="1" applyAlignment="1">
      <alignment horizontal="center" vertical="center"/>
    </xf>
    <xf numFmtId="189" fontId="10" fillId="3" borderId="40" xfId="7" applyNumberFormat="1" applyFont="1" applyFill="1" applyBorder="1" applyAlignment="1">
      <alignment horizontal="center" vertical="center"/>
    </xf>
    <xf numFmtId="189" fontId="10" fillId="3" borderId="38" xfId="7" applyNumberFormat="1" applyFont="1" applyFill="1" applyBorder="1" applyAlignment="1">
      <alignment horizontal="center" vertical="center"/>
    </xf>
    <xf numFmtId="189" fontId="10" fillId="3" borderId="39" xfId="7" applyNumberFormat="1" applyFont="1" applyFill="1" applyBorder="1" applyAlignment="1">
      <alignment horizontal="center" vertical="center"/>
    </xf>
    <xf numFmtId="41" fontId="0" fillId="0" borderId="44" xfId="8" applyFont="1" applyBorder="1" applyAlignment="1">
      <alignment horizontal="center" vertical="center"/>
    </xf>
    <xf numFmtId="41" fontId="0" fillId="0" borderId="42" xfId="8" applyFont="1" applyBorder="1" applyAlignment="1">
      <alignment horizontal="center" vertical="center"/>
    </xf>
    <xf numFmtId="41" fontId="0" fillId="0" borderId="43" xfId="8" applyFont="1" applyBorder="1" applyAlignment="1">
      <alignment horizontal="center" vertical="center"/>
    </xf>
    <xf numFmtId="0" fontId="1" fillId="0" borderId="41" xfId="7" applyBorder="1" applyAlignment="1">
      <alignment horizontal="center" vertical="center"/>
    </xf>
    <xf numFmtId="0" fontId="1" fillId="0" borderId="42" xfId="7" applyBorder="1" applyAlignment="1">
      <alignment horizontal="center" vertical="center"/>
    </xf>
    <xf numFmtId="0" fontId="1" fillId="0" borderId="43" xfId="7" applyBorder="1" applyAlignment="1">
      <alignment horizontal="center" vertical="center"/>
    </xf>
    <xf numFmtId="41" fontId="0" fillId="0" borderId="0" xfId="8" applyFont="1">
      <alignment vertical="center"/>
    </xf>
    <xf numFmtId="41" fontId="0" fillId="0" borderId="0" xfId="8" applyFont="1" applyAlignment="1">
      <alignment horizontal="center" vertical="center"/>
    </xf>
    <xf numFmtId="14" fontId="1" fillId="8" borderId="2" xfId="7" applyNumberFormat="1" applyFill="1" applyBorder="1" applyAlignment="1">
      <alignment horizontal="center" vertical="center"/>
    </xf>
    <xf numFmtId="0" fontId="1" fillId="0" borderId="38" xfId="7" applyBorder="1" applyAlignment="1">
      <alignment horizontal="center" vertical="center"/>
    </xf>
    <xf numFmtId="41" fontId="8" fillId="0" borderId="2" xfId="3" applyFont="1" applyBorder="1" applyAlignment="1" applyProtection="1">
      <alignment horizontal="center" vertical="center" wrapText="1"/>
      <protection locked="0"/>
    </xf>
    <xf numFmtId="41" fontId="35" fillId="0" borderId="2" xfId="3" applyFont="1" applyBorder="1" applyAlignment="1" applyProtection="1">
      <alignment horizontal="center" vertical="center"/>
      <protection locked="0"/>
    </xf>
    <xf numFmtId="41" fontId="16" fillId="0" borderId="2" xfId="3" applyFont="1" applyBorder="1" applyAlignment="1" applyProtection="1">
      <alignment horizontal="center" vertical="center"/>
      <protection locked="0"/>
    </xf>
    <xf numFmtId="176" fontId="8" fillId="0" borderId="2" xfId="1" applyNumberFormat="1" applyFont="1" applyFill="1" applyBorder="1" applyAlignment="1" applyProtection="1">
      <alignment horizontal="center" vertical="center"/>
      <protection locked="0"/>
    </xf>
    <xf numFmtId="181" fontId="0" fillId="2" borderId="8" xfId="0" applyNumberFormat="1" applyFill="1" applyBorder="1" applyAlignment="1">
      <alignment horizontal="right" vertical="center"/>
    </xf>
    <xf numFmtId="41" fontId="0" fillId="0" borderId="45" xfId="8" applyFont="1" applyBorder="1" applyAlignment="1">
      <alignment horizontal="center" vertical="center"/>
    </xf>
    <xf numFmtId="0" fontId="1" fillId="0" borderId="37" xfId="7" applyBorder="1" applyAlignment="1">
      <alignment horizontal="center" vertical="center"/>
    </xf>
    <xf numFmtId="0" fontId="1" fillId="0" borderId="39" xfId="7" applyBorder="1" applyAlignment="1">
      <alignment horizontal="center" vertical="center"/>
    </xf>
    <xf numFmtId="41" fontId="0" fillId="0" borderId="47" xfId="8" applyFont="1" applyBorder="1" applyAlignment="1">
      <alignment horizontal="center" vertical="center"/>
    </xf>
    <xf numFmtId="41" fontId="0" fillId="0" borderId="40" xfId="8" applyFont="1" applyBorder="1" applyAlignment="1">
      <alignment horizontal="center" vertical="center"/>
    </xf>
    <xf numFmtId="41" fontId="0" fillId="0" borderId="38" xfId="8" applyFont="1" applyBorder="1" applyAlignment="1">
      <alignment horizontal="center" vertical="center"/>
    </xf>
    <xf numFmtId="41" fontId="0" fillId="0" borderId="39" xfId="8" applyFont="1" applyBorder="1" applyAlignment="1">
      <alignment horizontal="center" vertical="center"/>
    </xf>
    <xf numFmtId="0" fontId="1" fillId="0" borderId="48" xfId="7" applyBorder="1" applyAlignment="1">
      <alignment horizontal="center" vertical="center"/>
    </xf>
    <xf numFmtId="0" fontId="1" fillId="0" borderId="49" xfId="7" applyBorder="1" applyAlignment="1">
      <alignment horizontal="center" vertical="center"/>
    </xf>
    <xf numFmtId="0" fontId="1" fillId="0" borderId="50" xfId="7" applyBorder="1" applyAlignment="1">
      <alignment horizontal="center" vertical="center"/>
    </xf>
    <xf numFmtId="41" fontId="0" fillId="0" borderId="51" xfId="8" applyFont="1" applyBorder="1" applyAlignment="1">
      <alignment horizontal="center" vertical="center"/>
    </xf>
    <xf numFmtId="41" fontId="0" fillId="0" borderId="52" xfId="8" applyFont="1" applyBorder="1" applyAlignment="1">
      <alignment horizontal="center" vertical="center"/>
    </xf>
    <xf numFmtId="41" fontId="0" fillId="0" borderId="49" xfId="8" applyFont="1" applyBorder="1" applyAlignment="1">
      <alignment horizontal="center" vertical="center"/>
    </xf>
    <xf numFmtId="41" fontId="0" fillId="0" borderId="50" xfId="8" applyFont="1" applyBorder="1" applyAlignment="1">
      <alignment horizontal="center" vertical="center"/>
    </xf>
    <xf numFmtId="41" fontId="0" fillId="0" borderId="46" xfId="8" applyFont="1" applyBorder="1" applyAlignment="1">
      <alignment horizontal="center" vertical="center"/>
    </xf>
    <xf numFmtId="41" fontId="0" fillId="0" borderId="4" xfId="8" applyFont="1" applyBorder="1" applyAlignment="1">
      <alignment horizontal="center" vertical="center"/>
    </xf>
    <xf numFmtId="0" fontId="1" fillId="0" borderId="53" xfId="7" applyBorder="1" applyAlignment="1">
      <alignment horizontal="center" vertical="center"/>
    </xf>
    <xf numFmtId="0" fontId="1" fillId="0" borderId="54" xfId="7" applyBorder="1" applyAlignment="1">
      <alignment horizontal="center" vertical="center"/>
    </xf>
    <xf numFmtId="0" fontId="1" fillId="0" borderId="55" xfId="7" applyBorder="1" applyAlignment="1">
      <alignment horizontal="center" vertical="center"/>
    </xf>
    <xf numFmtId="41" fontId="0" fillId="0" borderId="56" xfId="8" applyFont="1" applyBorder="1" applyAlignment="1">
      <alignment horizontal="center" vertical="center"/>
    </xf>
    <xf numFmtId="41" fontId="0" fillId="0" borderId="57" xfId="8" applyFont="1" applyBorder="1" applyAlignment="1">
      <alignment horizontal="center" vertical="center"/>
    </xf>
    <xf numFmtId="41" fontId="0" fillId="0" borderId="54" xfId="8" applyFont="1" applyBorder="1" applyAlignment="1">
      <alignment horizontal="center" vertical="center"/>
    </xf>
    <xf numFmtId="41" fontId="0" fillId="0" borderId="55" xfId="8" applyFont="1" applyBorder="1" applyAlignment="1">
      <alignment horizontal="center" vertical="center"/>
    </xf>
    <xf numFmtId="187" fontId="10" fillId="3" borderId="30" xfId="7" applyNumberFormat="1" applyFont="1" applyFill="1" applyBorder="1" applyAlignment="1">
      <alignment horizontal="centerContinuous" vertical="center"/>
    </xf>
    <xf numFmtId="41" fontId="0" fillId="0" borderId="2" xfId="8" applyFont="1" applyBorder="1" applyAlignment="1">
      <alignment horizontal="center" vertical="center"/>
    </xf>
    <xf numFmtId="41" fontId="0" fillId="0" borderId="58" xfId="8" applyFont="1" applyBorder="1" applyAlignment="1">
      <alignment horizontal="center" vertical="center"/>
    </xf>
    <xf numFmtId="186" fontId="1" fillId="0" borderId="0" xfId="7" applyNumberFormat="1" applyAlignment="1">
      <alignment horizontal="center" vertical="center"/>
    </xf>
    <xf numFmtId="187" fontId="10" fillId="3" borderId="2" xfId="7" applyNumberFormat="1" applyFont="1" applyFill="1" applyBorder="1" applyAlignment="1">
      <alignment horizontal="center" vertical="center"/>
    </xf>
    <xf numFmtId="41" fontId="0" fillId="8" borderId="2" xfId="8" applyFont="1" applyFill="1" applyBorder="1" applyAlignment="1">
      <alignment horizontal="center" vertical="center"/>
    </xf>
    <xf numFmtId="187" fontId="10" fillId="3" borderId="47" xfId="7" applyNumberFormat="1" applyFont="1" applyFill="1" applyBorder="1" applyAlignment="1">
      <alignment horizontal="centerContinuous" vertical="center"/>
    </xf>
    <xf numFmtId="187" fontId="10" fillId="3" borderId="53" xfId="7" applyNumberFormat="1" applyFont="1" applyFill="1" applyBorder="1" applyAlignment="1">
      <alignment horizontal="center" vertical="center"/>
    </xf>
    <xf numFmtId="187" fontId="10" fillId="3" borderId="54" xfId="7" applyNumberFormat="1" applyFont="1" applyFill="1" applyBorder="1" applyAlignment="1">
      <alignment horizontal="center" vertical="center"/>
    </xf>
    <xf numFmtId="187" fontId="10" fillId="3" borderId="55" xfId="7" applyNumberFormat="1" applyFont="1" applyFill="1" applyBorder="1" applyAlignment="1">
      <alignment horizontal="center" vertical="center"/>
    </xf>
    <xf numFmtId="187" fontId="10" fillId="3" borderId="55" xfId="7" applyNumberFormat="1" applyFont="1" applyFill="1" applyBorder="1" applyAlignment="1">
      <alignment horizontal="center" vertical="center" wrapText="1"/>
    </xf>
    <xf numFmtId="187" fontId="10" fillId="3" borderId="56" xfId="7" applyNumberFormat="1" applyFont="1" applyFill="1" applyBorder="1" applyAlignment="1">
      <alignment horizontal="center" vertical="center" wrapText="1"/>
    </xf>
    <xf numFmtId="187" fontId="10" fillId="3" borderId="56" xfId="7" applyNumberFormat="1" applyFont="1" applyFill="1" applyBorder="1" applyAlignment="1">
      <alignment horizontal="center" vertical="center"/>
    </xf>
    <xf numFmtId="0" fontId="7" fillId="0" borderId="0" xfId="4" applyAlignment="1">
      <alignment vertical="center"/>
    </xf>
    <xf numFmtId="0" fontId="7" fillId="0" borderId="0" xfId="4" applyAlignment="1">
      <alignment horizontal="center" vertical="center"/>
    </xf>
    <xf numFmtId="0" fontId="7" fillId="0" borderId="2" xfId="4" applyBorder="1" applyAlignment="1">
      <alignment horizontal="center" vertical="center"/>
    </xf>
    <xf numFmtId="0" fontId="7" fillId="0" borderId="4" xfId="4" applyBorder="1" applyAlignment="1">
      <alignment horizontal="center" vertical="center"/>
    </xf>
    <xf numFmtId="0" fontId="10" fillId="3" borderId="2" xfId="4" applyFont="1" applyFill="1" applyBorder="1" applyAlignment="1">
      <alignment horizontal="center" vertical="center"/>
    </xf>
    <xf numFmtId="14" fontId="10" fillId="3" borderId="2" xfId="4" applyNumberFormat="1" applyFont="1" applyFill="1" applyBorder="1" applyAlignment="1">
      <alignment horizontal="centerContinuous" vertical="center"/>
    </xf>
    <xf numFmtId="41" fontId="12" fillId="0" borderId="63" xfId="5" applyFont="1" applyBorder="1" applyAlignment="1">
      <alignment vertical="center"/>
    </xf>
    <xf numFmtId="41" fontId="12" fillId="0" borderId="64" xfId="5" applyFont="1" applyBorder="1" applyAlignment="1">
      <alignment vertical="center"/>
    </xf>
    <xf numFmtId="41" fontId="12" fillId="0" borderId="65" xfId="5" applyFont="1" applyBorder="1" applyAlignment="1">
      <alignment vertical="center"/>
    </xf>
    <xf numFmtId="41" fontId="13" fillId="0" borderId="66" xfId="5" applyFont="1" applyBorder="1" applyAlignment="1">
      <alignment vertical="center"/>
    </xf>
    <xf numFmtId="41" fontId="13" fillId="0" borderId="64" xfId="5" applyFont="1" applyBorder="1" applyAlignment="1">
      <alignment vertical="center"/>
    </xf>
    <xf numFmtId="41" fontId="13" fillId="0" borderId="67" xfId="5" applyFont="1" applyBorder="1" applyAlignment="1">
      <alignment vertical="center"/>
    </xf>
    <xf numFmtId="41" fontId="13" fillId="0" borderId="63" xfId="5" applyFont="1" applyBorder="1" applyAlignment="1">
      <alignment vertical="center"/>
    </xf>
    <xf numFmtId="41" fontId="13" fillId="0" borderId="65" xfId="5" applyFont="1" applyBorder="1" applyAlignment="1">
      <alignment vertical="center"/>
    </xf>
    <xf numFmtId="41" fontId="12" fillId="0" borderId="66" xfId="5" applyFont="1" applyBorder="1" applyAlignment="1">
      <alignment vertical="center"/>
    </xf>
    <xf numFmtId="41" fontId="12" fillId="0" borderId="67" xfId="5" applyFont="1" applyBorder="1" applyAlignment="1">
      <alignment vertical="center"/>
    </xf>
    <xf numFmtId="41" fontId="41" fillId="0" borderId="38" xfId="8" applyFont="1" applyBorder="1" applyAlignment="1">
      <alignment horizontal="center" vertical="center"/>
    </xf>
    <xf numFmtId="41" fontId="41" fillId="0" borderId="39" xfId="8" applyFont="1" applyBorder="1" applyAlignment="1">
      <alignment horizontal="center" vertical="center"/>
    </xf>
    <xf numFmtId="41" fontId="41" fillId="0" borderId="54" xfId="8" applyFont="1" applyBorder="1" applyAlignment="1">
      <alignment horizontal="center" vertical="center"/>
    </xf>
    <xf numFmtId="41" fontId="41" fillId="0" borderId="55" xfId="8" applyFont="1" applyBorder="1" applyAlignment="1">
      <alignment horizontal="center" vertical="center"/>
    </xf>
    <xf numFmtId="188" fontId="10" fillId="3" borderId="2" xfId="7" applyNumberFormat="1" applyFont="1" applyFill="1" applyBorder="1" applyAlignment="1">
      <alignment horizontal="center" vertical="center"/>
    </xf>
    <xf numFmtId="189" fontId="10" fillId="3" borderId="2" xfId="7" applyNumberFormat="1" applyFont="1" applyFill="1" applyBorder="1" applyAlignment="1">
      <alignment horizontal="center" vertical="center"/>
    </xf>
    <xf numFmtId="189" fontId="10" fillId="3" borderId="56" xfId="7" applyNumberFormat="1" applyFont="1" applyFill="1" applyBorder="1" applyAlignment="1">
      <alignment horizontal="center" vertical="center"/>
    </xf>
    <xf numFmtId="188" fontId="10" fillId="3" borderId="56" xfId="7" applyNumberFormat="1" applyFont="1" applyFill="1" applyBorder="1" applyAlignment="1">
      <alignment horizontal="center" vertical="center"/>
    </xf>
    <xf numFmtId="41" fontId="41" fillId="0" borderId="40" xfId="8" applyFont="1" applyBorder="1" applyAlignment="1">
      <alignment vertical="center"/>
    </xf>
    <xf numFmtId="41" fontId="41" fillId="0" borderId="38" xfId="8" applyFont="1" applyBorder="1" applyAlignment="1">
      <alignment vertical="center"/>
    </xf>
    <xf numFmtId="41" fontId="41" fillId="0" borderId="57" xfId="8" applyFont="1" applyBorder="1" applyAlignment="1">
      <alignment vertical="center"/>
    </xf>
    <xf numFmtId="41" fontId="41" fillId="0" borderId="54" xfId="8" applyFont="1" applyBorder="1" applyAlignment="1">
      <alignment vertical="center"/>
    </xf>
    <xf numFmtId="41" fontId="41" fillId="0" borderId="44" xfId="8" applyFont="1" applyBorder="1" applyAlignment="1">
      <alignment vertical="center"/>
    </xf>
    <xf numFmtId="41" fontId="41" fillId="0" borderId="68" xfId="8" applyFont="1" applyBorder="1" applyAlignment="1">
      <alignment horizontal="center" vertical="center"/>
    </xf>
    <xf numFmtId="41" fontId="41" fillId="0" borderId="37" xfId="8" applyFont="1" applyBorder="1" applyAlignment="1">
      <alignment vertical="center"/>
    </xf>
    <xf numFmtId="41" fontId="41" fillId="0" borderId="53" xfId="8" applyFont="1" applyBorder="1" applyAlignment="1">
      <alignment vertical="center"/>
    </xf>
    <xf numFmtId="0" fontId="10" fillId="0" borderId="0" xfId="7" applyFont="1" applyAlignment="1">
      <alignment horizontal="center" vertical="center"/>
    </xf>
    <xf numFmtId="41" fontId="41" fillId="0" borderId="55" xfId="8" applyFont="1" applyBorder="1" applyAlignment="1">
      <alignment vertical="center"/>
    </xf>
    <xf numFmtId="41" fontId="41" fillId="0" borderId="43" xfId="8" applyFont="1" applyBorder="1" applyAlignment="1">
      <alignment vertical="center"/>
    </xf>
    <xf numFmtId="41" fontId="41" fillId="0" borderId="39" xfId="8" applyFont="1" applyBorder="1" applyAlignment="1">
      <alignment vertical="center"/>
    </xf>
    <xf numFmtId="184" fontId="10" fillId="9" borderId="4" xfId="7" applyNumberFormat="1" applyFont="1" applyFill="1" applyBorder="1" applyAlignment="1">
      <alignment horizontal="center" vertical="center"/>
    </xf>
    <xf numFmtId="14" fontId="10" fillId="9" borderId="4" xfId="7" applyNumberFormat="1" applyFont="1" applyFill="1" applyBorder="1" applyAlignment="1">
      <alignment horizontal="center" vertical="center"/>
    </xf>
    <xf numFmtId="0" fontId="10" fillId="9" borderId="4" xfId="7" applyFont="1" applyFill="1" applyBorder="1" applyAlignment="1">
      <alignment horizontal="center" vertical="center"/>
    </xf>
    <xf numFmtId="190" fontId="10" fillId="9" borderId="2" xfId="7" applyNumberFormat="1" applyFont="1" applyFill="1" applyBorder="1" applyAlignment="1">
      <alignment horizontal="center" vertical="center"/>
    </xf>
    <xf numFmtId="0" fontId="46" fillId="0" borderId="0" xfId="4" applyFont="1" applyAlignment="1">
      <alignment vertical="center"/>
    </xf>
    <xf numFmtId="0" fontId="46" fillId="0" borderId="0" xfId="0" applyFont="1">
      <alignment vertical="center"/>
    </xf>
    <xf numFmtId="184" fontId="47" fillId="9" borderId="4" xfId="7" applyNumberFormat="1" applyFont="1" applyFill="1" applyBorder="1" applyAlignment="1">
      <alignment horizontal="center" vertical="center"/>
    </xf>
    <xf numFmtId="14" fontId="47" fillId="9" borderId="4" xfId="7" applyNumberFormat="1" applyFont="1" applyFill="1" applyBorder="1" applyAlignment="1">
      <alignment horizontal="center" vertical="center"/>
    </xf>
    <xf numFmtId="0" fontId="47" fillId="9" borderId="4" xfId="7" applyFont="1" applyFill="1" applyBorder="1" applyAlignment="1">
      <alignment horizontal="center" vertical="center"/>
    </xf>
    <xf numFmtId="185" fontId="47" fillId="9" borderId="4" xfId="7" applyNumberFormat="1" applyFont="1" applyFill="1" applyBorder="1" applyAlignment="1">
      <alignment horizontal="center" vertical="center"/>
    </xf>
    <xf numFmtId="191" fontId="47" fillId="9" borderId="2" xfId="7" applyNumberFormat="1" applyFont="1" applyFill="1" applyBorder="1" applyAlignment="1">
      <alignment horizontal="center" vertical="center"/>
    </xf>
    <xf numFmtId="186" fontId="47" fillId="0" borderId="0" xfId="7" applyNumberFormat="1" applyFont="1" applyAlignment="1">
      <alignment horizontal="center" vertical="center"/>
    </xf>
    <xf numFmtId="14" fontId="47" fillId="3" borderId="2" xfId="4" applyNumberFormat="1" applyFont="1" applyFill="1" applyBorder="1" applyAlignment="1">
      <alignment horizontal="centerContinuous" vertical="center"/>
    </xf>
    <xf numFmtId="188" fontId="47" fillId="3" borderId="2" xfId="7" applyNumberFormat="1" applyFont="1" applyFill="1" applyBorder="1" applyAlignment="1">
      <alignment horizontal="center" vertical="center"/>
    </xf>
    <xf numFmtId="0" fontId="47" fillId="3" borderId="2" xfId="4" applyFont="1" applyFill="1" applyBorder="1" applyAlignment="1">
      <alignment horizontal="center" vertical="center"/>
    </xf>
    <xf numFmtId="0" fontId="47" fillId="3" borderId="2" xfId="4" applyFont="1" applyFill="1" applyBorder="1" applyAlignment="1">
      <alignment horizontal="center" vertical="center" wrapText="1"/>
    </xf>
    <xf numFmtId="189" fontId="47" fillId="3" borderId="56" xfId="7" applyNumberFormat="1" applyFont="1" applyFill="1" applyBorder="1" applyAlignment="1">
      <alignment horizontal="center" vertical="center"/>
    </xf>
    <xf numFmtId="189" fontId="47" fillId="3" borderId="2" xfId="7" applyNumberFormat="1" applyFont="1" applyFill="1" applyBorder="1" applyAlignment="1">
      <alignment horizontal="center" vertical="center"/>
    </xf>
    <xf numFmtId="41" fontId="46" fillId="0" borderId="4" xfId="5" applyFont="1" applyBorder="1" applyAlignment="1">
      <alignment horizontal="center" vertical="center"/>
    </xf>
    <xf numFmtId="41" fontId="46" fillId="0" borderId="2" xfId="5" applyFont="1" applyBorder="1" applyAlignment="1">
      <alignment horizontal="center" vertical="center"/>
    </xf>
    <xf numFmtId="41" fontId="48" fillId="0" borderId="44" xfId="8" applyFont="1" applyBorder="1" applyAlignment="1">
      <alignment horizontal="center" vertical="center"/>
    </xf>
    <xf numFmtId="41" fontId="48" fillId="0" borderId="42" xfId="8" applyFont="1" applyBorder="1" applyAlignment="1">
      <alignment horizontal="center" vertical="center"/>
    </xf>
    <xf numFmtId="41" fontId="48" fillId="0" borderId="43" xfId="8" applyFont="1" applyBorder="1" applyAlignment="1">
      <alignment horizontal="center" vertical="center"/>
    </xf>
    <xf numFmtId="41" fontId="49" fillId="9" borderId="40" xfId="8" applyFont="1" applyFill="1" applyBorder="1" applyAlignment="1">
      <alignment horizontal="center" vertical="center"/>
    </xf>
    <xf numFmtId="41" fontId="48" fillId="0" borderId="40" xfId="8" applyFont="1" applyBorder="1" applyAlignment="1">
      <alignment horizontal="center" vertical="center"/>
    </xf>
    <xf numFmtId="41" fontId="48" fillId="0" borderId="38" xfId="8" applyFont="1" applyBorder="1" applyAlignment="1">
      <alignment horizontal="center" vertical="center"/>
    </xf>
    <xf numFmtId="41" fontId="48" fillId="0" borderId="39" xfId="8" applyFont="1" applyBorder="1" applyAlignment="1">
      <alignment horizontal="center" vertical="center"/>
    </xf>
    <xf numFmtId="41" fontId="48" fillId="0" borderId="57" xfId="8" applyFont="1" applyBorder="1" applyAlignment="1">
      <alignment horizontal="center" vertical="center"/>
    </xf>
    <xf numFmtId="41" fontId="48" fillId="0" borderId="54" xfId="8" applyFont="1" applyBorder="1" applyAlignment="1">
      <alignment horizontal="center" vertical="center"/>
    </xf>
    <xf numFmtId="41" fontId="48" fillId="0" borderId="55" xfId="8" applyFont="1" applyBorder="1" applyAlignment="1">
      <alignment horizontal="center" vertical="center"/>
    </xf>
    <xf numFmtId="0" fontId="46" fillId="0" borderId="0" xfId="4" applyFont="1" applyAlignment="1">
      <alignment horizontal="center" vertical="center"/>
    </xf>
    <xf numFmtId="41" fontId="46" fillId="0" borderId="0" xfId="5" applyFont="1" applyBorder="1" applyAlignment="1">
      <alignment horizontal="center" vertical="center"/>
    </xf>
    <xf numFmtId="41" fontId="46" fillId="0" borderId="0" xfId="4" applyNumberFormat="1" applyFont="1" applyAlignment="1">
      <alignment horizontal="center" vertical="center"/>
    </xf>
    <xf numFmtId="41" fontId="46" fillId="0" borderId="0" xfId="8" applyFont="1" applyBorder="1" applyAlignment="1">
      <alignment horizontal="center" vertical="center"/>
    </xf>
    <xf numFmtId="186" fontId="47" fillId="9" borderId="2" xfId="7" applyNumberFormat="1" applyFont="1" applyFill="1" applyBorder="1" applyAlignment="1">
      <alignment horizontal="center" vertical="center"/>
    </xf>
    <xf numFmtId="41" fontId="48" fillId="0" borderId="41" xfId="8" applyFont="1" applyBorder="1" applyAlignment="1">
      <alignment horizontal="center" vertical="center"/>
    </xf>
    <xf numFmtId="41" fontId="49" fillId="9" borderId="37" xfId="8" applyFont="1" applyFill="1" applyBorder="1" applyAlignment="1">
      <alignment horizontal="center" vertical="center"/>
    </xf>
    <xf numFmtId="41" fontId="49" fillId="9" borderId="47" xfId="8" applyFont="1" applyFill="1" applyBorder="1" applyAlignment="1">
      <alignment horizontal="center" vertical="center"/>
    </xf>
    <xf numFmtId="41" fontId="48" fillId="0" borderId="37" xfId="8" applyFont="1" applyBorder="1" applyAlignment="1">
      <alignment horizontal="center" vertical="center"/>
    </xf>
    <xf numFmtId="41" fontId="48" fillId="0" borderId="53" xfId="8" applyFont="1" applyBorder="1" applyAlignment="1">
      <alignment horizontal="center" vertical="center"/>
    </xf>
    <xf numFmtId="41" fontId="49" fillId="9" borderId="53" xfId="8" applyFont="1" applyFill="1" applyBorder="1" applyAlignment="1">
      <alignment horizontal="center" vertical="center"/>
    </xf>
    <xf numFmtId="41" fontId="49" fillId="9" borderId="57" xfId="8" applyFont="1" applyFill="1" applyBorder="1" applyAlignment="1">
      <alignment horizontal="center" vertical="center"/>
    </xf>
    <xf numFmtId="41" fontId="49" fillId="9" borderId="56" xfId="8" applyFont="1" applyFill="1" applyBorder="1" applyAlignment="1">
      <alignment horizontal="center" vertical="center"/>
    </xf>
    <xf numFmtId="188" fontId="47" fillId="3" borderId="56" xfId="7" applyNumberFormat="1" applyFont="1" applyFill="1" applyBorder="1" applyAlignment="1">
      <alignment horizontal="center" vertical="center"/>
    </xf>
    <xf numFmtId="41" fontId="49" fillId="9" borderId="38" xfId="8" applyFont="1" applyFill="1" applyBorder="1" applyAlignment="1">
      <alignment horizontal="center" vertical="center"/>
    </xf>
    <xf numFmtId="41" fontId="49" fillId="9" borderId="39" xfId="8" applyFont="1" applyFill="1" applyBorder="1" applyAlignment="1">
      <alignment horizontal="center" vertical="center"/>
    </xf>
    <xf numFmtId="41" fontId="49" fillId="9" borderId="69" xfId="8" applyFont="1" applyFill="1" applyBorder="1" applyAlignment="1">
      <alignment horizontal="center" vertical="center"/>
    </xf>
    <xf numFmtId="41" fontId="49" fillId="9" borderId="70" xfId="8" applyFont="1" applyFill="1" applyBorder="1" applyAlignment="1">
      <alignment horizontal="center" vertical="center"/>
    </xf>
    <xf numFmtId="41" fontId="49" fillId="9" borderId="71" xfId="8" applyFont="1" applyFill="1" applyBorder="1" applyAlignment="1">
      <alignment horizontal="center" vertical="center"/>
    </xf>
    <xf numFmtId="41" fontId="46" fillId="0" borderId="17" xfId="5" applyFont="1" applyBorder="1" applyAlignment="1">
      <alignment horizontal="center" vertical="center"/>
    </xf>
    <xf numFmtId="41" fontId="48" fillId="0" borderId="61" xfId="8" applyFont="1" applyBorder="1" applyAlignment="1">
      <alignment horizontal="center" vertical="center"/>
    </xf>
    <xf numFmtId="41" fontId="48" fillId="0" borderId="60" xfId="8" applyFont="1" applyBorder="1" applyAlignment="1">
      <alignment horizontal="center" vertical="center"/>
    </xf>
    <xf numFmtId="41" fontId="48" fillId="0" borderId="59" xfId="8" applyFont="1" applyBorder="1" applyAlignment="1">
      <alignment horizontal="center" vertical="center"/>
    </xf>
    <xf numFmtId="41" fontId="49" fillId="9" borderId="52" xfId="8" applyFont="1" applyFill="1" applyBorder="1" applyAlignment="1">
      <alignment horizontal="center" vertical="center"/>
    </xf>
    <xf numFmtId="41" fontId="49" fillId="9" borderId="49" xfId="8" applyFont="1" applyFill="1" applyBorder="1" applyAlignment="1">
      <alignment horizontal="center" vertical="center"/>
    </xf>
    <xf numFmtId="41" fontId="49" fillId="9" borderId="50" xfId="8" applyFont="1" applyFill="1" applyBorder="1" applyAlignment="1">
      <alignment horizontal="center" vertical="center"/>
    </xf>
    <xf numFmtId="41" fontId="49" fillId="9" borderId="54" xfId="8" applyFont="1" applyFill="1" applyBorder="1" applyAlignment="1">
      <alignment horizontal="center" vertical="center"/>
    </xf>
    <xf numFmtId="41" fontId="49" fillId="9" borderId="55" xfId="8" applyFont="1" applyFill="1" applyBorder="1" applyAlignment="1">
      <alignment horizontal="center" vertical="center"/>
    </xf>
    <xf numFmtId="41" fontId="50" fillId="0" borderId="0" xfId="5" applyFont="1" applyBorder="1" applyAlignment="1">
      <alignment horizontal="center" vertical="center"/>
    </xf>
    <xf numFmtId="191" fontId="10" fillId="9" borderId="4" xfId="7" applyNumberFormat="1" applyFont="1" applyFill="1" applyBorder="1" applyAlignment="1">
      <alignment horizontal="center" vertical="center"/>
    </xf>
    <xf numFmtId="191" fontId="10" fillId="0" borderId="0" xfId="7" applyNumberFormat="1" applyFont="1" applyAlignment="1">
      <alignment horizontal="center" vertical="center"/>
    </xf>
    <xf numFmtId="41" fontId="47" fillId="8" borderId="2" xfId="1" applyFont="1" applyFill="1" applyBorder="1" applyAlignment="1">
      <alignment horizontal="centerContinuous" vertical="center"/>
    </xf>
    <xf numFmtId="41" fontId="47" fillId="8" borderId="2" xfId="1" applyFont="1" applyFill="1" applyBorder="1" applyAlignment="1">
      <alignment horizontal="center" vertical="center"/>
    </xf>
    <xf numFmtId="41" fontId="47" fillId="8" borderId="57" xfId="1" applyFont="1" applyFill="1" applyBorder="1" applyAlignment="1">
      <alignment horizontal="center" vertical="center"/>
    </xf>
    <xf numFmtId="41" fontId="47" fillId="8" borderId="54" xfId="1" applyFont="1" applyFill="1" applyBorder="1" applyAlignment="1">
      <alignment horizontal="center" vertical="center"/>
    </xf>
    <xf numFmtId="41" fontId="47" fillId="8" borderId="55" xfId="1" applyFont="1" applyFill="1" applyBorder="1" applyAlignment="1">
      <alignment horizontal="center" vertical="center"/>
    </xf>
    <xf numFmtId="41" fontId="47" fillId="0" borderId="0" xfId="1" applyFont="1" applyAlignment="1">
      <alignment vertical="center"/>
    </xf>
    <xf numFmtId="41" fontId="10" fillId="0" borderId="4" xfId="3" applyFont="1" applyBorder="1" applyAlignment="1" applyProtection="1">
      <alignment horizontal="center" vertical="center"/>
      <protection locked="0"/>
    </xf>
    <xf numFmtId="0" fontId="22" fillId="0" borderId="0" xfId="2" applyFont="1" applyAlignment="1">
      <alignment horizontal="center" vertical="center"/>
    </xf>
    <xf numFmtId="43" fontId="5" fillId="0" borderId="0" xfId="2" applyNumberFormat="1" applyAlignment="1">
      <alignment horizontal="center" vertical="center"/>
    </xf>
    <xf numFmtId="41" fontId="5" fillId="0" borderId="0" xfId="1" applyFont="1" applyAlignment="1">
      <alignment horizontal="center" vertical="center"/>
    </xf>
    <xf numFmtId="183" fontId="5" fillId="0" borderId="0" xfId="1" applyNumberFormat="1" applyFont="1" applyAlignment="1">
      <alignment horizontal="center" vertical="center"/>
    </xf>
    <xf numFmtId="1" fontId="5" fillId="0" borderId="0" xfId="2" applyNumberFormat="1" applyAlignment="1">
      <alignment horizontal="center" vertical="center"/>
    </xf>
    <xf numFmtId="3" fontId="33" fillId="0" borderId="0" xfId="0" applyNumberFormat="1" applyFont="1" applyAlignment="1">
      <alignment horizontal="center" vertical="center"/>
    </xf>
    <xf numFmtId="176" fontId="10" fillId="0" borderId="2" xfId="3" applyNumberFormat="1" applyFont="1" applyBorder="1" applyAlignment="1" applyProtection="1">
      <alignment horizontal="center" vertical="center"/>
      <protection locked="0"/>
    </xf>
    <xf numFmtId="0" fontId="15" fillId="0" borderId="0" xfId="0" applyFont="1">
      <alignment vertical="center"/>
    </xf>
    <xf numFmtId="177" fontId="0" fillId="0" borderId="0" xfId="5" applyNumberFormat="1" applyFont="1" applyAlignment="1">
      <alignment vertical="center"/>
    </xf>
    <xf numFmtId="0" fontId="16" fillId="2" borderId="73" xfId="0" applyFont="1" applyFill="1" applyBorder="1">
      <alignment vertical="center"/>
    </xf>
    <xf numFmtId="178" fontId="13" fillId="2" borderId="0" xfId="0" applyNumberFormat="1" applyFont="1" applyFill="1" applyAlignment="1">
      <alignment horizontal="center" vertical="center"/>
    </xf>
    <xf numFmtId="0" fontId="16" fillId="2" borderId="0" xfId="0" applyFont="1" applyFill="1">
      <alignment vertical="center"/>
    </xf>
    <xf numFmtId="178" fontId="13" fillId="2" borderId="15" xfId="0" applyNumberFormat="1" applyFont="1" applyFill="1" applyBorder="1" applyAlignment="1">
      <alignment horizontal="center" vertical="center"/>
    </xf>
    <xf numFmtId="0" fontId="16" fillId="0" borderId="0" xfId="0" applyFont="1">
      <alignment vertical="center"/>
    </xf>
    <xf numFmtId="179" fontId="10" fillId="4" borderId="31" xfId="0" applyNumberFormat="1" applyFont="1" applyFill="1" applyBorder="1" applyAlignment="1">
      <alignment horizontal="center" vertical="center"/>
    </xf>
    <xf numFmtId="0" fontId="17" fillId="0" borderId="10" xfId="0" applyFont="1" applyBorder="1" applyAlignment="1">
      <alignment horizontal="center" vertical="center" wrapText="1"/>
    </xf>
    <xf numFmtId="180" fontId="18" fillId="5" borderId="31" xfId="0" applyNumberFormat="1" applyFont="1" applyFill="1" applyBorder="1" applyAlignment="1">
      <alignment horizontal="center" vertical="center"/>
    </xf>
    <xf numFmtId="0" fontId="17" fillId="0" borderId="11" xfId="0" applyFont="1" applyBorder="1" applyAlignment="1">
      <alignment horizontal="center" vertical="center" wrapText="1"/>
    </xf>
    <xf numFmtId="180" fontId="10" fillId="6" borderId="9" xfId="0" applyNumberFormat="1" applyFont="1" applyFill="1" applyBorder="1" applyAlignment="1">
      <alignment horizontal="center" vertical="center"/>
    </xf>
    <xf numFmtId="180" fontId="10" fillId="6" borderId="31" xfId="0" applyNumberFormat="1" applyFont="1" applyFill="1" applyBorder="1" applyAlignment="1">
      <alignment horizontal="center" vertical="center"/>
    </xf>
    <xf numFmtId="180" fontId="10" fillId="2" borderId="9" xfId="0" applyNumberFormat="1" applyFont="1" applyFill="1" applyBorder="1" applyAlignment="1">
      <alignment horizontal="center" vertical="center"/>
    </xf>
    <xf numFmtId="180" fontId="10" fillId="2" borderId="31" xfId="0" applyNumberFormat="1" applyFont="1" applyFill="1" applyBorder="1" applyAlignment="1">
      <alignment horizontal="center" vertical="center"/>
    </xf>
    <xf numFmtId="180" fontId="10" fillId="2" borderId="9" xfId="0" applyNumberFormat="1" applyFont="1" applyFill="1" applyBorder="1" applyAlignment="1">
      <alignment horizontal="center" vertical="center" wrapText="1"/>
    </xf>
    <xf numFmtId="180" fontId="10" fillId="2" borderId="31" xfId="0" applyNumberFormat="1" applyFont="1" applyFill="1" applyBorder="1" applyAlignment="1">
      <alignment horizontal="center" vertical="center" wrapText="1"/>
    </xf>
    <xf numFmtId="180" fontId="10" fillId="0" borderId="10" xfId="0" applyNumberFormat="1" applyFont="1" applyBorder="1" applyAlignment="1">
      <alignment horizontal="center" vertical="center"/>
    </xf>
    <xf numFmtId="180" fontId="10" fillId="0" borderId="0" xfId="0" applyNumberFormat="1" applyFont="1" applyAlignment="1">
      <alignment horizontal="center" vertical="center"/>
    </xf>
    <xf numFmtId="177" fontId="0" fillId="0" borderId="74" xfId="5" applyNumberFormat="1" applyFont="1" applyBorder="1" applyAlignment="1">
      <alignment horizontal="center" vertical="center"/>
    </xf>
    <xf numFmtId="0" fontId="0" fillId="0" borderId="11" xfId="0" applyBorder="1" applyAlignment="1">
      <alignment horizontal="center" vertical="center"/>
    </xf>
    <xf numFmtId="0" fontId="0" fillId="8" borderId="11" xfId="0" applyFill="1" applyBorder="1" applyAlignment="1">
      <alignment horizontal="center" vertical="center" wrapText="1"/>
    </xf>
    <xf numFmtId="0" fontId="0" fillId="0" borderId="12" xfId="0" applyBorder="1" applyAlignment="1">
      <alignment horizontal="center" vertical="center" wrapText="1"/>
    </xf>
    <xf numFmtId="181" fontId="12" fillId="0" borderId="33" xfId="0" applyNumberFormat="1" applyFont="1" applyBorder="1">
      <alignment vertical="center"/>
    </xf>
    <xf numFmtId="181" fontId="12" fillId="0" borderId="0" xfId="0" applyNumberFormat="1" applyFont="1">
      <alignment vertical="center"/>
    </xf>
    <xf numFmtId="0" fontId="0" fillId="0" borderId="7" xfId="0" applyBorder="1">
      <alignment vertical="center"/>
    </xf>
    <xf numFmtId="43" fontId="0" fillId="0" borderId="7" xfId="0" applyNumberFormat="1" applyBorder="1">
      <alignment vertical="center"/>
    </xf>
    <xf numFmtId="43" fontId="0" fillId="8" borderId="7" xfId="0" applyNumberFormat="1" applyFill="1" applyBorder="1">
      <alignment vertical="center"/>
    </xf>
    <xf numFmtId="43" fontId="0" fillId="0" borderId="26" xfId="0" applyNumberFormat="1" applyBorder="1">
      <alignment vertical="center"/>
    </xf>
    <xf numFmtId="177" fontId="0" fillId="0" borderId="1" xfId="5" applyNumberFormat="1" applyFont="1" applyBorder="1" applyAlignment="1">
      <alignment horizontal="center" vertical="center"/>
    </xf>
    <xf numFmtId="0" fontId="0" fillId="0" borderId="2" xfId="0" applyBorder="1">
      <alignment vertical="center"/>
    </xf>
    <xf numFmtId="43" fontId="0" fillId="0" borderId="2" xfId="0" applyNumberFormat="1" applyBorder="1">
      <alignment vertical="center"/>
    </xf>
    <xf numFmtId="43" fontId="0" fillId="8" borderId="2" xfId="0" applyNumberFormat="1" applyFill="1" applyBorder="1">
      <alignment vertical="center"/>
    </xf>
    <xf numFmtId="43" fontId="0" fillId="0" borderId="21" xfId="0" applyNumberFormat="1" applyBorder="1">
      <alignment vertical="center"/>
    </xf>
    <xf numFmtId="177" fontId="0" fillId="0" borderId="3" xfId="5" applyNumberFormat="1" applyFont="1" applyBorder="1" applyAlignment="1">
      <alignment vertical="center"/>
    </xf>
    <xf numFmtId="43" fontId="0" fillId="0" borderId="4" xfId="0" applyNumberFormat="1" applyBorder="1">
      <alignment vertical="center"/>
    </xf>
    <xf numFmtId="43" fontId="0" fillId="8" borderId="4" xfId="0" applyNumberFormat="1" applyFill="1" applyBorder="1">
      <alignment vertical="center"/>
    </xf>
    <xf numFmtId="43" fontId="0" fillId="0" borderId="29" xfId="0" applyNumberFormat="1" applyBorder="1">
      <alignment vertical="center"/>
    </xf>
    <xf numFmtId="177" fontId="0" fillId="0" borderId="14" xfId="5" applyNumberFormat="1" applyFont="1" applyBorder="1" applyAlignment="1">
      <alignment vertical="center"/>
    </xf>
    <xf numFmtId="43" fontId="0" fillId="0" borderId="17" xfId="0" applyNumberFormat="1" applyBorder="1">
      <alignment vertical="center"/>
    </xf>
    <xf numFmtId="43" fontId="0" fillId="8" borderId="17" xfId="0" applyNumberFormat="1" applyFill="1" applyBorder="1">
      <alignment vertical="center"/>
    </xf>
    <xf numFmtId="43" fontId="0" fillId="0" borderId="18" xfId="0" applyNumberFormat="1" applyBorder="1">
      <alignment vertical="center"/>
    </xf>
    <xf numFmtId="177" fontId="0" fillId="0" borderId="1" xfId="5" applyNumberFormat="1" applyFont="1" applyBorder="1" applyAlignment="1">
      <alignment vertical="center"/>
    </xf>
    <xf numFmtId="181" fontId="20" fillId="0" borderId="28" xfId="0" applyNumberFormat="1" applyFont="1" applyBorder="1">
      <alignment vertical="center"/>
    </xf>
    <xf numFmtId="181" fontId="20" fillId="0" borderId="0" xfId="0" applyNumberFormat="1" applyFont="1">
      <alignment vertical="center"/>
    </xf>
    <xf numFmtId="181" fontId="20" fillId="2" borderId="28" xfId="0" applyNumberFormat="1" applyFont="1" applyFill="1" applyBorder="1">
      <alignment vertical="center"/>
    </xf>
    <xf numFmtId="181" fontId="0" fillId="0" borderId="31" xfId="0" applyNumberFormat="1" applyBorder="1" applyAlignment="1">
      <alignment horizontal="right" vertical="center"/>
    </xf>
    <xf numFmtId="181" fontId="0" fillId="0" borderId="0" xfId="0" applyNumberFormat="1" applyAlignment="1">
      <alignment horizontal="right" vertical="center"/>
    </xf>
    <xf numFmtId="176" fontId="11" fillId="0" borderId="2" xfId="1" applyNumberFormat="1" applyFont="1" applyFill="1" applyBorder="1" applyAlignment="1" applyProtection="1">
      <alignment horizontal="center" vertical="center"/>
      <protection locked="0"/>
    </xf>
    <xf numFmtId="41" fontId="26" fillId="0" borderId="4" xfId="3" applyFont="1" applyBorder="1" applyAlignment="1" applyProtection="1">
      <alignment vertical="center" wrapText="1"/>
      <protection locked="0"/>
    </xf>
    <xf numFmtId="41" fontId="26" fillId="0" borderId="2" xfId="3" applyFont="1" applyBorder="1" applyAlignment="1" applyProtection="1">
      <alignment vertical="center" wrapText="1"/>
      <protection locked="0"/>
    </xf>
    <xf numFmtId="177" fontId="55" fillId="0" borderId="5" xfId="5" applyNumberFormat="1" applyFont="1" applyFill="1" applyBorder="1" applyAlignment="1">
      <alignment vertical="center"/>
    </xf>
    <xf numFmtId="41" fontId="10" fillId="8" borderId="11" xfId="5" applyFont="1" applyFill="1" applyBorder="1" applyAlignment="1">
      <alignment horizontal="center" vertical="center"/>
    </xf>
    <xf numFmtId="0" fontId="10" fillId="0" borderId="12" xfId="0" applyFont="1" applyBorder="1" applyAlignment="1">
      <alignment horizontal="center" vertical="center"/>
    </xf>
    <xf numFmtId="41" fontId="48" fillId="0" borderId="75" xfId="8" applyFont="1" applyBorder="1" applyAlignment="1">
      <alignment horizontal="center" vertical="center"/>
    </xf>
    <xf numFmtId="41" fontId="48" fillId="0" borderId="76" xfId="8" applyFont="1" applyBorder="1" applyAlignment="1">
      <alignment horizontal="center" vertical="center"/>
    </xf>
    <xf numFmtId="41" fontId="48" fillId="0" borderId="77" xfId="8" applyFont="1" applyBorder="1" applyAlignment="1">
      <alignment horizontal="center" vertical="center"/>
    </xf>
    <xf numFmtId="41" fontId="48" fillId="0" borderId="78" xfId="8" applyFont="1" applyBorder="1" applyAlignment="1">
      <alignment horizontal="center" vertical="center"/>
    </xf>
    <xf numFmtId="41" fontId="48" fillId="0" borderId="79" xfId="8" applyFont="1" applyBorder="1" applyAlignment="1">
      <alignment horizontal="center" vertical="center"/>
    </xf>
    <xf numFmtId="41" fontId="10" fillId="3" borderId="2" xfId="3" applyFont="1" applyFill="1" applyBorder="1" applyAlignment="1" applyProtection="1">
      <alignment horizontal="center" vertical="center"/>
      <protection locked="0"/>
    </xf>
    <xf numFmtId="0" fontId="5" fillId="0" borderId="2" xfId="2" applyBorder="1" applyAlignment="1">
      <alignment horizontal="center" vertical="center" wrapText="1"/>
    </xf>
    <xf numFmtId="0" fontId="7" fillId="3" borderId="2" xfId="2" applyFont="1" applyFill="1" applyBorder="1" applyAlignment="1">
      <alignment horizontal="center" vertical="center"/>
    </xf>
    <xf numFmtId="0" fontId="5" fillId="0" borderId="2" xfId="2" applyBorder="1" applyAlignment="1">
      <alignment horizontal="center" vertical="center"/>
    </xf>
    <xf numFmtId="14" fontId="6" fillId="2" borderId="2" xfId="3" applyNumberFormat="1" applyFont="1" applyFill="1" applyBorder="1" applyAlignment="1" applyProtection="1">
      <alignment horizontal="center" vertical="center" wrapText="1"/>
      <protection locked="0"/>
    </xf>
    <xf numFmtId="14" fontId="6" fillId="2" borderId="2" xfId="3" applyNumberFormat="1" applyFont="1" applyFill="1" applyBorder="1" applyAlignment="1" applyProtection="1">
      <alignment horizontal="center" vertical="center"/>
      <protection locked="0"/>
    </xf>
    <xf numFmtId="14" fontId="6" fillId="0" borderId="2" xfId="3" applyNumberFormat="1" applyFont="1" applyBorder="1" applyAlignment="1" applyProtection="1">
      <alignment horizontal="center" vertical="center"/>
      <protection locked="0"/>
    </xf>
    <xf numFmtId="0" fontId="7" fillId="0" borderId="2" xfId="2" applyFont="1"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41" fontId="46" fillId="0" borderId="4" xfId="5" applyFont="1" applyFill="1" applyBorder="1" applyAlignment="1">
      <alignment horizontal="center" vertical="center"/>
    </xf>
    <xf numFmtId="41" fontId="46" fillId="8" borderId="7" xfId="5" applyFont="1" applyFill="1" applyBorder="1" applyAlignment="1">
      <alignment horizontal="center" vertical="center"/>
    </xf>
    <xf numFmtId="41" fontId="46" fillId="8" borderId="58" xfId="5" applyFont="1" applyFill="1" applyBorder="1" applyAlignment="1">
      <alignment horizontal="center" vertical="center"/>
    </xf>
    <xf numFmtId="41" fontId="46" fillId="0" borderId="15" xfId="5" applyFont="1" applyFill="1" applyBorder="1" applyAlignment="1">
      <alignment horizontal="center" vertical="center"/>
    </xf>
    <xf numFmtId="41" fontId="46" fillId="0" borderId="15" xfId="4" applyNumberFormat="1" applyFont="1" applyBorder="1" applyAlignment="1">
      <alignment horizontal="center" vertical="center"/>
    </xf>
    <xf numFmtId="41" fontId="46" fillId="0" borderId="7" xfId="4" applyNumberFormat="1" applyFont="1" applyBorder="1" applyAlignment="1">
      <alignment horizontal="center" vertical="center"/>
    </xf>
    <xf numFmtId="41" fontId="46" fillId="0" borderId="4" xfId="4" applyNumberFormat="1" applyFont="1" applyBorder="1" applyAlignment="1">
      <alignment horizontal="center" vertical="center"/>
    </xf>
    <xf numFmtId="41" fontId="46" fillId="0" borderId="4" xfId="5" applyFont="1" applyBorder="1" applyAlignment="1">
      <alignment horizontal="center" vertical="center"/>
    </xf>
    <xf numFmtId="41" fontId="46" fillId="0" borderId="7" xfId="5" applyFont="1" applyBorder="1" applyAlignment="1">
      <alignment horizontal="center" vertical="center"/>
    </xf>
    <xf numFmtId="41" fontId="50" fillId="0" borderId="4" xfId="5" applyFont="1" applyBorder="1" applyAlignment="1">
      <alignment horizontal="center" vertical="center"/>
    </xf>
    <xf numFmtId="41" fontId="50" fillId="0" borderId="7" xfId="5" applyFont="1" applyBorder="1" applyAlignment="1">
      <alignment horizontal="center" vertical="center"/>
    </xf>
    <xf numFmtId="9" fontId="46" fillId="0" borderId="4" xfId="13" applyFont="1" applyBorder="1" applyAlignment="1">
      <alignment horizontal="center" vertical="center"/>
    </xf>
    <xf numFmtId="9" fontId="46" fillId="0" borderId="7" xfId="13" applyFont="1" applyBorder="1" applyAlignment="1">
      <alignment horizontal="center" vertical="center"/>
    </xf>
    <xf numFmtId="0" fontId="46" fillId="0" borderId="4" xfId="4" applyFont="1" applyBorder="1" applyAlignment="1">
      <alignment horizontal="center" vertical="center"/>
    </xf>
    <xf numFmtId="0" fontId="46" fillId="0" borderId="7" xfId="4" applyFont="1" applyBorder="1" applyAlignment="1">
      <alignment horizontal="center" vertical="center"/>
    </xf>
    <xf numFmtId="41" fontId="46" fillId="0" borderId="15" xfId="5" applyFont="1" applyBorder="1" applyAlignment="1">
      <alignment horizontal="center" vertical="center"/>
    </xf>
    <xf numFmtId="41" fontId="50" fillId="0" borderId="15" xfId="5" applyFont="1" applyBorder="1" applyAlignment="1">
      <alignment horizontal="center" vertical="center"/>
    </xf>
    <xf numFmtId="9" fontId="46" fillId="0" borderId="15" xfId="13" applyFont="1" applyBorder="1" applyAlignment="1">
      <alignment horizontal="center" vertical="center"/>
    </xf>
    <xf numFmtId="0" fontId="46" fillId="0" borderId="15" xfId="4" applyFont="1" applyBorder="1" applyAlignment="1">
      <alignment horizontal="center" vertical="center"/>
    </xf>
    <xf numFmtId="41" fontId="46" fillId="0" borderId="58" xfId="5" applyFont="1" applyBorder="1" applyAlignment="1">
      <alignment horizontal="center" vertical="center"/>
    </xf>
    <xf numFmtId="41" fontId="50" fillId="0" borderId="58" xfId="5" applyFont="1" applyBorder="1" applyAlignment="1">
      <alignment horizontal="center" vertical="center"/>
    </xf>
    <xf numFmtId="41" fontId="46" fillId="0" borderId="58" xfId="4" applyNumberFormat="1" applyFont="1" applyBorder="1" applyAlignment="1">
      <alignment horizontal="center" vertical="center"/>
    </xf>
    <xf numFmtId="9" fontId="46" fillId="0" borderId="58" xfId="13" applyFont="1" applyBorder="1" applyAlignment="1">
      <alignment horizontal="center" vertical="center"/>
    </xf>
    <xf numFmtId="0" fontId="46" fillId="0" borderId="58" xfId="4" applyFont="1" applyBorder="1" applyAlignment="1">
      <alignment horizontal="center" vertical="center"/>
    </xf>
    <xf numFmtId="9" fontId="46" fillId="0" borderId="62" xfId="13" applyFont="1" applyBorder="1" applyAlignment="1">
      <alignment horizontal="center" vertical="center"/>
    </xf>
    <xf numFmtId="41" fontId="46" fillId="8" borderId="15" xfId="5" applyFont="1" applyFill="1" applyBorder="1" applyAlignment="1">
      <alignment horizontal="center" vertical="center"/>
    </xf>
    <xf numFmtId="0" fontId="46" fillId="0" borderId="62" xfId="4" applyFont="1" applyBorder="1" applyAlignment="1">
      <alignment horizontal="center" vertical="center"/>
    </xf>
    <xf numFmtId="41" fontId="46" fillId="0" borderId="2" xfId="5" applyFont="1" applyBorder="1" applyAlignment="1">
      <alignment horizontal="center" vertical="center"/>
    </xf>
    <xf numFmtId="41" fontId="46" fillId="0" borderId="7" xfId="5" applyFont="1" applyFill="1" applyBorder="1" applyAlignment="1">
      <alignment horizontal="center" vertical="center"/>
    </xf>
    <xf numFmtId="41" fontId="46" fillId="0" borderId="17" xfId="5" applyFont="1" applyBorder="1" applyAlignment="1">
      <alignment horizontal="center" vertical="center"/>
    </xf>
    <xf numFmtId="41" fontId="46" fillId="0" borderId="58" xfId="5" applyFont="1" applyFill="1" applyBorder="1" applyAlignment="1">
      <alignment horizontal="center" vertical="center"/>
    </xf>
    <xf numFmtId="9" fontId="46" fillId="0" borderId="17" xfId="13" applyFont="1" applyBorder="1" applyAlignment="1">
      <alignment horizontal="center" vertical="center"/>
    </xf>
    <xf numFmtId="9" fontId="46" fillId="0" borderId="2" xfId="13" applyFont="1" applyBorder="1" applyAlignment="1">
      <alignment horizontal="center" vertical="center"/>
    </xf>
    <xf numFmtId="41" fontId="7" fillId="0" borderId="4" xfId="1" applyFont="1" applyBorder="1" applyAlignment="1">
      <alignment horizontal="center" vertical="center"/>
    </xf>
    <xf numFmtId="41" fontId="7" fillId="0" borderId="58" xfId="1" applyFont="1" applyBorder="1" applyAlignment="1">
      <alignment horizontal="center" vertical="center"/>
    </xf>
    <xf numFmtId="41" fontId="7" fillId="0" borderId="7" xfId="1" applyFont="1" applyBorder="1" applyAlignment="1">
      <alignment horizontal="center" vertical="center"/>
    </xf>
    <xf numFmtId="0" fontId="7" fillId="0" borderId="4" xfId="4" applyBorder="1" applyAlignment="1">
      <alignment horizontal="center" vertical="center"/>
    </xf>
    <xf numFmtId="0" fontId="7" fillId="0" borderId="58" xfId="4" applyBorder="1" applyAlignment="1">
      <alignment horizontal="center" vertical="center"/>
    </xf>
    <xf numFmtId="0" fontId="7" fillId="0" borderId="7" xfId="4" applyBorder="1" applyAlignment="1">
      <alignment horizontal="center" vertical="center"/>
    </xf>
    <xf numFmtId="0" fontId="7" fillId="0" borderId="36" xfId="4" applyBorder="1" applyAlignment="1">
      <alignment horizontal="center" vertical="center"/>
    </xf>
    <xf numFmtId="0" fontId="7" fillId="0" borderId="72" xfId="4" applyBorder="1" applyAlignment="1">
      <alignment horizontal="center" vertical="center"/>
    </xf>
    <xf numFmtId="0" fontId="7" fillId="0" borderId="35" xfId="4" applyBorder="1" applyAlignment="1">
      <alignment horizontal="center" vertical="center"/>
    </xf>
    <xf numFmtId="41" fontId="47" fillId="8" borderId="4" xfId="1" applyFont="1" applyFill="1" applyBorder="1" applyAlignment="1">
      <alignment horizontal="center" vertical="center"/>
    </xf>
    <xf numFmtId="41" fontId="47" fillId="8" borderId="58" xfId="1" applyFont="1" applyFill="1" applyBorder="1" applyAlignment="1">
      <alignment horizontal="center" vertical="center"/>
    </xf>
    <xf numFmtId="41" fontId="47" fillId="8" borderId="7" xfId="1" applyFont="1" applyFill="1" applyBorder="1" applyAlignment="1">
      <alignment horizontal="center" vertical="center"/>
    </xf>
  </cellXfs>
  <cellStyles count="15">
    <cellStyle name="백분율" xfId="13" builtinId="5"/>
    <cellStyle name="백분율 3" xfId="6" xr:uid="{D651DDF4-CE84-47BC-9894-C4362C47A023}"/>
    <cellStyle name="쉼표 [0]" xfId="1" builtinId="6"/>
    <cellStyle name="쉼표 [0] 2" xfId="5" xr:uid="{3724AA03-93D2-4AC3-834F-5417A7CD9A6A}"/>
    <cellStyle name="쉼표 [0] 2 2" xfId="8" xr:uid="{A5AF5C77-CDCA-4AF6-B818-C77CABF329BE}"/>
    <cellStyle name="쉼표 [0] 3" xfId="12" xr:uid="{66970174-4AC2-4ED8-8249-CC1C8948E5B9}"/>
    <cellStyle name="쉼표 [0] 4" xfId="14" xr:uid="{229928AA-0C5F-478A-9B09-41182635F007}"/>
    <cellStyle name="쉼표 [0] 7" xfId="3" xr:uid="{233650A0-0E12-40C9-BAF9-0EC3F478D468}"/>
    <cellStyle name="표준" xfId="0" builtinId="0"/>
    <cellStyle name="표준 107" xfId="2" xr:uid="{6C9B146E-016B-445D-88E8-C6AF73971F4B}"/>
    <cellStyle name="표준 2" xfId="4" xr:uid="{C06CD9F8-0150-4A09-BA87-538AFBE5BEAB}"/>
    <cellStyle name="표준 2 113" xfId="10" xr:uid="{6E1E8536-0FE5-4EFF-839B-414877C1A46A}"/>
    <cellStyle name="표준 2 2" xfId="7" xr:uid="{23504527-732C-4F18-A13F-F5E904A8A7CF}"/>
    <cellStyle name="표준 2 2 2" xfId="11" xr:uid="{6300769A-4EAB-4F1A-B73D-0D4DBFCCDDED}"/>
    <cellStyle name="표준 4 2 10" xfId="9" xr:uid="{30A5E4E6-FB61-4327-B0A8-F4B4701438F4}"/>
  </cellStyles>
  <dxfs count="102">
    <dxf>
      <font>
        <color rgb="FFFF0000"/>
      </font>
    </dxf>
    <dxf>
      <font>
        <color rgb="FF0000CC"/>
      </font>
    </dxf>
    <dxf>
      <font>
        <color rgb="FF9C0006"/>
      </font>
      <fill>
        <patternFill>
          <bgColor rgb="FFFFC7CE"/>
        </patternFill>
      </fill>
    </dxf>
    <dxf>
      <font>
        <color rgb="FF9C0006"/>
      </font>
      <fill>
        <patternFill>
          <bgColor rgb="FFFFC7CE"/>
        </patternFill>
      </fill>
    </dxf>
    <dxf>
      <font>
        <color rgb="FFFF0000"/>
      </font>
    </dxf>
    <dxf>
      <font>
        <color rgb="FF0000CC"/>
      </font>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0000CC"/>
      </font>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0000CC"/>
      </font>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0000CC"/>
      </font>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0000CC"/>
      </font>
    </dxf>
    <dxf>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FF0000"/>
      </font>
    </dxf>
    <dxf>
      <font>
        <color rgb="FFFF0000"/>
      </font>
    </dxf>
    <dxf>
      <font>
        <color rgb="FFFF0000"/>
      </font>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212912</xdr:colOff>
      <xdr:row>61</xdr:row>
      <xdr:rowOff>22412</xdr:rowOff>
    </xdr:from>
    <xdr:to>
      <xdr:col>4</xdr:col>
      <xdr:colOff>307362</xdr:colOff>
      <xdr:row>88</xdr:row>
      <xdr:rowOff>78440</xdr:rowOff>
    </xdr:to>
    <xdr:pic>
      <xdr:nvPicPr>
        <xdr:cNvPr id="2" name="그림 1">
          <a:extLst>
            <a:ext uri="{FF2B5EF4-FFF2-40B4-BE49-F238E27FC236}">
              <a16:creationId xmlns:a16="http://schemas.microsoft.com/office/drawing/2014/main" id="{09C3F081-8C3F-4778-AD8B-A9788BF2E472}"/>
            </a:ext>
          </a:extLst>
        </xdr:cNvPr>
        <xdr:cNvPicPr>
          <a:picLocks noChangeAspect="1"/>
        </xdr:cNvPicPr>
      </xdr:nvPicPr>
      <xdr:blipFill>
        <a:blip xmlns:r="http://schemas.openxmlformats.org/officeDocument/2006/relationships" r:embed="rId1"/>
        <a:stretch>
          <a:fillRect/>
        </a:stretch>
      </xdr:blipFill>
      <xdr:spPr>
        <a:xfrm>
          <a:off x="425824" y="9793941"/>
          <a:ext cx="6196852" cy="5804647"/>
        </a:xfrm>
        <a:prstGeom prst="rect">
          <a:avLst/>
        </a:prstGeom>
      </xdr:spPr>
    </xdr:pic>
    <xdr:clientData/>
  </xdr:twoCellAnchor>
  <xdr:twoCellAnchor editAs="oneCell">
    <xdr:from>
      <xdr:col>4</xdr:col>
      <xdr:colOff>571500</xdr:colOff>
      <xdr:row>61</xdr:row>
      <xdr:rowOff>22412</xdr:rowOff>
    </xdr:from>
    <xdr:to>
      <xdr:col>15</xdr:col>
      <xdr:colOff>844580</xdr:colOff>
      <xdr:row>88</xdr:row>
      <xdr:rowOff>190499</xdr:rowOff>
    </xdr:to>
    <xdr:pic>
      <xdr:nvPicPr>
        <xdr:cNvPr id="3" name="그림 2">
          <a:extLst>
            <a:ext uri="{FF2B5EF4-FFF2-40B4-BE49-F238E27FC236}">
              <a16:creationId xmlns:a16="http://schemas.microsoft.com/office/drawing/2014/main" id="{B39FEFDD-8A96-4C12-9267-BF9DF9F3C985}"/>
            </a:ext>
          </a:extLst>
        </xdr:cNvPr>
        <xdr:cNvPicPr>
          <a:picLocks noChangeAspect="1"/>
        </xdr:cNvPicPr>
      </xdr:nvPicPr>
      <xdr:blipFill>
        <a:blip xmlns:r="http://schemas.openxmlformats.org/officeDocument/2006/relationships" r:embed="rId2"/>
        <a:stretch>
          <a:fillRect/>
        </a:stretch>
      </xdr:blipFill>
      <xdr:spPr>
        <a:xfrm>
          <a:off x="6656294" y="9793941"/>
          <a:ext cx="6111345" cy="5916706"/>
        </a:xfrm>
        <a:prstGeom prst="rect">
          <a:avLst/>
        </a:prstGeom>
      </xdr:spPr>
    </xdr:pic>
    <xdr:clientData/>
  </xdr:twoCellAnchor>
  <xdr:twoCellAnchor editAs="oneCell">
    <xdr:from>
      <xdr:col>15</xdr:col>
      <xdr:colOff>874059</xdr:colOff>
      <xdr:row>61</xdr:row>
      <xdr:rowOff>33618</xdr:rowOff>
    </xdr:from>
    <xdr:to>
      <xdr:col>23</xdr:col>
      <xdr:colOff>480251</xdr:colOff>
      <xdr:row>88</xdr:row>
      <xdr:rowOff>156881</xdr:rowOff>
    </xdr:to>
    <xdr:pic>
      <xdr:nvPicPr>
        <xdr:cNvPr id="4" name="그림 3">
          <a:extLst>
            <a:ext uri="{FF2B5EF4-FFF2-40B4-BE49-F238E27FC236}">
              <a16:creationId xmlns:a16="http://schemas.microsoft.com/office/drawing/2014/main" id="{D03C97A6-0E88-44F8-A5FB-1DFCF16CDD91}"/>
            </a:ext>
          </a:extLst>
        </xdr:cNvPr>
        <xdr:cNvPicPr>
          <a:picLocks noChangeAspect="1"/>
        </xdr:cNvPicPr>
      </xdr:nvPicPr>
      <xdr:blipFill>
        <a:blip xmlns:r="http://schemas.openxmlformats.org/officeDocument/2006/relationships" r:embed="rId3"/>
        <a:stretch>
          <a:fillRect/>
        </a:stretch>
      </xdr:blipFill>
      <xdr:spPr>
        <a:xfrm>
          <a:off x="12797118" y="9805147"/>
          <a:ext cx="6264089" cy="5871882"/>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EC34-15E9-467C-970F-DB71822A91F8}">
  <sheetPr>
    <pageSetUpPr fitToPage="1"/>
  </sheetPr>
  <dimension ref="A1:Y24"/>
  <sheetViews>
    <sheetView zoomScale="70" zoomScaleNormal="70" workbookViewId="0">
      <selection activeCell="H10" sqref="H10"/>
    </sheetView>
  </sheetViews>
  <sheetFormatPr defaultColWidth="9" defaultRowHeight="16.5" x14ac:dyDescent="0.3"/>
  <cols>
    <col min="1" max="1" width="2.75" style="27" customWidth="1"/>
    <col min="2" max="2" width="10.5" style="27" customWidth="1"/>
    <col min="3" max="3" width="19.625" style="27" customWidth="1"/>
    <col min="4" max="4" width="50" style="27" customWidth="1"/>
    <col min="5" max="5" width="8.375" style="27" bestFit="1" customWidth="1"/>
    <col min="6" max="6" width="6.375" style="27" bestFit="1" customWidth="1"/>
    <col min="7" max="7" width="6.375" style="27" hidden="1" customWidth="1"/>
    <col min="8" max="8" width="8.625" style="27" customWidth="1"/>
    <col min="9" max="9" width="13.75" style="27" hidden="1" customWidth="1"/>
    <col min="10" max="11" width="9.5" style="27" customWidth="1"/>
    <col min="12" max="12" width="12.75" style="27" customWidth="1"/>
    <col min="13" max="13" width="12.75" style="27" hidden="1" customWidth="1"/>
    <col min="14" max="14" width="15" style="27" customWidth="1"/>
    <col min="15" max="15" width="13.875" style="27" hidden="1" customWidth="1"/>
    <col min="16" max="16" width="11.875" style="27" customWidth="1"/>
    <col min="17" max="17" width="13.875" style="27" hidden="1" customWidth="1"/>
    <col min="18" max="18" width="13" style="27" customWidth="1"/>
    <col min="19" max="19" width="13.875" style="27" hidden="1" customWidth="1"/>
    <col min="20" max="20" width="20.25" style="27" hidden="1" customWidth="1"/>
    <col min="21" max="21" width="47.625" style="27" bestFit="1" customWidth="1"/>
    <col min="22" max="22" width="3.875" style="27" customWidth="1"/>
    <col min="23" max="23" width="11" style="27" bestFit="1" customWidth="1"/>
    <col min="24" max="24" width="9" style="27"/>
    <col min="25" max="25" width="9.875" style="27" bestFit="1" customWidth="1"/>
    <col min="26" max="16384" width="9" style="27"/>
  </cols>
  <sheetData>
    <row r="1" spans="1:25" ht="9.75" customHeight="1" x14ac:dyDescent="0.3"/>
    <row r="2" spans="1:25" s="30" customFormat="1" ht="33.4" customHeight="1" x14ac:dyDescent="0.3">
      <c r="C2" s="355" t="s">
        <v>78</v>
      </c>
    </row>
    <row r="3" spans="1:25" x14ac:dyDescent="0.3">
      <c r="A3" s="31"/>
      <c r="B3" s="421" t="s">
        <v>79</v>
      </c>
      <c r="C3" s="421"/>
      <c r="D3" s="421" t="s">
        <v>80</v>
      </c>
      <c r="E3" s="32" t="s">
        <v>81</v>
      </c>
      <c r="F3" s="32" t="s">
        <v>82</v>
      </c>
      <c r="G3" s="163" t="s">
        <v>83</v>
      </c>
      <c r="H3" s="32" t="s">
        <v>84</v>
      </c>
      <c r="I3" s="32" t="s">
        <v>85</v>
      </c>
      <c r="J3" s="32" t="s">
        <v>86</v>
      </c>
      <c r="K3" s="32" t="s">
        <v>87</v>
      </c>
      <c r="L3" s="68" t="s">
        <v>88</v>
      </c>
      <c r="M3" s="164" t="s">
        <v>89</v>
      </c>
      <c r="N3" s="32" t="s">
        <v>128</v>
      </c>
      <c r="O3" s="35" t="s">
        <v>91</v>
      </c>
      <c r="P3" s="32" t="s">
        <v>127</v>
      </c>
      <c r="Q3" s="35" t="s">
        <v>93</v>
      </c>
      <c r="R3" s="32" t="s">
        <v>126</v>
      </c>
      <c r="S3" s="35" t="s">
        <v>94</v>
      </c>
      <c r="T3" s="32" t="s">
        <v>218</v>
      </c>
      <c r="U3" s="421" t="s">
        <v>31</v>
      </c>
      <c r="V3" s="31"/>
    </row>
    <row r="4" spans="1:25" ht="17.649999999999999" customHeight="1" x14ac:dyDescent="0.3">
      <c r="A4" s="31"/>
      <c r="B4" s="421"/>
      <c r="C4" s="421"/>
      <c r="D4" s="423"/>
      <c r="E4" s="32" t="s">
        <v>95</v>
      </c>
      <c r="F4" s="32" t="s">
        <v>96</v>
      </c>
      <c r="G4" s="32" t="s">
        <v>97</v>
      </c>
      <c r="H4" s="32" t="s">
        <v>97</v>
      </c>
      <c r="I4" s="32" t="s">
        <v>98</v>
      </c>
      <c r="J4" s="32" t="s">
        <v>99</v>
      </c>
      <c r="K4" s="32" t="s">
        <v>99</v>
      </c>
      <c r="L4" s="32" t="s">
        <v>117</v>
      </c>
      <c r="M4" s="35" t="s">
        <v>100</v>
      </c>
      <c r="N4" s="32" t="s">
        <v>123</v>
      </c>
      <c r="O4" s="35" t="s">
        <v>101</v>
      </c>
      <c r="P4" s="32" t="s">
        <v>124</v>
      </c>
      <c r="Q4" s="35" t="s">
        <v>103</v>
      </c>
      <c r="R4" s="32" t="s">
        <v>125</v>
      </c>
      <c r="S4" s="35" t="s">
        <v>105</v>
      </c>
      <c r="T4" s="32" t="s">
        <v>97</v>
      </c>
      <c r="U4" s="421"/>
      <c r="X4" s="356"/>
    </row>
    <row r="5" spans="1:25" ht="16.5" hidden="1" customHeight="1" x14ac:dyDescent="0.3">
      <c r="A5" s="31"/>
      <c r="B5" s="165"/>
      <c r="C5" s="36" t="s">
        <v>106</v>
      </c>
      <c r="D5" s="36" t="s">
        <v>107</v>
      </c>
      <c r="E5" s="13">
        <v>4.4000000000000004</v>
      </c>
      <c r="F5" s="37">
        <v>20</v>
      </c>
      <c r="G5" s="37"/>
      <c r="H5" s="37">
        <v>1</v>
      </c>
      <c r="I5" s="37">
        <f>60*60*8</f>
        <v>28800</v>
      </c>
      <c r="J5" s="39">
        <v>0.8</v>
      </c>
      <c r="K5" s="40">
        <v>0</v>
      </c>
      <c r="L5" s="37">
        <f>(3600/E5)*H5*J5*(1-K5)</f>
        <v>654.5454545454545</v>
      </c>
      <c r="M5" s="73"/>
      <c r="N5" s="37">
        <f t="shared" ref="N5:N10" si="0">L5*8</f>
        <v>5236.363636363636</v>
      </c>
      <c r="O5" s="73"/>
      <c r="P5" s="37" t="e">
        <f>(N5+#REF!)*F5</f>
        <v>#REF!</v>
      </c>
      <c r="Q5" s="73"/>
      <c r="R5" s="37" t="e">
        <f t="shared" ref="R5:R10" si="1">P5*12</f>
        <v>#REF!</v>
      </c>
      <c r="S5" s="73"/>
      <c r="T5" s="73"/>
      <c r="U5" s="32"/>
      <c r="V5" s="43"/>
    </row>
    <row r="6" spans="1:25" ht="23.25" customHeight="1" x14ac:dyDescent="0.3">
      <c r="A6" s="31"/>
      <c r="B6" s="354" t="s">
        <v>338</v>
      </c>
      <c r="C6" s="6" t="s">
        <v>337</v>
      </c>
      <c r="D6" s="6" t="s">
        <v>339</v>
      </c>
      <c r="E6" s="361"/>
      <c r="F6" s="37">
        <v>20</v>
      </c>
      <c r="G6" s="37"/>
      <c r="H6" s="37">
        <v>1</v>
      </c>
      <c r="I6" s="37"/>
      <c r="J6" s="180">
        <v>0.95</v>
      </c>
      <c r="K6" s="181">
        <v>0</v>
      </c>
      <c r="L6" s="178">
        <f>IFERROR((3600/E6)*H6*J6*(1-K6),)</f>
        <v>0</v>
      </c>
      <c r="M6" s="182" t="e">
        <f>(3600/E6)*G6*J6*(1-K6)</f>
        <v>#DIV/0!</v>
      </c>
      <c r="N6" s="178">
        <f t="shared" si="0"/>
        <v>0</v>
      </c>
      <c r="O6" s="182" t="e">
        <f>M6*23</f>
        <v>#DIV/0!</v>
      </c>
      <c r="P6" s="165">
        <f>(N6)*F6</f>
        <v>0</v>
      </c>
      <c r="Q6" s="182" t="e">
        <f>O6*F6</f>
        <v>#DIV/0!</v>
      </c>
      <c r="R6" s="178">
        <f t="shared" si="1"/>
        <v>0</v>
      </c>
      <c r="S6" s="37"/>
      <c r="T6" s="37"/>
      <c r="U6" s="354" t="s">
        <v>344</v>
      </c>
      <c r="V6" s="43"/>
    </row>
    <row r="7" spans="1:25" ht="23.25" customHeight="1" x14ac:dyDescent="0.3">
      <c r="A7" s="31"/>
      <c r="B7" s="354" t="s">
        <v>5</v>
      </c>
      <c r="C7" s="6" t="s">
        <v>8</v>
      </c>
      <c r="D7" s="6" t="s">
        <v>342</v>
      </c>
      <c r="E7" s="361">
        <v>45</v>
      </c>
      <c r="F7" s="37">
        <v>20</v>
      </c>
      <c r="G7" s="37"/>
      <c r="H7" s="37">
        <v>1</v>
      </c>
      <c r="I7" s="37"/>
      <c r="J7" s="180">
        <v>0.95</v>
      </c>
      <c r="K7" s="181">
        <v>0</v>
      </c>
      <c r="L7" s="178">
        <f>(3600/E7)*H7*J7*(1-K7)</f>
        <v>76</v>
      </c>
      <c r="M7" s="182">
        <f>(3600/E7)*G7*J7*(1-K7)</f>
        <v>0</v>
      </c>
      <c r="N7" s="178">
        <f t="shared" si="0"/>
        <v>608</v>
      </c>
      <c r="O7" s="182">
        <f>M7*23</f>
        <v>0</v>
      </c>
      <c r="P7" s="165">
        <f>(N7)*F7</f>
        <v>12160</v>
      </c>
      <c r="Q7" s="182">
        <f>O7*F7</f>
        <v>0</v>
      </c>
      <c r="R7" s="178">
        <f t="shared" si="1"/>
        <v>145920</v>
      </c>
      <c r="S7" s="37"/>
      <c r="T7" s="37"/>
      <c r="U7" s="354" t="s">
        <v>343</v>
      </c>
      <c r="V7" s="43"/>
    </row>
    <row r="8" spans="1:25" ht="23.25" customHeight="1" x14ac:dyDescent="0.3">
      <c r="A8" s="31"/>
      <c r="B8" s="165" t="s">
        <v>336</v>
      </c>
      <c r="C8" s="6" t="s">
        <v>341</v>
      </c>
      <c r="D8" s="6" t="s">
        <v>340</v>
      </c>
      <c r="E8" s="361">
        <v>6</v>
      </c>
      <c r="F8" s="37">
        <v>20</v>
      </c>
      <c r="G8" s="37"/>
      <c r="H8" s="37">
        <v>1</v>
      </c>
      <c r="I8" s="37"/>
      <c r="J8" s="180">
        <v>0.95</v>
      </c>
      <c r="K8" s="181">
        <v>0</v>
      </c>
      <c r="L8" s="178">
        <f>(3600/E8)*H8*J8*(1-K8)</f>
        <v>570</v>
      </c>
      <c r="M8" s="182">
        <f>(3600/E8)*G8*J8*(1-K8)</f>
        <v>0</v>
      </c>
      <c r="N8" s="178">
        <f t="shared" si="0"/>
        <v>4560</v>
      </c>
      <c r="O8" s="182">
        <f>M8*23</f>
        <v>0</v>
      </c>
      <c r="P8" s="165">
        <f>(N8)*F8</f>
        <v>91200</v>
      </c>
      <c r="Q8" s="182">
        <f>O8*F8</f>
        <v>0</v>
      </c>
      <c r="R8" s="178">
        <f t="shared" si="1"/>
        <v>1094400</v>
      </c>
      <c r="S8" s="37"/>
      <c r="T8" s="37"/>
      <c r="U8" s="354"/>
      <c r="V8" s="43"/>
    </row>
    <row r="9" spans="1:25" ht="33.75" customHeight="1" x14ac:dyDescent="0.3">
      <c r="B9" s="422" t="s">
        <v>176</v>
      </c>
      <c r="C9" s="2" t="s">
        <v>177</v>
      </c>
      <c r="D9" s="176" t="s">
        <v>354</v>
      </c>
      <c r="E9" s="177">
        <v>9.1999999999999993</v>
      </c>
      <c r="F9" s="178">
        <v>20</v>
      </c>
      <c r="G9" s="179">
        <v>1</v>
      </c>
      <c r="H9" s="410">
        <v>1</v>
      </c>
      <c r="I9" s="178">
        <f>60*60*8</f>
        <v>28800</v>
      </c>
      <c r="J9" s="180">
        <v>0.95</v>
      </c>
      <c r="K9" s="181">
        <v>0</v>
      </c>
      <c r="L9" s="178">
        <f>(3600/E9)*H9*J9*(1-K9)</f>
        <v>371.73913043478262</v>
      </c>
      <c r="M9" s="182">
        <f>(3600/E9)*G9*J9*(1-K9)</f>
        <v>371.73913043478262</v>
      </c>
      <c r="N9" s="178">
        <f t="shared" si="0"/>
        <v>2973.913043478261</v>
      </c>
      <c r="O9" s="182">
        <f>M9*23</f>
        <v>8550</v>
      </c>
      <c r="P9" s="165">
        <f>(N9)*F9</f>
        <v>59478.260869565216</v>
      </c>
      <c r="Q9" s="182">
        <f>O9*F9</f>
        <v>171000</v>
      </c>
      <c r="R9" s="178">
        <f t="shared" si="1"/>
        <v>713739.13043478259</v>
      </c>
      <c r="S9" s="182">
        <f>Q9*12</f>
        <v>2052000</v>
      </c>
      <c r="T9" s="178"/>
      <c r="U9" s="411"/>
      <c r="V9" s="64"/>
    </row>
    <row r="10" spans="1:25" ht="34.5" customHeight="1" x14ac:dyDescent="0.3">
      <c r="B10" s="422"/>
      <c r="C10" s="2" t="s">
        <v>174</v>
      </c>
      <c r="D10" s="3" t="s">
        <v>355</v>
      </c>
      <c r="E10" s="7">
        <v>27.2</v>
      </c>
      <c r="F10" s="37">
        <v>20</v>
      </c>
      <c r="G10" s="44">
        <v>0.5</v>
      </c>
      <c r="H10" s="44">
        <v>2</v>
      </c>
      <c r="I10" s="37"/>
      <c r="J10" s="39">
        <v>0.95</v>
      </c>
      <c r="K10" s="40">
        <v>0</v>
      </c>
      <c r="L10" s="37">
        <f>(3600/E10)*H10*J10*(1-K10)</f>
        <v>251.47058823529409</v>
      </c>
      <c r="M10" s="73">
        <f>(3600/E10)*G10*J10*(1-K10)</f>
        <v>62.867647058823522</v>
      </c>
      <c r="N10" s="37">
        <f t="shared" si="0"/>
        <v>2011.7647058823527</v>
      </c>
      <c r="O10" s="73">
        <f>M10*23</f>
        <v>1445.955882352941</v>
      </c>
      <c r="P10" s="183">
        <f>(N10)*F10</f>
        <v>40235.294117647056</v>
      </c>
      <c r="Q10" s="73">
        <f>O10*F10</f>
        <v>28919.117647058818</v>
      </c>
      <c r="R10" s="37">
        <f t="shared" si="1"/>
        <v>482823.5294117647</v>
      </c>
      <c r="S10" s="73"/>
      <c r="T10" s="37"/>
      <c r="U10" s="412"/>
      <c r="V10" s="48"/>
    </row>
    <row r="13" spans="1:25" x14ac:dyDescent="0.3">
      <c r="Y13" s="357"/>
    </row>
    <row r="14" spans="1:25" x14ac:dyDescent="0.3">
      <c r="P14" s="358"/>
      <c r="Y14" s="359"/>
    </row>
    <row r="15" spans="1:25" hidden="1" x14ac:dyDescent="0.3">
      <c r="C15" s="421"/>
      <c r="D15" s="421"/>
      <c r="E15" s="32"/>
      <c r="F15" s="32"/>
      <c r="G15" s="32"/>
      <c r="H15" s="32"/>
      <c r="I15" s="32"/>
      <c r="J15" s="32"/>
      <c r="K15" s="32" t="s">
        <v>87</v>
      </c>
      <c r="L15" s="68" t="s">
        <v>88</v>
      </c>
      <c r="M15" s="68"/>
      <c r="N15" s="32" t="s">
        <v>90</v>
      </c>
      <c r="O15" s="32"/>
      <c r="P15" s="32" t="s">
        <v>92</v>
      </c>
      <c r="Q15" s="32"/>
      <c r="R15" s="32" t="s">
        <v>92</v>
      </c>
      <c r="S15" s="32"/>
      <c r="T15" s="69"/>
      <c r="U15" s="69"/>
      <c r="V15" s="70"/>
    </row>
    <row r="16" spans="1:25" hidden="1" x14ac:dyDescent="0.3">
      <c r="C16" s="423"/>
      <c r="D16" s="423"/>
      <c r="E16" s="32"/>
      <c r="F16" s="32"/>
      <c r="G16" s="32"/>
      <c r="H16" s="32"/>
      <c r="I16" s="32"/>
      <c r="J16" s="32"/>
      <c r="K16" s="32" t="s">
        <v>99</v>
      </c>
      <c r="L16" s="32" t="s">
        <v>115</v>
      </c>
      <c r="M16" s="32"/>
      <c r="N16" s="32" t="s">
        <v>101</v>
      </c>
      <c r="O16" s="32"/>
      <c r="P16" s="32" t="s">
        <v>102</v>
      </c>
      <c r="Q16" s="32"/>
      <c r="R16" s="32" t="s">
        <v>104</v>
      </c>
      <c r="S16" s="32"/>
      <c r="T16" s="71"/>
      <c r="U16" s="71"/>
    </row>
    <row r="17" spans="3:23" hidden="1" x14ac:dyDescent="0.3">
      <c r="C17" s="36"/>
      <c r="D17" s="36"/>
      <c r="E17" s="13"/>
      <c r="F17" s="37"/>
      <c r="G17" s="37"/>
      <c r="H17" s="37"/>
      <c r="I17" s="37"/>
      <c r="J17" s="39"/>
      <c r="K17" s="40">
        <v>0</v>
      </c>
      <c r="L17" s="37" t="e">
        <f t="shared" ref="L17:L23" si="2">(3600/E17)*H17*J17*(1-K17)</f>
        <v>#DIV/0!</v>
      </c>
      <c r="M17" s="37"/>
      <c r="N17" s="37" t="e">
        <f t="shared" ref="N17:N23" si="3">L17*8</f>
        <v>#DIV/0!</v>
      </c>
      <c r="O17" s="37"/>
      <c r="P17" s="37" t="e">
        <f>(N17+#REF!)*F17</f>
        <v>#DIV/0!</v>
      </c>
      <c r="Q17" s="37"/>
      <c r="R17" s="37" t="e">
        <f t="shared" ref="R17:R23" si="4">P17*12</f>
        <v>#DIV/0!</v>
      </c>
      <c r="S17" s="37"/>
      <c r="T17" s="37"/>
      <c r="U17" s="37"/>
      <c r="V17" s="43"/>
    </row>
    <row r="18" spans="3:23" hidden="1" x14ac:dyDescent="0.3">
      <c r="C18" s="36"/>
      <c r="D18" s="36"/>
      <c r="E18" s="13"/>
      <c r="F18" s="37"/>
      <c r="G18" s="37"/>
      <c r="H18" s="37"/>
      <c r="I18" s="37"/>
      <c r="J18" s="39"/>
      <c r="K18" s="40">
        <v>0</v>
      </c>
      <c r="L18" s="37" t="e">
        <f t="shared" si="2"/>
        <v>#DIV/0!</v>
      </c>
      <c r="M18" s="37"/>
      <c r="N18" s="37" t="e">
        <f t="shared" si="3"/>
        <v>#DIV/0!</v>
      </c>
      <c r="O18" s="37"/>
      <c r="P18" s="37" t="e">
        <f>(N18+#REF!)*F18</f>
        <v>#DIV/0!</v>
      </c>
      <c r="Q18" s="37"/>
      <c r="R18" s="37" t="e">
        <f t="shared" si="4"/>
        <v>#DIV/0!</v>
      </c>
      <c r="S18" s="37"/>
      <c r="T18" s="37"/>
      <c r="U18" s="37"/>
      <c r="V18" s="43"/>
    </row>
    <row r="19" spans="3:23" hidden="1" x14ac:dyDescent="0.3">
      <c r="C19" s="36"/>
      <c r="D19" s="36"/>
      <c r="E19" s="13"/>
      <c r="F19" s="37"/>
      <c r="G19" s="37"/>
      <c r="H19" s="37"/>
      <c r="I19" s="37"/>
      <c r="J19" s="39"/>
      <c r="K19" s="40">
        <v>0</v>
      </c>
      <c r="L19" s="37" t="e">
        <f t="shared" si="2"/>
        <v>#DIV/0!</v>
      </c>
      <c r="M19" s="37"/>
      <c r="N19" s="37" t="e">
        <f t="shared" si="3"/>
        <v>#DIV/0!</v>
      </c>
      <c r="O19" s="37"/>
      <c r="P19" s="37" t="e">
        <f>(N19+#REF!)*F19</f>
        <v>#DIV/0!</v>
      </c>
      <c r="Q19" s="37"/>
      <c r="R19" s="37" t="e">
        <f t="shared" si="4"/>
        <v>#DIV/0!</v>
      </c>
      <c r="S19" s="37"/>
      <c r="T19" s="37"/>
      <c r="U19" s="37"/>
      <c r="V19" s="43"/>
    </row>
    <row r="20" spans="3:23" hidden="1" x14ac:dyDescent="0.3">
      <c r="C20" s="36"/>
      <c r="D20" s="36"/>
      <c r="E20" s="13"/>
      <c r="F20" s="37"/>
      <c r="G20" s="37"/>
      <c r="H20" s="37"/>
      <c r="I20" s="37"/>
      <c r="J20" s="39"/>
      <c r="K20" s="40">
        <v>0</v>
      </c>
      <c r="L20" s="37" t="e">
        <f t="shared" si="2"/>
        <v>#DIV/0!</v>
      </c>
      <c r="M20" s="37"/>
      <c r="N20" s="37" t="e">
        <f t="shared" si="3"/>
        <v>#DIV/0!</v>
      </c>
      <c r="O20" s="37"/>
      <c r="P20" s="37" t="e">
        <f>(N20+#REF!)*F20</f>
        <v>#DIV/0!</v>
      </c>
      <c r="Q20" s="37"/>
      <c r="R20" s="37" t="e">
        <f t="shared" si="4"/>
        <v>#DIV/0!</v>
      </c>
      <c r="S20" s="37"/>
      <c r="T20" s="37"/>
      <c r="U20" s="37"/>
      <c r="V20" s="43"/>
    </row>
    <row r="21" spans="3:23" hidden="1" x14ac:dyDescent="0.3">
      <c r="C21" s="36"/>
      <c r="D21" s="36"/>
      <c r="E21" s="13"/>
      <c r="F21" s="37"/>
      <c r="G21" s="37"/>
      <c r="H21" s="37"/>
      <c r="I21" s="37"/>
      <c r="J21" s="39"/>
      <c r="K21" s="40">
        <v>0</v>
      </c>
      <c r="L21" s="37" t="e">
        <f t="shared" si="2"/>
        <v>#DIV/0!</v>
      </c>
      <c r="M21" s="37"/>
      <c r="N21" s="37" t="e">
        <f t="shared" si="3"/>
        <v>#DIV/0!</v>
      </c>
      <c r="O21" s="37"/>
      <c r="P21" s="37" t="e">
        <f>(N21+#REF!)*F21</f>
        <v>#DIV/0!</v>
      </c>
      <c r="Q21" s="37"/>
      <c r="R21" s="37" t="e">
        <f t="shared" si="4"/>
        <v>#DIV/0!</v>
      </c>
      <c r="S21" s="37"/>
      <c r="T21" s="37"/>
      <c r="U21" s="37"/>
      <c r="V21" s="43"/>
    </row>
    <row r="22" spans="3:23" hidden="1" x14ac:dyDescent="0.3">
      <c r="C22" s="36"/>
      <c r="D22" s="36"/>
      <c r="E22" s="13"/>
      <c r="F22" s="37"/>
      <c r="G22" s="37"/>
      <c r="H22" s="37"/>
      <c r="I22" s="37"/>
      <c r="J22" s="39"/>
      <c r="K22" s="40">
        <v>0</v>
      </c>
      <c r="L22" s="37" t="e">
        <f t="shared" si="2"/>
        <v>#DIV/0!</v>
      </c>
      <c r="M22" s="37"/>
      <c r="N22" s="37" t="e">
        <f t="shared" si="3"/>
        <v>#DIV/0!</v>
      </c>
      <c r="O22" s="37"/>
      <c r="P22" s="37" t="e">
        <f>(N22+#REF!)*F22</f>
        <v>#DIV/0!</v>
      </c>
      <c r="Q22" s="37"/>
      <c r="R22" s="37" t="e">
        <f t="shared" si="4"/>
        <v>#DIV/0!</v>
      </c>
      <c r="S22" s="37"/>
      <c r="T22" s="37"/>
      <c r="U22" s="37"/>
      <c r="V22" s="43"/>
    </row>
    <row r="23" spans="3:23" hidden="1" x14ac:dyDescent="0.3">
      <c r="C23" s="36"/>
      <c r="D23" s="36"/>
      <c r="E23" s="13"/>
      <c r="F23" s="37"/>
      <c r="G23" s="37"/>
      <c r="H23" s="37"/>
      <c r="I23" s="37"/>
      <c r="J23" s="39"/>
      <c r="K23" s="40">
        <v>0</v>
      </c>
      <c r="L23" s="37" t="e">
        <f t="shared" si="2"/>
        <v>#DIV/0!</v>
      </c>
      <c r="M23" s="37"/>
      <c r="N23" s="37" t="e">
        <f t="shared" si="3"/>
        <v>#DIV/0!</v>
      </c>
      <c r="O23" s="37"/>
      <c r="P23" s="37" t="e">
        <f>(N23+#REF!)*F23</f>
        <v>#DIV/0!</v>
      </c>
      <c r="Q23" s="37"/>
      <c r="R23" s="37" t="e">
        <f t="shared" si="4"/>
        <v>#DIV/0!</v>
      </c>
      <c r="S23" s="37"/>
      <c r="T23" s="37"/>
      <c r="U23" s="37"/>
      <c r="V23" s="43"/>
    </row>
    <row r="24" spans="3:23" x14ac:dyDescent="0.3">
      <c r="H24" s="360"/>
      <c r="U24" s="360"/>
      <c r="W24" s="357"/>
    </row>
  </sheetData>
  <mergeCells count="6">
    <mergeCell ref="U3:U4"/>
    <mergeCell ref="B9:B10"/>
    <mergeCell ref="C15:C16"/>
    <mergeCell ref="D15:D16"/>
    <mergeCell ref="B3:C4"/>
    <mergeCell ref="D3:D4"/>
  </mergeCells>
  <phoneticPr fontId="2" type="noConversion"/>
  <conditionalFormatting sqref="P6:P8">
    <cfRule type="top10" dxfId="101" priority="1" rank="10"/>
  </conditionalFormatting>
  <conditionalFormatting sqref="P9:P10">
    <cfRule type="top10" dxfId="100" priority="30" rank="10"/>
  </conditionalFormatting>
  <pageMargins left="0.7" right="0.7" top="0.75" bottom="0.75" header="0.3" footer="0.3"/>
  <pageSetup paperSize="9" scale="52"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8B26C-EA52-47EF-B781-DF50DCCA1A36}">
  <sheetPr>
    <pageSetUpPr fitToPage="1"/>
  </sheetPr>
  <dimension ref="A1:AE50"/>
  <sheetViews>
    <sheetView zoomScale="70" zoomScaleNormal="70" workbookViewId="0">
      <selection activeCell="D55" sqref="D55"/>
    </sheetView>
  </sheetViews>
  <sheetFormatPr defaultColWidth="9" defaultRowHeight="16.5" x14ac:dyDescent="0.3"/>
  <cols>
    <col min="1" max="1" width="2.75" style="26" customWidth="1"/>
    <col min="2" max="2" width="10.5" style="26" customWidth="1"/>
    <col min="3" max="3" width="19.625" style="26" customWidth="1"/>
    <col min="4" max="4" width="50" style="26" customWidth="1"/>
    <col min="5" max="5" width="8.375" style="27" bestFit="1" customWidth="1"/>
    <col min="6" max="6" width="6.375" style="26" bestFit="1" customWidth="1"/>
    <col min="7" max="7" width="6.375" style="26" customWidth="1"/>
    <col min="8" max="8" width="8.625" style="26" customWidth="1"/>
    <col min="9" max="9" width="13.75" style="26" hidden="1" customWidth="1"/>
    <col min="10" max="11" width="9.5" style="26" customWidth="1"/>
    <col min="12" max="12" width="12.75" style="26" customWidth="1"/>
    <col min="13" max="13" width="12.75" style="26" hidden="1" customWidth="1"/>
    <col min="14" max="14" width="15" style="26" customWidth="1"/>
    <col min="15" max="15" width="13.875" style="26" hidden="1" customWidth="1"/>
    <col min="16" max="16" width="11.875" style="26" customWidth="1"/>
    <col min="17" max="17" width="13.875" style="26" hidden="1" customWidth="1"/>
    <col min="18" max="18" width="13" style="26" customWidth="1"/>
    <col min="19" max="19" width="13.875" style="26" hidden="1" customWidth="1"/>
    <col min="20" max="20" width="20.25" style="27" hidden="1" customWidth="1"/>
    <col min="21" max="21" width="47.625" style="26" bestFit="1" customWidth="1"/>
    <col min="22" max="22" width="3.875" style="26" customWidth="1"/>
    <col min="23" max="23" width="11" style="26" bestFit="1" customWidth="1"/>
    <col min="24" max="24" width="9" style="26"/>
    <col min="25" max="25" width="9.875" style="26" bestFit="1" customWidth="1"/>
    <col min="26" max="16384" width="9" style="26"/>
  </cols>
  <sheetData>
    <row r="1" spans="1:24" ht="9.75" customHeight="1" x14ac:dyDescent="0.3"/>
    <row r="2" spans="1:24" s="28" customFormat="1" ht="33.4" customHeight="1" x14ac:dyDescent="0.3">
      <c r="C2" s="29" t="s">
        <v>78</v>
      </c>
      <c r="E2" s="30"/>
      <c r="T2" s="30"/>
    </row>
    <row r="3" spans="1:24" x14ac:dyDescent="0.3">
      <c r="A3" s="31"/>
      <c r="B3" s="421" t="s">
        <v>79</v>
      </c>
      <c r="C3" s="421"/>
      <c r="D3" s="421" t="s">
        <v>80</v>
      </c>
      <c r="E3" s="32" t="s">
        <v>81</v>
      </c>
      <c r="F3" s="32" t="s">
        <v>82</v>
      </c>
      <c r="G3" s="163" t="s">
        <v>83</v>
      </c>
      <c r="H3" s="32" t="s">
        <v>84</v>
      </c>
      <c r="I3" s="32" t="s">
        <v>85</v>
      </c>
      <c r="J3" s="32" t="s">
        <v>86</v>
      </c>
      <c r="K3" s="32" t="s">
        <v>87</v>
      </c>
      <c r="L3" s="68" t="s">
        <v>88</v>
      </c>
      <c r="M3" s="164" t="s">
        <v>89</v>
      </c>
      <c r="N3" s="32" t="s">
        <v>128</v>
      </c>
      <c r="O3" s="35" t="s">
        <v>91</v>
      </c>
      <c r="P3" s="32" t="s">
        <v>127</v>
      </c>
      <c r="Q3" s="35" t="s">
        <v>93</v>
      </c>
      <c r="R3" s="32" t="s">
        <v>126</v>
      </c>
      <c r="S3" s="35" t="s">
        <v>94</v>
      </c>
      <c r="T3" s="32" t="s">
        <v>218</v>
      </c>
      <c r="U3" s="421" t="s">
        <v>31</v>
      </c>
      <c r="V3" s="31"/>
    </row>
    <row r="4" spans="1:24" ht="17.649999999999999" customHeight="1" x14ac:dyDescent="0.3">
      <c r="A4" s="31"/>
      <c r="B4" s="421"/>
      <c r="C4" s="421"/>
      <c r="D4" s="423"/>
      <c r="E4" s="32" t="s">
        <v>95</v>
      </c>
      <c r="F4" s="32" t="s">
        <v>96</v>
      </c>
      <c r="G4" s="33" t="s">
        <v>97</v>
      </c>
      <c r="H4" s="33" t="s">
        <v>97</v>
      </c>
      <c r="I4" s="34" t="s">
        <v>98</v>
      </c>
      <c r="J4" s="32" t="s">
        <v>99</v>
      </c>
      <c r="K4" s="32" t="s">
        <v>99</v>
      </c>
      <c r="L4" s="32" t="s">
        <v>117</v>
      </c>
      <c r="M4" s="35" t="s">
        <v>100</v>
      </c>
      <c r="N4" s="32" t="s">
        <v>123</v>
      </c>
      <c r="O4" s="35" t="s">
        <v>101</v>
      </c>
      <c r="P4" s="32" t="s">
        <v>124</v>
      </c>
      <c r="Q4" s="35" t="s">
        <v>103</v>
      </c>
      <c r="R4" s="32" t="s">
        <v>125</v>
      </c>
      <c r="S4" s="35" t="s">
        <v>105</v>
      </c>
      <c r="T4" s="32" t="s">
        <v>97</v>
      </c>
      <c r="U4" s="421"/>
      <c r="V4" s="27"/>
      <c r="X4" s="162"/>
    </row>
    <row r="5" spans="1:24" ht="16.5" hidden="1" customHeight="1" x14ac:dyDescent="0.3">
      <c r="A5" s="31"/>
      <c r="B5" s="165"/>
      <c r="C5" s="36" t="s">
        <v>106</v>
      </c>
      <c r="D5" s="36" t="s">
        <v>107</v>
      </c>
      <c r="E5" s="13">
        <v>4.4000000000000004</v>
      </c>
      <c r="F5" s="37">
        <v>20</v>
      </c>
      <c r="G5" s="37"/>
      <c r="H5" s="37">
        <v>1</v>
      </c>
      <c r="I5" s="38">
        <f t="shared" ref="I5:I36" si="0">60*60*8</f>
        <v>28800</v>
      </c>
      <c r="J5" s="39">
        <v>0.8</v>
      </c>
      <c r="K5" s="40">
        <v>0</v>
      </c>
      <c r="L5" s="41">
        <f>(3600/E5)*H5*J5*(1-K5)</f>
        <v>654.5454545454545</v>
      </c>
      <c r="M5" s="42"/>
      <c r="N5" s="41">
        <f>L5*8</f>
        <v>5236.363636363636</v>
      </c>
      <c r="O5" s="42"/>
      <c r="P5" s="41" t="e">
        <f>(N5+#REF!)*F5</f>
        <v>#REF!</v>
      </c>
      <c r="Q5" s="42"/>
      <c r="R5" s="41" t="e">
        <f t="shared" ref="R5:S36" si="1">P5*12</f>
        <v>#REF!</v>
      </c>
      <c r="S5" s="42"/>
      <c r="T5" s="73"/>
      <c r="U5" s="34"/>
      <c r="V5" s="43"/>
    </row>
    <row r="6" spans="1:24" x14ac:dyDescent="0.3">
      <c r="B6" s="422" t="s">
        <v>0</v>
      </c>
      <c r="C6" s="425" t="s">
        <v>1</v>
      </c>
      <c r="D6" s="3" t="s">
        <v>119</v>
      </c>
      <c r="E6" s="4">
        <v>192.5</v>
      </c>
      <c r="F6" s="37">
        <v>30</v>
      </c>
      <c r="G6" s="44">
        <v>1</v>
      </c>
      <c r="H6" s="44">
        <v>1</v>
      </c>
      <c r="I6" s="38">
        <f t="shared" si="0"/>
        <v>28800</v>
      </c>
      <c r="J6" s="39">
        <v>0.9</v>
      </c>
      <c r="K6" s="40">
        <v>0.01</v>
      </c>
      <c r="L6" s="41">
        <f>(3600/E6)*H6*J6*(1-K6)</f>
        <v>16.662857142857142</v>
      </c>
      <c r="M6" s="42">
        <f>(3600/E6)*G6*J6*(1-K6)</f>
        <v>16.662857142857142</v>
      </c>
      <c r="N6" s="41">
        <f t="shared" ref="N6:N12" si="2">L6*24</f>
        <v>399.90857142857141</v>
      </c>
      <c r="O6" s="42">
        <f>M6*23</f>
        <v>383.24571428571426</v>
      </c>
      <c r="P6" s="45">
        <f t="shared" ref="P6:P36" si="3">(N6)*F6</f>
        <v>11997.257142857143</v>
      </c>
      <c r="Q6" s="42">
        <f>O6*F6</f>
        <v>11497.371428571427</v>
      </c>
      <c r="R6" s="41">
        <f t="shared" si="1"/>
        <v>143967.08571428573</v>
      </c>
      <c r="S6" s="42">
        <f>Q6*12</f>
        <v>137968.45714285714</v>
      </c>
      <c r="T6" s="37" t="s">
        <v>219</v>
      </c>
      <c r="U6" s="166" t="s">
        <v>108</v>
      </c>
      <c r="V6" s="46"/>
    </row>
    <row r="7" spans="1:24" ht="15.75" customHeight="1" x14ac:dyDescent="0.3">
      <c r="B7" s="422"/>
      <c r="C7" s="425"/>
      <c r="D7" s="3" t="s">
        <v>120</v>
      </c>
      <c r="E7" s="4">
        <v>256.5</v>
      </c>
      <c r="F7" s="37">
        <v>30</v>
      </c>
      <c r="G7" s="44">
        <v>1</v>
      </c>
      <c r="H7" s="44">
        <v>1</v>
      </c>
      <c r="I7" s="38">
        <f t="shared" si="0"/>
        <v>28800</v>
      </c>
      <c r="J7" s="39">
        <v>0.9</v>
      </c>
      <c r="K7" s="40">
        <v>0.01</v>
      </c>
      <c r="L7" s="41">
        <f t="shared" ref="L7:L36" si="4">(3600/E7)*H7*J7*(1-K7)</f>
        <v>12.505263157894737</v>
      </c>
      <c r="M7" s="42">
        <f>(3600/E7)*G7*J7*(1-K7)</f>
        <v>12.505263157894737</v>
      </c>
      <c r="N7" s="41">
        <f t="shared" si="2"/>
        <v>300.12631578947367</v>
      </c>
      <c r="O7" s="42">
        <f>M7*23</f>
        <v>287.62105263157895</v>
      </c>
      <c r="P7" s="45">
        <f>(N7)*F7</f>
        <v>9003.78947368421</v>
      </c>
      <c r="Q7" s="42">
        <f>O7*F7</f>
        <v>8628.6315789473683</v>
      </c>
      <c r="R7" s="41">
        <f>P7*12</f>
        <v>108045.47368421052</v>
      </c>
      <c r="S7" s="42">
        <f>Q7*12</f>
        <v>103543.57894736843</v>
      </c>
      <c r="T7" s="37" t="s">
        <v>219</v>
      </c>
      <c r="U7" s="166" t="s">
        <v>109</v>
      </c>
      <c r="V7" s="46"/>
    </row>
    <row r="8" spans="1:24" x14ac:dyDescent="0.3">
      <c r="B8" s="422"/>
      <c r="C8" s="425"/>
      <c r="D8" s="3" t="s">
        <v>121</v>
      </c>
      <c r="E8" s="4">
        <v>192.5</v>
      </c>
      <c r="F8" s="37">
        <v>30</v>
      </c>
      <c r="G8" s="44">
        <v>1</v>
      </c>
      <c r="H8" s="44">
        <v>1</v>
      </c>
      <c r="I8" s="38">
        <f t="shared" si="0"/>
        <v>28800</v>
      </c>
      <c r="J8" s="39">
        <v>0.9</v>
      </c>
      <c r="K8" s="40">
        <v>0.01</v>
      </c>
      <c r="L8" s="41">
        <f t="shared" si="4"/>
        <v>16.662857142857142</v>
      </c>
      <c r="M8" s="42">
        <f>(3600/E8)*G8*J8*(1-K8)</f>
        <v>16.662857142857142</v>
      </c>
      <c r="N8" s="41">
        <f t="shared" si="2"/>
        <v>399.90857142857141</v>
      </c>
      <c r="O8" s="42">
        <f>M8*23</f>
        <v>383.24571428571426</v>
      </c>
      <c r="P8" s="45">
        <f>(N8)*F8</f>
        <v>11997.257142857143</v>
      </c>
      <c r="Q8" s="42">
        <f>O8*F8</f>
        <v>11497.371428571427</v>
      </c>
      <c r="R8" s="41">
        <f>P8*12</f>
        <v>143967.08571428573</v>
      </c>
      <c r="S8" s="42">
        <f>Q8*12</f>
        <v>137968.45714285714</v>
      </c>
      <c r="T8" s="37" t="s">
        <v>219</v>
      </c>
      <c r="U8" s="166" t="s">
        <v>108</v>
      </c>
      <c r="V8" s="46"/>
    </row>
    <row r="9" spans="1:24" x14ac:dyDescent="0.3">
      <c r="B9" s="424"/>
      <c r="C9" s="425"/>
      <c r="D9" s="3" t="s">
        <v>122</v>
      </c>
      <c r="E9" s="4">
        <v>192.5</v>
      </c>
      <c r="F9" s="37">
        <v>30</v>
      </c>
      <c r="G9" s="44">
        <v>1</v>
      </c>
      <c r="H9" s="44">
        <v>1</v>
      </c>
      <c r="I9" s="38">
        <f t="shared" si="0"/>
        <v>28800</v>
      </c>
      <c r="J9" s="39">
        <v>0.9</v>
      </c>
      <c r="K9" s="40">
        <v>0.01</v>
      </c>
      <c r="L9" s="41">
        <f>(3600/E9)*H9*J9*(1-K9)</f>
        <v>16.662857142857142</v>
      </c>
      <c r="M9" s="42">
        <f t="shared" ref="M9:M36" si="5">(3600/E9)*G9*J9*(1-K9)</f>
        <v>16.662857142857142</v>
      </c>
      <c r="N9" s="41">
        <f t="shared" si="2"/>
        <v>399.90857142857141</v>
      </c>
      <c r="O9" s="42">
        <f>M9*23</f>
        <v>383.24571428571426</v>
      </c>
      <c r="P9" s="45">
        <f t="shared" si="3"/>
        <v>11997.257142857143</v>
      </c>
      <c r="Q9" s="42">
        <f t="shared" ref="Q9:Q36" si="6">O9*F9</f>
        <v>11497.371428571427</v>
      </c>
      <c r="R9" s="41">
        <f t="shared" si="1"/>
        <v>143967.08571428573</v>
      </c>
      <c r="S9" s="42">
        <f t="shared" si="1"/>
        <v>137968.45714285714</v>
      </c>
      <c r="T9" s="37" t="s">
        <v>219</v>
      </c>
      <c r="U9" s="166" t="s">
        <v>108</v>
      </c>
      <c r="V9" s="46"/>
    </row>
    <row r="10" spans="1:24" ht="16.5" hidden="1" customHeight="1" x14ac:dyDescent="0.3">
      <c r="B10" s="424"/>
      <c r="C10" s="425"/>
      <c r="D10" s="5"/>
      <c r="E10" s="4">
        <v>240</v>
      </c>
      <c r="F10" s="37">
        <v>20</v>
      </c>
      <c r="G10" s="44">
        <v>1</v>
      </c>
      <c r="H10" s="44"/>
      <c r="I10" s="38">
        <f t="shared" si="0"/>
        <v>28800</v>
      </c>
      <c r="J10" s="39">
        <v>0.9</v>
      </c>
      <c r="K10" s="40">
        <v>0.02</v>
      </c>
      <c r="L10" s="41">
        <f t="shared" si="4"/>
        <v>0</v>
      </c>
      <c r="M10" s="42">
        <f t="shared" si="5"/>
        <v>13.23</v>
      </c>
      <c r="N10" s="41">
        <f t="shared" si="2"/>
        <v>0</v>
      </c>
      <c r="O10" s="42">
        <f t="shared" ref="O10:O17" si="7">M10*23</f>
        <v>304.29000000000002</v>
      </c>
      <c r="P10" s="45">
        <f t="shared" si="3"/>
        <v>0</v>
      </c>
      <c r="Q10" s="42">
        <f t="shared" si="6"/>
        <v>6085.8</v>
      </c>
      <c r="R10" s="41">
        <f t="shared" si="1"/>
        <v>0</v>
      </c>
      <c r="S10" s="42">
        <f t="shared" si="1"/>
        <v>73029.600000000006</v>
      </c>
      <c r="T10" s="37" t="s">
        <v>219</v>
      </c>
      <c r="U10" s="168"/>
      <c r="V10" s="46"/>
    </row>
    <row r="11" spans="1:24" ht="16.5" hidden="1" customHeight="1" x14ac:dyDescent="0.3">
      <c r="B11" s="424"/>
      <c r="C11" s="425"/>
      <c r="D11" s="5"/>
      <c r="E11" s="4">
        <v>480</v>
      </c>
      <c r="F11" s="37">
        <v>20</v>
      </c>
      <c r="G11" s="44">
        <v>1</v>
      </c>
      <c r="H11" s="44"/>
      <c r="I11" s="38">
        <f t="shared" si="0"/>
        <v>28800</v>
      </c>
      <c r="J11" s="39">
        <v>0.9</v>
      </c>
      <c r="K11" s="40">
        <v>0.02</v>
      </c>
      <c r="L11" s="41">
        <f t="shared" si="4"/>
        <v>0</v>
      </c>
      <c r="M11" s="42">
        <f t="shared" si="5"/>
        <v>6.6150000000000002</v>
      </c>
      <c r="N11" s="41">
        <f t="shared" si="2"/>
        <v>0</v>
      </c>
      <c r="O11" s="42">
        <f t="shared" si="7"/>
        <v>152.14500000000001</v>
      </c>
      <c r="P11" s="45">
        <f t="shared" si="3"/>
        <v>0</v>
      </c>
      <c r="Q11" s="42">
        <f t="shared" si="6"/>
        <v>3042.9</v>
      </c>
      <c r="R11" s="41">
        <f t="shared" si="1"/>
        <v>0</v>
      </c>
      <c r="S11" s="42">
        <f t="shared" si="1"/>
        <v>36514.800000000003</v>
      </c>
      <c r="T11" s="37" t="s">
        <v>219</v>
      </c>
      <c r="U11" s="168"/>
      <c r="V11" s="46"/>
    </row>
    <row r="12" spans="1:24" ht="16.5" hidden="1" customHeight="1" x14ac:dyDescent="0.3">
      <c r="B12" s="424"/>
      <c r="C12" s="425"/>
      <c r="D12" s="5"/>
      <c r="E12" s="4">
        <v>75</v>
      </c>
      <c r="F12" s="37">
        <v>20</v>
      </c>
      <c r="G12" s="44">
        <v>1</v>
      </c>
      <c r="H12" s="44"/>
      <c r="I12" s="38">
        <f t="shared" si="0"/>
        <v>28800</v>
      </c>
      <c r="J12" s="39">
        <v>0.9</v>
      </c>
      <c r="K12" s="40">
        <v>0.02</v>
      </c>
      <c r="L12" s="41">
        <f t="shared" si="4"/>
        <v>0</v>
      </c>
      <c r="M12" s="42">
        <f t="shared" si="5"/>
        <v>42.335999999999999</v>
      </c>
      <c r="N12" s="41">
        <f t="shared" si="2"/>
        <v>0</v>
      </c>
      <c r="O12" s="42">
        <f t="shared" si="7"/>
        <v>973.72799999999995</v>
      </c>
      <c r="P12" s="45">
        <f t="shared" si="3"/>
        <v>0</v>
      </c>
      <c r="Q12" s="42">
        <f t="shared" si="6"/>
        <v>19474.559999999998</v>
      </c>
      <c r="R12" s="41">
        <f t="shared" si="1"/>
        <v>0</v>
      </c>
      <c r="S12" s="42">
        <f t="shared" si="1"/>
        <v>233694.71999999997</v>
      </c>
      <c r="T12" s="37" t="s">
        <v>219</v>
      </c>
      <c r="U12" s="168"/>
      <c r="V12" s="46"/>
    </row>
    <row r="13" spans="1:24" ht="16.5" hidden="1" customHeight="1" x14ac:dyDescent="0.3">
      <c r="B13" s="424"/>
      <c r="C13" s="425"/>
      <c r="D13" s="6" t="s">
        <v>2</v>
      </c>
      <c r="E13" s="7">
        <v>4</v>
      </c>
      <c r="F13" s="37">
        <v>20</v>
      </c>
      <c r="G13" s="44">
        <v>1</v>
      </c>
      <c r="H13" s="44"/>
      <c r="I13" s="38">
        <f t="shared" si="0"/>
        <v>28800</v>
      </c>
      <c r="J13" s="39">
        <v>0.9</v>
      </c>
      <c r="K13" s="40">
        <v>0</v>
      </c>
      <c r="L13" s="41">
        <f t="shared" si="4"/>
        <v>0</v>
      </c>
      <c r="M13" s="42">
        <f t="shared" si="5"/>
        <v>810</v>
      </c>
      <c r="N13" s="41">
        <f t="shared" ref="N13:N18" si="8">L13*8</f>
        <v>0</v>
      </c>
      <c r="O13" s="42">
        <f t="shared" si="7"/>
        <v>18630</v>
      </c>
      <c r="P13" s="45">
        <f t="shared" si="3"/>
        <v>0</v>
      </c>
      <c r="Q13" s="42">
        <f t="shared" si="6"/>
        <v>372600</v>
      </c>
      <c r="R13" s="41">
        <f t="shared" si="1"/>
        <v>0</v>
      </c>
      <c r="S13" s="42">
        <f t="shared" si="1"/>
        <v>4471200</v>
      </c>
      <c r="T13" s="37" t="s">
        <v>219</v>
      </c>
      <c r="U13" s="168"/>
      <c r="V13" s="47"/>
    </row>
    <row r="14" spans="1:24" ht="16.5" hidden="1" customHeight="1" x14ac:dyDescent="0.3">
      <c r="B14" s="424"/>
      <c r="C14" s="425"/>
      <c r="D14" s="6" t="s">
        <v>3</v>
      </c>
      <c r="E14" s="7">
        <v>10</v>
      </c>
      <c r="F14" s="37">
        <v>20</v>
      </c>
      <c r="G14" s="44">
        <v>1</v>
      </c>
      <c r="H14" s="44"/>
      <c r="I14" s="38">
        <f t="shared" si="0"/>
        <v>28800</v>
      </c>
      <c r="J14" s="39">
        <v>0.9</v>
      </c>
      <c r="K14" s="40">
        <v>0</v>
      </c>
      <c r="L14" s="41">
        <f t="shared" si="4"/>
        <v>0</v>
      </c>
      <c r="M14" s="42">
        <f t="shared" si="5"/>
        <v>324</v>
      </c>
      <c r="N14" s="41">
        <f t="shared" si="8"/>
        <v>0</v>
      </c>
      <c r="O14" s="42">
        <f t="shared" si="7"/>
        <v>7452</v>
      </c>
      <c r="P14" s="45">
        <f t="shared" si="3"/>
        <v>0</v>
      </c>
      <c r="Q14" s="42">
        <f t="shared" si="6"/>
        <v>149040</v>
      </c>
      <c r="R14" s="41">
        <f t="shared" si="1"/>
        <v>0</v>
      </c>
      <c r="S14" s="42">
        <f t="shared" si="1"/>
        <v>1788480</v>
      </c>
      <c r="T14" s="37" t="s">
        <v>219</v>
      </c>
      <c r="U14" s="168"/>
      <c r="V14" s="48"/>
    </row>
    <row r="15" spans="1:24" ht="27" x14ac:dyDescent="0.3">
      <c r="B15" s="424"/>
      <c r="C15" s="425"/>
      <c r="D15" s="3" t="s">
        <v>4</v>
      </c>
      <c r="E15" s="7">
        <v>9</v>
      </c>
      <c r="F15" s="37">
        <v>20</v>
      </c>
      <c r="G15" s="44">
        <v>1</v>
      </c>
      <c r="H15" s="44">
        <v>1</v>
      </c>
      <c r="I15" s="38">
        <f t="shared" si="0"/>
        <v>28800</v>
      </c>
      <c r="J15" s="39">
        <v>0.9</v>
      </c>
      <c r="K15" s="40">
        <v>0</v>
      </c>
      <c r="L15" s="41">
        <f t="shared" si="4"/>
        <v>360</v>
      </c>
      <c r="M15" s="42">
        <f t="shared" si="5"/>
        <v>360</v>
      </c>
      <c r="N15" s="41">
        <f t="shared" si="8"/>
        <v>2880</v>
      </c>
      <c r="O15" s="42">
        <f t="shared" si="7"/>
        <v>8280</v>
      </c>
      <c r="P15" s="45">
        <f t="shared" si="3"/>
        <v>57600</v>
      </c>
      <c r="Q15" s="42">
        <f t="shared" si="6"/>
        <v>165600</v>
      </c>
      <c r="R15" s="41">
        <f t="shared" si="1"/>
        <v>691200</v>
      </c>
      <c r="S15" s="42">
        <f t="shared" si="1"/>
        <v>1987200</v>
      </c>
      <c r="T15" s="37" t="s">
        <v>219</v>
      </c>
      <c r="U15" s="169" t="s">
        <v>110</v>
      </c>
      <c r="V15" s="48"/>
    </row>
    <row r="16" spans="1:24" x14ac:dyDescent="0.3">
      <c r="B16" s="424" t="s">
        <v>5</v>
      </c>
      <c r="C16" s="2" t="s">
        <v>6</v>
      </c>
      <c r="D16" s="3" t="s">
        <v>7</v>
      </c>
      <c r="E16" s="7">
        <v>27</v>
      </c>
      <c r="F16" s="37">
        <v>20</v>
      </c>
      <c r="G16" s="44">
        <v>3</v>
      </c>
      <c r="H16" s="44">
        <v>3</v>
      </c>
      <c r="I16" s="38">
        <f t="shared" si="0"/>
        <v>28800</v>
      </c>
      <c r="J16" s="39">
        <v>0.9</v>
      </c>
      <c r="K16" s="40">
        <v>0.01</v>
      </c>
      <c r="L16" s="41">
        <f t="shared" si="4"/>
        <v>356.4</v>
      </c>
      <c r="M16" s="42">
        <f t="shared" si="5"/>
        <v>356.4</v>
      </c>
      <c r="N16" s="41">
        <f t="shared" si="8"/>
        <v>2851.2</v>
      </c>
      <c r="O16" s="42">
        <f t="shared" si="7"/>
        <v>8197.1999999999989</v>
      </c>
      <c r="P16" s="45">
        <f t="shared" si="3"/>
        <v>57024</v>
      </c>
      <c r="Q16" s="42">
        <f t="shared" si="6"/>
        <v>163943.99999999997</v>
      </c>
      <c r="R16" s="41">
        <f t="shared" si="1"/>
        <v>684288</v>
      </c>
      <c r="S16" s="42">
        <f t="shared" si="1"/>
        <v>1967327.9999999995</v>
      </c>
      <c r="T16" s="37" t="s">
        <v>220</v>
      </c>
      <c r="U16" s="168"/>
      <c r="V16" s="49"/>
    </row>
    <row r="17" spans="2:31" x14ac:dyDescent="0.3">
      <c r="B17" s="424"/>
      <c r="C17" s="8" t="s">
        <v>230</v>
      </c>
      <c r="D17" s="3" t="s">
        <v>229</v>
      </c>
      <c r="E17" s="7">
        <v>4.5</v>
      </c>
      <c r="F17" s="37">
        <v>20</v>
      </c>
      <c r="G17" s="44">
        <v>1</v>
      </c>
      <c r="H17" s="213">
        <v>1</v>
      </c>
      <c r="I17" s="38">
        <f t="shared" si="0"/>
        <v>28800</v>
      </c>
      <c r="J17" s="39">
        <v>0.9</v>
      </c>
      <c r="K17" s="40">
        <v>0</v>
      </c>
      <c r="L17" s="37">
        <f t="shared" si="4"/>
        <v>720</v>
      </c>
      <c r="M17" s="42">
        <f t="shared" si="5"/>
        <v>720</v>
      </c>
      <c r="N17" s="37">
        <f t="shared" si="8"/>
        <v>5760</v>
      </c>
      <c r="O17" s="42">
        <f t="shared" si="7"/>
        <v>16560</v>
      </c>
      <c r="P17" s="45">
        <f t="shared" si="3"/>
        <v>115200</v>
      </c>
      <c r="Q17" s="42">
        <f t="shared" si="6"/>
        <v>331200</v>
      </c>
      <c r="R17" s="37">
        <f t="shared" si="1"/>
        <v>1382400</v>
      </c>
      <c r="S17" s="42">
        <f t="shared" si="1"/>
        <v>3974400</v>
      </c>
      <c r="T17" s="212" t="s">
        <v>118</v>
      </c>
      <c r="U17" s="170"/>
      <c r="V17" s="50"/>
      <c r="W17" s="51"/>
    </row>
    <row r="18" spans="2:31" ht="33" x14ac:dyDescent="0.3">
      <c r="B18" s="424"/>
      <c r="C18" s="426" t="s">
        <v>8</v>
      </c>
      <c r="D18" s="9" t="s">
        <v>9</v>
      </c>
      <c r="E18" s="7">
        <v>12.9</v>
      </c>
      <c r="F18" s="37">
        <v>20</v>
      </c>
      <c r="G18" s="44">
        <v>1</v>
      </c>
      <c r="H18" s="213">
        <v>1</v>
      </c>
      <c r="I18" s="38">
        <f t="shared" si="0"/>
        <v>28800</v>
      </c>
      <c r="J18" s="39">
        <v>0.9</v>
      </c>
      <c r="K18" s="40">
        <v>0</v>
      </c>
      <c r="L18" s="37">
        <f t="shared" si="4"/>
        <v>251.16279069767441</v>
      </c>
      <c r="M18" s="42">
        <f t="shared" si="5"/>
        <v>251.16279069767441</v>
      </c>
      <c r="N18" s="37">
        <f t="shared" si="8"/>
        <v>2009.3023255813953</v>
      </c>
      <c r="O18" s="42" t="s">
        <v>111</v>
      </c>
      <c r="P18" s="45">
        <f t="shared" si="3"/>
        <v>40186.046511627908</v>
      </c>
      <c r="Q18" s="42" t="e">
        <f t="shared" si="6"/>
        <v>#VALUE!</v>
      </c>
      <c r="R18" s="37">
        <f t="shared" si="1"/>
        <v>482232.5581395349</v>
      </c>
      <c r="S18" s="42" t="e">
        <f t="shared" si="1"/>
        <v>#VALUE!</v>
      </c>
      <c r="T18" s="210" t="s">
        <v>233</v>
      </c>
      <c r="U18" s="169"/>
      <c r="V18" s="46"/>
      <c r="W18" s="51"/>
    </row>
    <row r="19" spans="2:31" ht="33" x14ac:dyDescent="0.3">
      <c r="B19" s="424"/>
      <c r="C19" s="426"/>
      <c r="D19" s="3" t="s">
        <v>10</v>
      </c>
      <c r="E19" s="7">
        <v>28</v>
      </c>
      <c r="F19" s="37">
        <v>20</v>
      </c>
      <c r="G19" s="44">
        <v>1.5</v>
      </c>
      <c r="H19" s="213">
        <v>1.5</v>
      </c>
      <c r="I19" s="38">
        <f t="shared" si="0"/>
        <v>28800</v>
      </c>
      <c r="J19" s="39">
        <v>0.9</v>
      </c>
      <c r="K19" s="40">
        <v>0.02</v>
      </c>
      <c r="L19" s="37">
        <f t="shared" si="4"/>
        <v>170.10000000000002</v>
      </c>
      <c r="M19" s="42">
        <f t="shared" si="5"/>
        <v>170.10000000000002</v>
      </c>
      <c r="N19" s="37">
        <f>L19*12</f>
        <v>2041.2000000000003</v>
      </c>
      <c r="O19" s="42">
        <f t="shared" ref="O19:O36" si="9">M19*23</f>
        <v>3912.3000000000006</v>
      </c>
      <c r="P19" s="45">
        <f t="shared" si="3"/>
        <v>40824.000000000007</v>
      </c>
      <c r="Q19" s="42">
        <f t="shared" si="6"/>
        <v>78246.000000000015</v>
      </c>
      <c r="R19" s="37">
        <f t="shared" si="1"/>
        <v>489888.00000000012</v>
      </c>
      <c r="S19" s="42">
        <f t="shared" si="1"/>
        <v>938952.00000000023</v>
      </c>
      <c r="T19" s="210" t="s">
        <v>223</v>
      </c>
      <c r="U19" s="169"/>
      <c r="V19" s="46"/>
    </row>
    <row r="20" spans="2:31" x14ac:dyDescent="0.3">
      <c r="B20" s="424"/>
      <c r="C20" s="426" t="s">
        <v>11</v>
      </c>
      <c r="D20" s="3" t="s">
        <v>231</v>
      </c>
      <c r="E20" s="7">
        <v>12.9</v>
      </c>
      <c r="F20" s="37">
        <v>20</v>
      </c>
      <c r="G20" s="44">
        <v>1</v>
      </c>
      <c r="H20" s="213">
        <v>1</v>
      </c>
      <c r="I20" s="38">
        <f t="shared" si="0"/>
        <v>28800</v>
      </c>
      <c r="J20" s="39">
        <v>0.9</v>
      </c>
      <c r="K20" s="40">
        <v>0</v>
      </c>
      <c r="L20" s="37">
        <f t="shared" si="4"/>
        <v>251.16279069767441</v>
      </c>
      <c r="M20" s="42">
        <f t="shared" si="5"/>
        <v>251.16279069767441</v>
      </c>
      <c r="N20" s="37">
        <f t="shared" ref="N20:N36" si="10">L20*8</f>
        <v>2009.3023255813953</v>
      </c>
      <c r="O20" s="42">
        <f t="shared" si="9"/>
        <v>5776.7441860465115</v>
      </c>
      <c r="P20" s="45">
        <f t="shared" si="3"/>
        <v>40186.046511627908</v>
      </c>
      <c r="Q20" s="42">
        <f t="shared" si="6"/>
        <v>115534.88372093023</v>
      </c>
      <c r="R20" s="37">
        <f t="shared" si="1"/>
        <v>482232.5581395349</v>
      </c>
      <c r="S20" s="42">
        <f t="shared" si="1"/>
        <v>1386418.6046511629</v>
      </c>
      <c r="T20" s="37" t="s">
        <v>221</v>
      </c>
      <c r="U20" s="171"/>
      <c r="V20" s="48"/>
      <c r="W20" s="51"/>
    </row>
    <row r="21" spans="2:31" ht="23.25" customHeight="1" x14ac:dyDescent="0.3">
      <c r="B21" s="424"/>
      <c r="C21" s="426"/>
      <c r="D21" s="3" t="s">
        <v>12</v>
      </c>
      <c r="E21" s="7">
        <v>5.8</v>
      </c>
      <c r="F21" s="4">
        <v>20</v>
      </c>
      <c r="G21" s="52">
        <v>1</v>
      </c>
      <c r="H21" s="213">
        <v>1</v>
      </c>
      <c r="I21" s="53">
        <f t="shared" si="0"/>
        <v>28800</v>
      </c>
      <c r="J21" s="39">
        <v>0.9</v>
      </c>
      <c r="K21" s="54">
        <v>0.1</v>
      </c>
      <c r="L21" s="37">
        <f t="shared" si="4"/>
        <v>502.75862068965523</v>
      </c>
      <c r="M21" s="42">
        <f t="shared" si="5"/>
        <v>502.75862068965523</v>
      </c>
      <c r="N21" s="37">
        <f>L21*4</f>
        <v>2011.0344827586209</v>
      </c>
      <c r="O21" s="42">
        <f t="shared" si="9"/>
        <v>11563.448275862071</v>
      </c>
      <c r="P21" s="45">
        <f t="shared" si="3"/>
        <v>40220.68965517242</v>
      </c>
      <c r="Q21" s="42">
        <f t="shared" si="6"/>
        <v>231268.96551724142</v>
      </c>
      <c r="R21" s="55">
        <f t="shared" si="1"/>
        <v>482648.27586206904</v>
      </c>
      <c r="S21" s="42">
        <f t="shared" si="1"/>
        <v>2775227.5862068972</v>
      </c>
      <c r="T21" s="37" t="s">
        <v>222</v>
      </c>
      <c r="U21" s="166" t="s">
        <v>236</v>
      </c>
      <c r="V21" s="56"/>
    </row>
    <row r="22" spans="2:31" x14ac:dyDescent="0.3">
      <c r="B22" s="424"/>
      <c r="C22" s="426"/>
      <c r="D22" s="3" t="s">
        <v>13</v>
      </c>
      <c r="E22" s="10">
        <v>8</v>
      </c>
      <c r="F22" s="4">
        <v>20</v>
      </c>
      <c r="G22" s="52">
        <v>1</v>
      </c>
      <c r="H22" s="213">
        <v>1</v>
      </c>
      <c r="I22" s="38">
        <f t="shared" si="0"/>
        <v>28800</v>
      </c>
      <c r="J22" s="39">
        <v>0.9</v>
      </c>
      <c r="K22" s="40">
        <v>0</v>
      </c>
      <c r="L22" s="37">
        <f t="shared" si="4"/>
        <v>405</v>
      </c>
      <c r="M22" s="42">
        <f t="shared" si="5"/>
        <v>405</v>
      </c>
      <c r="N22" s="37">
        <f t="shared" si="10"/>
        <v>3240</v>
      </c>
      <c r="O22" s="42">
        <f t="shared" si="9"/>
        <v>9315</v>
      </c>
      <c r="P22" s="45">
        <f t="shared" si="3"/>
        <v>64800</v>
      </c>
      <c r="Q22" s="42">
        <f t="shared" si="6"/>
        <v>186300</v>
      </c>
      <c r="R22" s="37">
        <f t="shared" si="1"/>
        <v>777600</v>
      </c>
      <c r="S22" s="42">
        <f t="shared" si="1"/>
        <v>2235600</v>
      </c>
      <c r="T22" s="37" t="s">
        <v>221</v>
      </c>
      <c r="U22" s="171"/>
      <c r="V22" s="48"/>
    </row>
    <row r="23" spans="2:31" ht="42.95" hidden="1" customHeight="1" x14ac:dyDescent="0.3">
      <c r="B23" s="172"/>
      <c r="C23" s="3" t="s">
        <v>14</v>
      </c>
      <c r="D23" s="427" t="s">
        <v>15</v>
      </c>
      <c r="E23" s="7">
        <v>1</v>
      </c>
      <c r="F23" s="37">
        <v>20</v>
      </c>
      <c r="G23" s="44">
        <v>1</v>
      </c>
      <c r="H23" s="44"/>
      <c r="I23" s="38">
        <f t="shared" si="0"/>
        <v>28800</v>
      </c>
      <c r="J23" s="39">
        <v>0.9</v>
      </c>
      <c r="K23" s="40">
        <v>0</v>
      </c>
      <c r="L23" s="37">
        <f t="shared" si="4"/>
        <v>0</v>
      </c>
      <c r="M23" s="42">
        <f t="shared" si="5"/>
        <v>3240</v>
      </c>
      <c r="N23" s="37">
        <f t="shared" si="10"/>
        <v>0</v>
      </c>
      <c r="O23" s="42">
        <f t="shared" si="9"/>
        <v>74520</v>
      </c>
      <c r="P23" s="45">
        <f t="shared" si="3"/>
        <v>0</v>
      </c>
      <c r="Q23" s="42">
        <f t="shared" si="6"/>
        <v>1490400</v>
      </c>
      <c r="R23" s="37">
        <f t="shared" si="1"/>
        <v>0</v>
      </c>
      <c r="S23" s="42">
        <f t="shared" si="1"/>
        <v>17884800</v>
      </c>
      <c r="T23" s="37"/>
      <c r="U23" s="171"/>
      <c r="V23" s="49"/>
    </row>
    <row r="24" spans="2:31" hidden="1" x14ac:dyDescent="0.3">
      <c r="B24" s="172"/>
      <c r="C24" s="3" t="s">
        <v>16</v>
      </c>
      <c r="D24" s="428"/>
      <c r="E24" s="7">
        <v>1</v>
      </c>
      <c r="F24" s="37">
        <v>20</v>
      </c>
      <c r="G24" s="44">
        <v>1</v>
      </c>
      <c r="H24" s="44"/>
      <c r="I24" s="38">
        <f t="shared" si="0"/>
        <v>28800</v>
      </c>
      <c r="J24" s="39">
        <v>0.9</v>
      </c>
      <c r="K24" s="40">
        <v>0</v>
      </c>
      <c r="L24" s="37">
        <f t="shared" si="4"/>
        <v>0</v>
      </c>
      <c r="M24" s="42">
        <f t="shared" si="5"/>
        <v>3240</v>
      </c>
      <c r="N24" s="37">
        <f t="shared" si="10"/>
        <v>0</v>
      </c>
      <c r="O24" s="42">
        <f t="shared" si="9"/>
        <v>74520</v>
      </c>
      <c r="P24" s="45">
        <f t="shared" si="3"/>
        <v>0</v>
      </c>
      <c r="Q24" s="42">
        <f t="shared" si="6"/>
        <v>1490400</v>
      </c>
      <c r="R24" s="37">
        <f t="shared" si="1"/>
        <v>0</v>
      </c>
      <c r="S24" s="42">
        <f t="shared" si="1"/>
        <v>17884800</v>
      </c>
      <c r="T24" s="37"/>
      <c r="U24" s="171"/>
      <c r="V24" s="49"/>
    </row>
    <row r="25" spans="2:31" hidden="1" x14ac:dyDescent="0.3">
      <c r="B25" s="172"/>
      <c r="C25" s="3" t="s">
        <v>17</v>
      </c>
      <c r="D25" s="428"/>
      <c r="E25" s="7">
        <v>1</v>
      </c>
      <c r="F25" s="37">
        <v>20</v>
      </c>
      <c r="G25" s="44">
        <v>1</v>
      </c>
      <c r="H25" s="44"/>
      <c r="I25" s="38">
        <f t="shared" si="0"/>
        <v>28800</v>
      </c>
      <c r="J25" s="39">
        <v>0.9</v>
      </c>
      <c r="K25" s="40">
        <v>0</v>
      </c>
      <c r="L25" s="37">
        <f t="shared" si="4"/>
        <v>0</v>
      </c>
      <c r="M25" s="42">
        <f t="shared" si="5"/>
        <v>3240</v>
      </c>
      <c r="N25" s="37">
        <f t="shared" si="10"/>
        <v>0</v>
      </c>
      <c r="O25" s="42">
        <f t="shared" si="9"/>
        <v>74520</v>
      </c>
      <c r="P25" s="45">
        <f t="shared" si="3"/>
        <v>0</v>
      </c>
      <c r="Q25" s="42">
        <f t="shared" si="6"/>
        <v>1490400</v>
      </c>
      <c r="R25" s="37">
        <f t="shared" si="1"/>
        <v>0</v>
      </c>
      <c r="S25" s="42">
        <f t="shared" si="1"/>
        <v>17884800</v>
      </c>
      <c r="T25" s="37"/>
      <c r="U25" s="171"/>
      <c r="V25" s="27"/>
    </row>
    <row r="26" spans="2:31" ht="26.65" hidden="1" customHeight="1" x14ac:dyDescent="0.3">
      <c r="B26" s="172"/>
      <c r="C26" s="2" t="s">
        <v>18</v>
      </c>
      <c r="D26" s="8" t="s">
        <v>19</v>
      </c>
      <c r="E26" s="7">
        <v>1.5</v>
      </c>
      <c r="F26" s="37">
        <v>20</v>
      </c>
      <c r="G26" s="44">
        <v>1</v>
      </c>
      <c r="H26" s="44"/>
      <c r="I26" s="38">
        <f t="shared" si="0"/>
        <v>28800</v>
      </c>
      <c r="J26" s="39">
        <v>0.9</v>
      </c>
      <c r="K26" s="40">
        <v>0</v>
      </c>
      <c r="L26" s="37">
        <f t="shared" si="4"/>
        <v>0</v>
      </c>
      <c r="M26" s="42">
        <f t="shared" si="5"/>
        <v>2160</v>
      </c>
      <c r="N26" s="37">
        <f t="shared" si="10"/>
        <v>0</v>
      </c>
      <c r="O26" s="42">
        <f t="shared" si="9"/>
        <v>49680</v>
      </c>
      <c r="P26" s="45">
        <f t="shared" si="3"/>
        <v>0</v>
      </c>
      <c r="Q26" s="42">
        <f t="shared" si="6"/>
        <v>993600</v>
      </c>
      <c r="R26" s="37">
        <f t="shared" si="1"/>
        <v>0</v>
      </c>
      <c r="S26" s="42">
        <f t="shared" si="1"/>
        <v>11923200</v>
      </c>
      <c r="T26" s="37"/>
      <c r="U26" s="171"/>
      <c r="V26" s="27"/>
    </row>
    <row r="27" spans="2:31" ht="27" x14ac:dyDescent="0.3">
      <c r="B27" s="422" t="s">
        <v>116</v>
      </c>
      <c r="C27" s="8" t="s">
        <v>20</v>
      </c>
      <c r="D27" s="3" t="s">
        <v>21</v>
      </c>
      <c r="E27" s="10">
        <v>4.57</v>
      </c>
      <c r="F27" s="4">
        <v>20</v>
      </c>
      <c r="G27" s="52">
        <v>1</v>
      </c>
      <c r="H27" s="44">
        <v>1</v>
      </c>
      <c r="I27" s="38">
        <f t="shared" si="0"/>
        <v>28800</v>
      </c>
      <c r="J27" s="39">
        <v>0.9</v>
      </c>
      <c r="K27" s="40">
        <v>0</v>
      </c>
      <c r="L27" s="37">
        <f t="shared" si="4"/>
        <v>708.97155361050329</v>
      </c>
      <c r="M27" s="42">
        <f t="shared" si="5"/>
        <v>708.97155361050329</v>
      </c>
      <c r="N27" s="37">
        <f t="shared" si="10"/>
        <v>5671.7724288840263</v>
      </c>
      <c r="O27" s="42">
        <f t="shared" si="9"/>
        <v>16306.345733041575</v>
      </c>
      <c r="P27" s="45">
        <f t="shared" si="3"/>
        <v>113435.44857768052</v>
      </c>
      <c r="Q27" s="42">
        <f t="shared" si="6"/>
        <v>326126.91466083151</v>
      </c>
      <c r="R27" s="37">
        <f t="shared" si="1"/>
        <v>1361225.3829321663</v>
      </c>
      <c r="S27" s="42">
        <f t="shared" si="1"/>
        <v>3913522.9759299783</v>
      </c>
      <c r="T27" s="37" t="s">
        <v>224</v>
      </c>
      <c r="U27" s="169" t="s">
        <v>112</v>
      </c>
      <c r="V27" s="50"/>
      <c r="W27" s="57" t="s">
        <v>113</v>
      </c>
      <c r="X27" s="57"/>
      <c r="Y27" s="57"/>
      <c r="Z27" s="57"/>
      <c r="AA27" s="57"/>
      <c r="AB27" s="57"/>
      <c r="AC27" s="57"/>
      <c r="AD27" s="57"/>
      <c r="AE27" s="57"/>
    </row>
    <row r="28" spans="2:31" ht="20.25" customHeight="1" x14ac:dyDescent="0.3">
      <c r="B28" s="424"/>
      <c r="C28" s="8" t="s">
        <v>22</v>
      </c>
      <c r="D28" s="3" t="s">
        <v>23</v>
      </c>
      <c r="E28" s="7">
        <v>16</v>
      </c>
      <c r="F28" s="37">
        <v>20</v>
      </c>
      <c r="G28" s="44">
        <v>1</v>
      </c>
      <c r="H28" s="44">
        <v>1</v>
      </c>
      <c r="I28" s="38">
        <f t="shared" si="0"/>
        <v>28800</v>
      </c>
      <c r="J28" s="39">
        <v>0.9</v>
      </c>
      <c r="K28" s="40">
        <v>0.03</v>
      </c>
      <c r="L28" s="37">
        <f t="shared" si="4"/>
        <v>196.42499999999998</v>
      </c>
      <c r="M28" s="42">
        <f t="shared" si="5"/>
        <v>196.42499999999998</v>
      </c>
      <c r="N28" s="37">
        <f>L28*8</f>
        <v>1571.3999999999999</v>
      </c>
      <c r="O28" s="42">
        <f t="shared" si="9"/>
        <v>4517.7749999999996</v>
      </c>
      <c r="P28" s="45">
        <f t="shared" si="3"/>
        <v>31427.999999999996</v>
      </c>
      <c r="Q28" s="42">
        <f t="shared" si="6"/>
        <v>90355.5</v>
      </c>
      <c r="R28" s="37">
        <f t="shared" si="1"/>
        <v>377135.99999999994</v>
      </c>
      <c r="S28" s="42">
        <f t="shared" si="1"/>
        <v>1084266</v>
      </c>
      <c r="T28" s="37" t="s">
        <v>220</v>
      </c>
      <c r="U28" s="171"/>
      <c r="V28" s="49"/>
      <c r="W28" s="57" t="s">
        <v>114</v>
      </c>
      <c r="X28" s="57"/>
      <c r="Y28" s="57"/>
      <c r="Z28" s="57"/>
    </row>
    <row r="29" spans="2:31" ht="33" x14ac:dyDescent="0.3">
      <c r="B29" s="424"/>
      <c r="C29" s="8" t="s">
        <v>24</v>
      </c>
      <c r="D29" s="173" t="s">
        <v>232</v>
      </c>
      <c r="E29" s="7">
        <v>25</v>
      </c>
      <c r="F29" s="37">
        <v>20</v>
      </c>
      <c r="G29" s="44">
        <v>2</v>
      </c>
      <c r="H29" s="213">
        <v>1.5</v>
      </c>
      <c r="I29" s="38">
        <f t="shared" si="0"/>
        <v>28800</v>
      </c>
      <c r="J29" s="39">
        <v>0.9</v>
      </c>
      <c r="K29" s="40">
        <v>0</v>
      </c>
      <c r="L29" s="37">
        <f t="shared" si="4"/>
        <v>194.4</v>
      </c>
      <c r="M29" s="42">
        <f t="shared" si="5"/>
        <v>259.2</v>
      </c>
      <c r="N29" s="73">
        <f t="shared" si="10"/>
        <v>1555.2</v>
      </c>
      <c r="O29" s="42">
        <f t="shared" si="9"/>
        <v>5961.5999999999995</v>
      </c>
      <c r="P29" s="45">
        <f t="shared" si="3"/>
        <v>31104</v>
      </c>
      <c r="Q29" s="42">
        <f t="shared" si="6"/>
        <v>119231.99999999999</v>
      </c>
      <c r="R29" s="37">
        <f t="shared" si="1"/>
        <v>373248</v>
      </c>
      <c r="S29" s="42">
        <f t="shared" si="1"/>
        <v>1430783.9999999998</v>
      </c>
      <c r="T29" s="210" t="s">
        <v>234</v>
      </c>
      <c r="U29" s="166" t="s">
        <v>236</v>
      </c>
      <c r="V29" s="46"/>
    </row>
    <row r="30" spans="2:31" ht="21" customHeight="1" x14ac:dyDescent="0.3">
      <c r="B30" s="424"/>
      <c r="C30" s="2" t="s">
        <v>25</v>
      </c>
      <c r="D30" s="8" t="s">
        <v>25</v>
      </c>
      <c r="E30" s="7">
        <v>12</v>
      </c>
      <c r="F30" s="4">
        <v>20</v>
      </c>
      <c r="G30" s="52">
        <v>1</v>
      </c>
      <c r="H30" s="52">
        <v>1</v>
      </c>
      <c r="I30" s="58">
        <f t="shared" si="0"/>
        <v>28800</v>
      </c>
      <c r="J30" s="39">
        <v>0.9</v>
      </c>
      <c r="K30" s="54">
        <v>0.03</v>
      </c>
      <c r="L30" s="183">
        <f t="shared" si="4"/>
        <v>261.89999999999998</v>
      </c>
      <c r="M30" s="42">
        <f t="shared" si="5"/>
        <v>261.89999999999998</v>
      </c>
      <c r="N30" s="4">
        <f t="shared" si="10"/>
        <v>2095.1999999999998</v>
      </c>
      <c r="O30" s="42">
        <f t="shared" si="9"/>
        <v>6023.7</v>
      </c>
      <c r="P30" s="45">
        <f t="shared" si="3"/>
        <v>41904</v>
      </c>
      <c r="Q30" s="42">
        <f t="shared" si="6"/>
        <v>120474</v>
      </c>
      <c r="R30" s="4">
        <f t="shared" si="1"/>
        <v>502848</v>
      </c>
      <c r="S30" s="42">
        <f t="shared" si="1"/>
        <v>1445688</v>
      </c>
      <c r="T30" s="37" t="s">
        <v>224</v>
      </c>
      <c r="U30" s="174"/>
      <c r="V30" s="48"/>
    </row>
    <row r="31" spans="2:31" hidden="1" x14ac:dyDescent="0.3">
      <c r="B31" s="167" t="s">
        <v>168</v>
      </c>
      <c r="C31" s="2" t="s">
        <v>166</v>
      </c>
      <c r="D31" s="8" t="s">
        <v>167</v>
      </c>
      <c r="E31" s="7"/>
      <c r="F31" s="4"/>
      <c r="G31" s="52"/>
      <c r="H31" s="52"/>
      <c r="I31" s="58"/>
      <c r="J31" s="39"/>
      <c r="K31" s="54"/>
      <c r="L31" s="183" t="e">
        <f t="shared" si="4"/>
        <v>#DIV/0!</v>
      </c>
      <c r="M31" s="42"/>
      <c r="N31" s="4"/>
      <c r="O31" s="42"/>
      <c r="P31" s="45"/>
      <c r="Q31" s="42"/>
      <c r="R31" s="4"/>
      <c r="S31" s="42"/>
      <c r="T31" s="37"/>
      <c r="U31" s="174"/>
      <c r="V31" s="48"/>
    </row>
    <row r="32" spans="2:31" ht="27" x14ac:dyDescent="0.3">
      <c r="B32" s="167" t="s">
        <v>26</v>
      </c>
      <c r="C32" s="2" t="s">
        <v>27</v>
      </c>
      <c r="D32" s="11" t="s">
        <v>28</v>
      </c>
      <c r="E32" s="12">
        <v>541</v>
      </c>
      <c r="F32" s="59">
        <v>20</v>
      </c>
      <c r="G32" s="60">
        <v>1</v>
      </c>
      <c r="H32" s="60">
        <v>0</v>
      </c>
      <c r="I32" s="61">
        <f t="shared" si="0"/>
        <v>28800</v>
      </c>
      <c r="J32" s="39">
        <v>0.9</v>
      </c>
      <c r="K32" s="62">
        <v>0</v>
      </c>
      <c r="L32" s="59">
        <f t="shared" si="4"/>
        <v>0</v>
      </c>
      <c r="M32" s="42">
        <f t="shared" si="5"/>
        <v>5.9889094269870613</v>
      </c>
      <c r="N32" s="59">
        <f t="shared" si="10"/>
        <v>0</v>
      </c>
      <c r="O32" s="42">
        <f t="shared" si="9"/>
        <v>137.7449168207024</v>
      </c>
      <c r="P32" s="63">
        <f t="shared" si="3"/>
        <v>0</v>
      </c>
      <c r="Q32" s="42">
        <f t="shared" si="6"/>
        <v>2754.8983364140481</v>
      </c>
      <c r="R32" s="59">
        <f t="shared" si="1"/>
        <v>0</v>
      </c>
      <c r="S32" s="42">
        <f t="shared" si="1"/>
        <v>33058.780036968579</v>
      </c>
      <c r="T32" s="37" t="s">
        <v>97</v>
      </c>
      <c r="U32" s="169" t="s">
        <v>227</v>
      </c>
      <c r="V32" s="64"/>
    </row>
    <row r="33" spans="2:25" x14ac:dyDescent="0.3">
      <c r="B33" s="422" t="s">
        <v>175</v>
      </c>
      <c r="C33" s="2" t="s">
        <v>170</v>
      </c>
      <c r="D33" s="3" t="s">
        <v>171</v>
      </c>
      <c r="E33" s="7">
        <v>4.5</v>
      </c>
      <c r="F33" s="37">
        <v>20</v>
      </c>
      <c r="G33" s="44">
        <v>1</v>
      </c>
      <c r="H33" s="213">
        <v>0.5</v>
      </c>
      <c r="I33" s="38">
        <f t="shared" si="0"/>
        <v>28800</v>
      </c>
      <c r="J33" s="39">
        <v>0.9</v>
      </c>
      <c r="K33" s="40">
        <v>0</v>
      </c>
      <c r="L33" s="37">
        <f t="shared" si="4"/>
        <v>360</v>
      </c>
      <c r="M33" s="42">
        <f t="shared" si="5"/>
        <v>720</v>
      </c>
      <c r="N33" s="37">
        <f t="shared" si="10"/>
        <v>2880</v>
      </c>
      <c r="O33" s="42">
        <f t="shared" si="9"/>
        <v>16560</v>
      </c>
      <c r="P33" s="45">
        <f t="shared" si="3"/>
        <v>57600</v>
      </c>
      <c r="Q33" s="42">
        <f t="shared" si="6"/>
        <v>331200</v>
      </c>
      <c r="R33" s="37">
        <f t="shared" si="1"/>
        <v>691200</v>
      </c>
      <c r="S33" s="42">
        <f t="shared" si="1"/>
        <v>3974400</v>
      </c>
      <c r="T33" s="37" t="s">
        <v>228</v>
      </c>
      <c r="U33" s="171"/>
      <c r="V33" s="48"/>
    </row>
    <row r="34" spans="2:25" x14ac:dyDescent="0.3">
      <c r="B34" s="424"/>
      <c r="C34" s="2" t="s">
        <v>169</v>
      </c>
      <c r="D34" s="3" t="s">
        <v>169</v>
      </c>
      <c r="E34" s="7">
        <v>21.5</v>
      </c>
      <c r="F34" s="37">
        <v>20</v>
      </c>
      <c r="G34" s="44">
        <v>2</v>
      </c>
      <c r="H34" s="213">
        <v>2</v>
      </c>
      <c r="I34" s="38"/>
      <c r="J34" s="39">
        <v>0.9</v>
      </c>
      <c r="K34" s="40">
        <v>0</v>
      </c>
      <c r="L34" s="37">
        <f t="shared" si="4"/>
        <v>301.39534883720933</v>
      </c>
      <c r="M34" s="42">
        <f>(3600/E34)*G34*J34*(1-K34)</f>
        <v>301.39534883720933</v>
      </c>
      <c r="N34" s="37">
        <f>L34*8</f>
        <v>2411.1627906976746</v>
      </c>
      <c r="O34" s="42">
        <f>M34*23</f>
        <v>6932.0930232558148</v>
      </c>
      <c r="P34" s="45">
        <f>(N34)*F34</f>
        <v>48223.255813953496</v>
      </c>
      <c r="Q34" s="42">
        <f>O34*F34</f>
        <v>138641.8604651163</v>
      </c>
      <c r="R34" s="37">
        <f>P34*12</f>
        <v>578679.06976744195</v>
      </c>
      <c r="S34" s="42"/>
      <c r="T34" s="37" t="s">
        <v>235</v>
      </c>
      <c r="U34" s="169" t="s">
        <v>248</v>
      </c>
      <c r="V34" s="48"/>
    </row>
    <row r="35" spans="2:25" x14ac:dyDescent="0.3">
      <c r="B35" s="424"/>
      <c r="C35" s="2" t="s">
        <v>174</v>
      </c>
      <c r="D35" s="3" t="s">
        <v>172</v>
      </c>
      <c r="E35" s="7">
        <v>6</v>
      </c>
      <c r="F35" s="37">
        <v>20</v>
      </c>
      <c r="G35" s="44">
        <v>0.5</v>
      </c>
      <c r="H35" s="213">
        <v>0.5</v>
      </c>
      <c r="I35" s="38"/>
      <c r="J35" s="39">
        <v>0.9</v>
      </c>
      <c r="K35" s="40">
        <v>0</v>
      </c>
      <c r="L35" s="37">
        <f t="shared" si="4"/>
        <v>270</v>
      </c>
      <c r="M35" s="42">
        <f>(3600/E35)*G35*J35*(1-K35)</f>
        <v>270</v>
      </c>
      <c r="N35" s="37">
        <f>L35*8</f>
        <v>2160</v>
      </c>
      <c r="O35" s="42">
        <f>M35*23</f>
        <v>6210</v>
      </c>
      <c r="P35" s="45">
        <f>(N35)*F35</f>
        <v>43200</v>
      </c>
      <c r="Q35" s="42">
        <f>O35*F35</f>
        <v>124200</v>
      </c>
      <c r="R35" s="37">
        <f>P35*12</f>
        <v>518400</v>
      </c>
      <c r="S35" s="42"/>
      <c r="T35" s="211" t="s">
        <v>226</v>
      </c>
      <c r="U35" s="175"/>
      <c r="V35" s="48"/>
    </row>
    <row r="36" spans="2:25" x14ac:dyDescent="0.3">
      <c r="B36" s="424"/>
      <c r="C36" s="8" t="s">
        <v>29</v>
      </c>
      <c r="D36" s="3" t="s">
        <v>30</v>
      </c>
      <c r="E36" s="7">
        <v>16</v>
      </c>
      <c r="F36" s="37">
        <v>20</v>
      </c>
      <c r="G36" s="44">
        <v>2</v>
      </c>
      <c r="H36" s="44">
        <v>2</v>
      </c>
      <c r="I36" s="38">
        <f t="shared" si="0"/>
        <v>28800</v>
      </c>
      <c r="J36" s="39">
        <v>0.9</v>
      </c>
      <c r="K36" s="40">
        <v>0</v>
      </c>
      <c r="L36" s="37">
        <f t="shared" si="4"/>
        <v>405</v>
      </c>
      <c r="M36" s="42">
        <f t="shared" si="5"/>
        <v>405</v>
      </c>
      <c r="N36" s="37">
        <f t="shared" si="10"/>
        <v>3240</v>
      </c>
      <c r="O36" s="42">
        <f t="shared" si="9"/>
        <v>9315</v>
      </c>
      <c r="P36" s="45">
        <f t="shared" si="3"/>
        <v>64800</v>
      </c>
      <c r="Q36" s="42">
        <f t="shared" si="6"/>
        <v>186300</v>
      </c>
      <c r="R36" s="37">
        <f t="shared" si="1"/>
        <v>777600</v>
      </c>
      <c r="S36" s="42">
        <f t="shared" si="1"/>
        <v>2235600</v>
      </c>
      <c r="T36" s="37" t="s">
        <v>225</v>
      </c>
      <c r="U36" s="171"/>
      <c r="V36" s="49"/>
    </row>
    <row r="39" spans="2:25" x14ac:dyDescent="0.3">
      <c r="Y39" s="65"/>
    </row>
    <row r="40" spans="2:25" x14ac:dyDescent="0.3">
      <c r="P40" s="66"/>
      <c r="Y40" s="67"/>
    </row>
    <row r="41" spans="2:25" hidden="1" x14ac:dyDescent="0.3">
      <c r="C41" s="421"/>
      <c r="D41" s="421"/>
      <c r="E41" s="32"/>
      <c r="F41" s="32"/>
      <c r="G41" s="32"/>
      <c r="H41" s="32"/>
      <c r="I41" s="32"/>
      <c r="J41" s="32"/>
      <c r="K41" s="32" t="s">
        <v>87</v>
      </c>
      <c r="L41" s="68" t="s">
        <v>88</v>
      </c>
      <c r="M41" s="68"/>
      <c r="N41" s="32" t="s">
        <v>90</v>
      </c>
      <c r="O41" s="32"/>
      <c r="P41" s="32" t="s">
        <v>92</v>
      </c>
      <c r="Q41" s="32"/>
      <c r="R41" s="32" t="s">
        <v>92</v>
      </c>
      <c r="S41" s="32"/>
      <c r="T41" s="69"/>
      <c r="U41" s="69"/>
      <c r="V41" s="70"/>
    </row>
    <row r="42" spans="2:25" hidden="1" x14ac:dyDescent="0.3">
      <c r="C42" s="423"/>
      <c r="D42" s="423"/>
      <c r="E42" s="32"/>
      <c r="F42" s="32"/>
      <c r="G42" s="32"/>
      <c r="H42" s="32"/>
      <c r="I42" s="34"/>
      <c r="J42" s="32"/>
      <c r="K42" s="32" t="s">
        <v>99</v>
      </c>
      <c r="L42" s="32" t="s">
        <v>115</v>
      </c>
      <c r="M42" s="32"/>
      <c r="N42" s="32" t="s">
        <v>101</v>
      </c>
      <c r="O42" s="32"/>
      <c r="P42" s="32" t="s">
        <v>102</v>
      </c>
      <c r="Q42" s="32"/>
      <c r="R42" s="32" t="s">
        <v>104</v>
      </c>
      <c r="S42" s="32"/>
      <c r="T42" s="71"/>
      <c r="U42" s="71"/>
      <c r="V42" s="27"/>
    </row>
    <row r="43" spans="2:25" hidden="1" x14ac:dyDescent="0.3">
      <c r="C43" s="36"/>
      <c r="D43" s="36"/>
      <c r="E43" s="13"/>
      <c r="F43" s="37"/>
      <c r="G43" s="37"/>
      <c r="H43" s="37"/>
      <c r="I43" s="38"/>
      <c r="J43" s="39"/>
      <c r="K43" s="40">
        <v>0</v>
      </c>
      <c r="L43" s="41" t="e">
        <f t="shared" ref="L43:L49" si="11">(3600/E43)*H43*J43*(1-K43)</f>
        <v>#DIV/0!</v>
      </c>
      <c r="M43" s="41"/>
      <c r="N43" s="41" t="e">
        <f t="shared" ref="N43:N49" si="12">L43*8</f>
        <v>#DIV/0!</v>
      </c>
      <c r="O43" s="41"/>
      <c r="P43" s="41" t="e">
        <f>(N43+#REF!)*F43</f>
        <v>#DIV/0!</v>
      </c>
      <c r="Q43" s="41"/>
      <c r="R43" s="41" t="e">
        <f t="shared" ref="R43:R49" si="13">P43*12</f>
        <v>#DIV/0!</v>
      </c>
      <c r="S43" s="41"/>
      <c r="T43" s="37"/>
      <c r="U43" s="41"/>
      <c r="V43" s="43"/>
    </row>
    <row r="44" spans="2:25" hidden="1" x14ac:dyDescent="0.3">
      <c r="C44" s="36"/>
      <c r="D44" s="36"/>
      <c r="E44" s="13"/>
      <c r="F44" s="37"/>
      <c r="G44" s="37"/>
      <c r="H44" s="37"/>
      <c r="I44" s="38"/>
      <c r="J44" s="39"/>
      <c r="K44" s="40">
        <v>0</v>
      </c>
      <c r="L44" s="41" t="e">
        <f t="shared" si="11"/>
        <v>#DIV/0!</v>
      </c>
      <c r="M44" s="41"/>
      <c r="N44" s="41" t="e">
        <f t="shared" si="12"/>
        <v>#DIV/0!</v>
      </c>
      <c r="O44" s="41"/>
      <c r="P44" s="41" t="e">
        <f>(N44+#REF!)*F44</f>
        <v>#DIV/0!</v>
      </c>
      <c r="Q44" s="41"/>
      <c r="R44" s="41" t="e">
        <f t="shared" si="13"/>
        <v>#DIV/0!</v>
      </c>
      <c r="S44" s="41"/>
      <c r="T44" s="37"/>
      <c r="U44" s="41"/>
      <c r="V44" s="43"/>
    </row>
    <row r="45" spans="2:25" hidden="1" x14ac:dyDescent="0.3">
      <c r="C45" s="36"/>
      <c r="D45" s="36"/>
      <c r="E45" s="13"/>
      <c r="F45" s="37"/>
      <c r="G45" s="37"/>
      <c r="H45" s="37"/>
      <c r="I45" s="38"/>
      <c r="J45" s="39"/>
      <c r="K45" s="40">
        <v>0</v>
      </c>
      <c r="L45" s="41" t="e">
        <f t="shared" si="11"/>
        <v>#DIV/0!</v>
      </c>
      <c r="M45" s="41"/>
      <c r="N45" s="41" t="e">
        <f t="shared" si="12"/>
        <v>#DIV/0!</v>
      </c>
      <c r="O45" s="41"/>
      <c r="P45" s="41" t="e">
        <f>(N45+#REF!)*F45</f>
        <v>#DIV/0!</v>
      </c>
      <c r="Q45" s="41"/>
      <c r="R45" s="41" t="e">
        <f t="shared" si="13"/>
        <v>#DIV/0!</v>
      </c>
      <c r="S45" s="41"/>
      <c r="T45" s="37"/>
      <c r="U45" s="41"/>
      <c r="V45" s="43"/>
    </row>
    <row r="46" spans="2:25" hidden="1" x14ac:dyDescent="0.3">
      <c r="C46" s="36"/>
      <c r="D46" s="36"/>
      <c r="E46" s="13"/>
      <c r="F46" s="37"/>
      <c r="G46" s="37"/>
      <c r="H46" s="37"/>
      <c r="I46" s="38"/>
      <c r="J46" s="39"/>
      <c r="K46" s="40">
        <v>0</v>
      </c>
      <c r="L46" s="41" t="e">
        <f t="shared" si="11"/>
        <v>#DIV/0!</v>
      </c>
      <c r="M46" s="41"/>
      <c r="N46" s="41" t="e">
        <f t="shared" si="12"/>
        <v>#DIV/0!</v>
      </c>
      <c r="O46" s="41"/>
      <c r="P46" s="41" t="e">
        <f>(N46+#REF!)*F46</f>
        <v>#DIV/0!</v>
      </c>
      <c r="Q46" s="41"/>
      <c r="R46" s="41" t="e">
        <f t="shared" si="13"/>
        <v>#DIV/0!</v>
      </c>
      <c r="S46" s="41"/>
      <c r="T46" s="37"/>
      <c r="U46" s="41"/>
      <c r="V46" s="43"/>
    </row>
    <row r="47" spans="2:25" hidden="1" x14ac:dyDescent="0.3">
      <c r="C47" s="36"/>
      <c r="D47" s="36"/>
      <c r="E47" s="13"/>
      <c r="F47" s="37"/>
      <c r="G47" s="37"/>
      <c r="H47" s="37"/>
      <c r="I47" s="38"/>
      <c r="J47" s="39"/>
      <c r="K47" s="40">
        <v>0</v>
      </c>
      <c r="L47" s="41" t="e">
        <f t="shared" si="11"/>
        <v>#DIV/0!</v>
      </c>
      <c r="M47" s="41"/>
      <c r="N47" s="41" t="e">
        <f t="shared" si="12"/>
        <v>#DIV/0!</v>
      </c>
      <c r="O47" s="41"/>
      <c r="P47" s="41" t="e">
        <f>(N47+#REF!)*F47</f>
        <v>#DIV/0!</v>
      </c>
      <c r="Q47" s="41"/>
      <c r="R47" s="41" t="e">
        <f t="shared" si="13"/>
        <v>#DIV/0!</v>
      </c>
      <c r="S47" s="41"/>
      <c r="T47" s="37"/>
      <c r="U47" s="41"/>
      <c r="V47" s="43"/>
    </row>
    <row r="48" spans="2:25" hidden="1" x14ac:dyDescent="0.3">
      <c r="C48" s="36"/>
      <c r="D48" s="36"/>
      <c r="E48" s="13"/>
      <c r="F48" s="37"/>
      <c r="G48" s="37"/>
      <c r="H48" s="37"/>
      <c r="I48" s="38"/>
      <c r="J48" s="39"/>
      <c r="K48" s="40">
        <v>0</v>
      </c>
      <c r="L48" s="41" t="e">
        <f t="shared" si="11"/>
        <v>#DIV/0!</v>
      </c>
      <c r="M48" s="41"/>
      <c r="N48" s="41" t="e">
        <f t="shared" si="12"/>
        <v>#DIV/0!</v>
      </c>
      <c r="O48" s="41"/>
      <c r="P48" s="41" t="e">
        <f>(N48+#REF!)*F48</f>
        <v>#DIV/0!</v>
      </c>
      <c r="Q48" s="41"/>
      <c r="R48" s="41" t="e">
        <f t="shared" si="13"/>
        <v>#DIV/0!</v>
      </c>
      <c r="S48" s="41"/>
      <c r="T48" s="37"/>
      <c r="U48" s="41"/>
      <c r="V48" s="43"/>
    </row>
    <row r="49" spans="3:23" hidden="1" x14ac:dyDescent="0.3">
      <c r="C49" s="36"/>
      <c r="D49" s="36"/>
      <c r="E49" s="13"/>
      <c r="F49" s="37"/>
      <c r="G49" s="37"/>
      <c r="H49" s="37"/>
      <c r="I49" s="38"/>
      <c r="J49" s="39"/>
      <c r="K49" s="40">
        <v>0</v>
      </c>
      <c r="L49" s="41" t="e">
        <f t="shared" si="11"/>
        <v>#DIV/0!</v>
      </c>
      <c r="M49" s="41"/>
      <c r="N49" s="41" t="e">
        <f t="shared" si="12"/>
        <v>#DIV/0!</v>
      </c>
      <c r="O49" s="41"/>
      <c r="P49" s="41" t="e">
        <f>(N49+#REF!)*F49</f>
        <v>#DIV/0!</v>
      </c>
      <c r="Q49" s="41"/>
      <c r="R49" s="41" t="e">
        <f t="shared" si="13"/>
        <v>#DIV/0!</v>
      </c>
      <c r="S49" s="41"/>
      <c r="T49" s="37"/>
      <c r="U49" s="41"/>
      <c r="V49" s="43"/>
    </row>
    <row r="50" spans="3:23" x14ac:dyDescent="0.3">
      <c r="H50" s="72"/>
      <c r="U50" s="72"/>
      <c r="W50" s="65"/>
    </row>
  </sheetData>
  <mergeCells count="13">
    <mergeCell ref="C41:C42"/>
    <mergeCell ref="D41:D42"/>
    <mergeCell ref="B16:B22"/>
    <mergeCell ref="C18:C19"/>
    <mergeCell ref="C20:C22"/>
    <mergeCell ref="D23:D25"/>
    <mergeCell ref="B27:B30"/>
    <mergeCell ref="B33:B36"/>
    <mergeCell ref="B3:C4"/>
    <mergeCell ref="D3:D4"/>
    <mergeCell ref="U3:U4"/>
    <mergeCell ref="B6:B15"/>
    <mergeCell ref="C6:C15"/>
  </mergeCells>
  <phoneticPr fontId="2" type="noConversion"/>
  <conditionalFormatting sqref="P6:P36">
    <cfRule type="top10" dxfId="99" priority="30" rank="10"/>
  </conditionalFormatting>
  <pageMargins left="0.7" right="0.7" top="0.75" bottom="0.75" header="0.3" footer="0.3"/>
  <pageSetup paperSize="9" scale="52" orientation="landscape" r:id="rId1"/>
  <ignoredErrors>
    <ignoredError sqref="R28 P27:P30 N6:N9 N27 N36 N15:N18 N22 N28:N30 N32:N35 P15:P22 P6:P9 P32:P36 N37 L6:L8 L15:L22 L27:L30 L32:L36 N20" unlockedFormula="1"/>
  </ignoredError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B7DC3-30B7-4043-8349-34FA2C46BEE2}">
  <sheetPr>
    <tabColor rgb="FF0000CC"/>
    <pageSetUpPr fitToPage="1"/>
  </sheetPr>
  <dimension ref="A1:AO91"/>
  <sheetViews>
    <sheetView showGridLines="0" zoomScale="70" zoomScaleNormal="70" workbookViewId="0">
      <pane xSplit="2" ySplit="3" topLeftCell="I4" activePane="bottomRight" state="frozen"/>
      <selection pane="topRight" activeCell="C1" sqref="C1"/>
      <selection pane="bottomLeft" activeCell="A4" sqref="A4"/>
      <selection pane="bottomRight" activeCell="P10" sqref="P10"/>
    </sheetView>
  </sheetViews>
  <sheetFormatPr defaultRowHeight="16.5" outlineLevelCol="1" x14ac:dyDescent="0.3"/>
  <cols>
    <col min="1" max="1" width="2.75" customWidth="1"/>
    <col min="2" max="2" width="20.125" customWidth="1"/>
    <col min="3" max="9" width="15.5" customWidth="1" outlineLevel="1"/>
    <col min="10" max="10" width="16.25" style="1" customWidth="1"/>
    <col min="11" max="11" width="13.375" customWidth="1" outlineLevel="1"/>
    <col min="12" max="12" width="16.25" customWidth="1"/>
    <col min="13" max="13" width="13.75" bestFit="1" customWidth="1"/>
    <col min="14" max="14" width="14.625" customWidth="1"/>
    <col min="15" max="15" width="13.125" bestFit="1" customWidth="1"/>
    <col min="16" max="16" width="14.875" bestFit="1" customWidth="1"/>
    <col min="17" max="17" width="14.375" customWidth="1"/>
    <col min="18" max="26" width="10.625" customWidth="1"/>
    <col min="27" max="27" width="12.375" bestFit="1" customWidth="1"/>
    <col min="28" max="32" width="10.625" customWidth="1"/>
    <col min="33" max="33" width="10.625" hidden="1" customWidth="1"/>
    <col min="34" max="34" width="10.625" customWidth="1"/>
    <col min="35" max="35" width="1.75" customWidth="1"/>
    <col min="36" max="36" width="9" style="363"/>
    <col min="37" max="37" width="9" hidden="1" customWidth="1"/>
    <col min="39" max="39" width="15" customWidth="1"/>
    <col min="40" max="40" width="18.375" bestFit="1" customWidth="1"/>
  </cols>
  <sheetData>
    <row r="1" spans="1:41" ht="36" hidden="1" customHeight="1" thickBot="1" x14ac:dyDescent="0.35">
      <c r="B1" s="74" t="s">
        <v>278</v>
      </c>
      <c r="C1" s="76"/>
      <c r="D1" s="76"/>
      <c r="E1" s="76"/>
      <c r="F1" s="76"/>
      <c r="G1" s="76"/>
      <c r="H1" s="76"/>
      <c r="I1" s="76"/>
      <c r="J1" s="76"/>
      <c r="K1" s="75"/>
      <c r="L1" s="76"/>
      <c r="M1" s="76"/>
      <c r="N1" s="76"/>
      <c r="O1" s="76"/>
      <c r="P1" s="76"/>
      <c r="Q1" s="76"/>
      <c r="R1" s="76"/>
      <c r="S1" s="76"/>
      <c r="T1" s="76"/>
      <c r="U1" s="76"/>
      <c r="V1" s="76"/>
      <c r="W1" s="76"/>
      <c r="X1" s="76"/>
      <c r="Y1" s="76"/>
      <c r="Z1" s="76"/>
      <c r="AA1" s="76"/>
      <c r="AB1" s="76"/>
      <c r="AC1" s="76"/>
      <c r="AD1" s="76"/>
      <c r="AE1" s="76"/>
      <c r="AF1" s="76"/>
      <c r="AG1" s="76"/>
      <c r="AH1" s="362"/>
      <c r="AI1" s="362"/>
    </row>
    <row r="2" spans="1:41" ht="18.399999999999999" customHeight="1" thickBot="1" x14ac:dyDescent="0.35">
      <c r="B2" s="364"/>
      <c r="C2" s="365"/>
      <c r="D2" s="365"/>
      <c r="E2" s="365"/>
      <c r="F2" s="365"/>
      <c r="G2" s="365"/>
      <c r="H2" s="365"/>
      <c r="I2" s="365"/>
      <c r="J2" s="366"/>
      <c r="K2" s="367">
        <v>46072</v>
      </c>
      <c r="L2" s="366"/>
      <c r="M2" s="366"/>
      <c r="N2" s="366"/>
      <c r="O2" s="366"/>
      <c r="P2" s="366"/>
      <c r="Q2" s="366"/>
      <c r="R2" s="366"/>
      <c r="S2" s="366"/>
      <c r="T2" s="366"/>
      <c r="U2" s="366"/>
      <c r="V2" s="366"/>
      <c r="W2" s="366"/>
      <c r="X2" s="366"/>
      <c r="Y2" s="366"/>
      <c r="Z2" s="366"/>
      <c r="AA2" s="366"/>
      <c r="AB2" s="366"/>
      <c r="AC2" s="366"/>
      <c r="AD2" s="366"/>
      <c r="AE2" s="366"/>
      <c r="AF2" s="366"/>
      <c r="AG2" s="366"/>
      <c r="AH2" s="368"/>
      <c r="AI2" s="368"/>
    </row>
    <row r="3" spans="1:41" ht="42.75" customHeight="1" thickBot="1" x14ac:dyDescent="0.35">
      <c r="A3" t="s">
        <v>77</v>
      </c>
      <c r="B3" s="369" t="s">
        <v>279</v>
      </c>
      <c r="C3" s="370" t="s">
        <v>360</v>
      </c>
      <c r="D3" s="370" t="s">
        <v>356</v>
      </c>
      <c r="E3" s="370" t="s">
        <v>357</v>
      </c>
      <c r="F3" s="370" t="s">
        <v>359</v>
      </c>
      <c r="G3" s="370" t="s">
        <v>361</v>
      </c>
      <c r="H3" s="370" t="s">
        <v>362</v>
      </c>
      <c r="I3" s="370" t="s">
        <v>365</v>
      </c>
      <c r="J3" s="371" t="s">
        <v>280</v>
      </c>
      <c r="K3" s="372" t="s">
        <v>358</v>
      </c>
      <c r="L3" s="371" t="s">
        <v>281</v>
      </c>
      <c r="M3" s="373" t="s">
        <v>282</v>
      </c>
      <c r="N3" s="374" t="s">
        <v>283</v>
      </c>
      <c r="O3" s="375" t="s">
        <v>284</v>
      </c>
      <c r="P3" s="376" t="s">
        <v>285</v>
      </c>
      <c r="Q3" s="377" t="s">
        <v>286</v>
      </c>
      <c r="R3" s="376" t="s">
        <v>287</v>
      </c>
      <c r="S3" s="375" t="s">
        <v>288</v>
      </c>
      <c r="T3" s="376" t="s">
        <v>287</v>
      </c>
      <c r="U3" s="375" t="s">
        <v>289</v>
      </c>
      <c r="V3" s="376" t="s">
        <v>287</v>
      </c>
      <c r="W3" s="375" t="s">
        <v>290</v>
      </c>
      <c r="X3" s="376" t="s">
        <v>287</v>
      </c>
      <c r="Y3" s="375" t="s">
        <v>291</v>
      </c>
      <c r="Z3" s="376" t="s">
        <v>287</v>
      </c>
      <c r="AA3" s="375" t="s">
        <v>292</v>
      </c>
      <c r="AB3" s="376" t="s">
        <v>287</v>
      </c>
      <c r="AC3" s="378" t="s">
        <v>320</v>
      </c>
      <c r="AD3" s="375" t="s">
        <v>293</v>
      </c>
      <c r="AE3" s="376" t="s">
        <v>287</v>
      </c>
      <c r="AF3" s="376" t="s">
        <v>294</v>
      </c>
      <c r="AG3" s="376" t="s">
        <v>287</v>
      </c>
      <c r="AH3" s="379" t="s">
        <v>345</v>
      </c>
      <c r="AI3" s="380"/>
      <c r="AJ3" s="381" t="s">
        <v>346</v>
      </c>
      <c r="AK3" s="382" t="s">
        <v>347</v>
      </c>
      <c r="AL3" s="382" t="s">
        <v>348</v>
      </c>
      <c r="AM3" s="383" t="s">
        <v>349</v>
      </c>
      <c r="AN3" s="384" t="s">
        <v>350</v>
      </c>
      <c r="AO3" t="s">
        <v>351</v>
      </c>
    </row>
    <row r="4" spans="1:41" ht="16.5" customHeight="1" x14ac:dyDescent="0.3">
      <c r="A4" s="77" t="s">
        <v>32</v>
      </c>
      <c r="B4" s="127" t="s">
        <v>295</v>
      </c>
      <c r="C4" s="265"/>
      <c r="D4" s="265">
        <v>0</v>
      </c>
      <c r="E4" s="265">
        <v>0</v>
      </c>
      <c r="F4" s="265"/>
      <c r="G4" s="265"/>
      <c r="H4" s="265">
        <v>0</v>
      </c>
      <c r="I4" s="265"/>
      <c r="J4" s="100">
        <v>165</v>
      </c>
      <c r="K4" s="22">
        <v>500</v>
      </c>
      <c r="L4" s="100">
        <v>500</v>
      </c>
      <c r="M4" s="101">
        <v>0</v>
      </c>
      <c r="N4" s="102">
        <v>131</v>
      </c>
      <c r="O4" s="148">
        <v>-165</v>
      </c>
      <c r="P4" s="147">
        <v>-369</v>
      </c>
      <c r="Q4" s="148">
        <v>0</v>
      </c>
      <c r="R4" s="149">
        <v>-534</v>
      </c>
      <c r="S4" s="148">
        <v>0</v>
      </c>
      <c r="T4" s="149">
        <v>-534</v>
      </c>
      <c r="U4" s="148">
        <v>0</v>
      </c>
      <c r="V4" s="149">
        <v>-534</v>
      </c>
      <c r="W4" s="148">
        <v>0</v>
      </c>
      <c r="X4" s="149">
        <v>-534</v>
      </c>
      <c r="Y4" s="148">
        <v>0</v>
      </c>
      <c r="Z4" s="149">
        <v>-534</v>
      </c>
      <c r="AA4" s="148">
        <v>0</v>
      </c>
      <c r="AB4" s="149">
        <v>-534</v>
      </c>
      <c r="AC4" s="149">
        <v>0</v>
      </c>
      <c r="AD4" s="148">
        <v>0</v>
      </c>
      <c r="AE4" s="149">
        <v>-534</v>
      </c>
      <c r="AF4" s="149">
        <v>0</v>
      </c>
      <c r="AG4" s="149">
        <v>-534</v>
      </c>
      <c r="AH4" s="385">
        <v>-596</v>
      </c>
      <c r="AI4" s="386"/>
      <c r="AJ4" s="413">
        <v>0.13</v>
      </c>
      <c r="AK4" s="387">
        <v>-1.78</v>
      </c>
      <c r="AL4" s="388">
        <v>2</v>
      </c>
      <c r="AM4" s="389">
        <v>62</v>
      </c>
      <c r="AN4" s="390">
        <v>31</v>
      </c>
    </row>
    <row r="5" spans="1:41" ht="16.5" customHeight="1" x14ac:dyDescent="0.3">
      <c r="A5" s="77" t="s">
        <v>34</v>
      </c>
      <c r="B5" s="85" t="s">
        <v>35</v>
      </c>
      <c r="C5" s="258"/>
      <c r="D5" s="258">
        <v>80</v>
      </c>
      <c r="E5" s="258">
        <v>1375</v>
      </c>
      <c r="F5" s="258"/>
      <c r="G5" s="258"/>
      <c r="H5" s="258">
        <v>0</v>
      </c>
      <c r="I5" s="258"/>
      <c r="J5" s="86">
        <v>1895</v>
      </c>
      <c r="K5" s="15">
        <v>1000</v>
      </c>
      <c r="L5" s="86">
        <v>1000</v>
      </c>
      <c r="M5" s="87">
        <v>143</v>
      </c>
      <c r="N5" s="88">
        <v>96</v>
      </c>
      <c r="O5" s="89">
        <v>-1752</v>
      </c>
      <c r="P5" s="90">
        <v>-904</v>
      </c>
      <c r="Q5" s="89">
        <v>0</v>
      </c>
      <c r="R5" s="91">
        <v>-2656</v>
      </c>
      <c r="S5" s="89">
        <v>0</v>
      </c>
      <c r="T5" s="91">
        <v>-2656</v>
      </c>
      <c r="U5" s="89">
        <v>0</v>
      </c>
      <c r="V5" s="91">
        <v>-2656</v>
      </c>
      <c r="W5" s="89">
        <v>0</v>
      </c>
      <c r="X5" s="91">
        <v>-2656</v>
      </c>
      <c r="Y5" s="89">
        <v>618</v>
      </c>
      <c r="Z5" s="91">
        <v>-2038</v>
      </c>
      <c r="AA5" s="89">
        <v>1809</v>
      </c>
      <c r="AB5" s="91">
        <v>-229</v>
      </c>
      <c r="AC5" s="91">
        <v>0</v>
      </c>
      <c r="AD5" s="89">
        <v>0</v>
      </c>
      <c r="AE5" s="91">
        <v>-229</v>
      </c>
      <c r="AF5" s="91">
        <v>0</v>
      </c>
      <c r="AG5" s="91">
        <v>-229</v>
      </c>
      <c r="AH5" s="133">
        <v>-253</v>
      </c>
      <c r="AI5" s="386"/>
      <c r="AJ5" s="391">
        <v>0.17100000000000001</v>
      </c>
      <c r="AK5" s="392">
        <v>-0.76333333333333331</v>
      </c>
      <c r="AL5" s="393">
        <v>1</v>
      </c>
      <c r="AM5" s="394">
        <v>24</v>
      </c>
      <c r="AN5" s="395">
        <v>24</v>
      </c>
    </row>
    <row r="6" spans="1:41" ht="16.5" customHeight="1" x14ac:dyDescent="0.3">
      <c r="A6" s="77" t="s">
        <v>36</v>
      </c>
      <c r="B6" s="85" t="s">
        <v>296</v>
      </c>
      <c r="C6" s="258">
        <v>11</v>
      </c>
      <c r="D6" s="258">
        <v>100</v>
      </c>
      <c r="E6" s="258">
        <v>0</v>
      </c>
      <c r="F6" s="258"/>
      <c r="G6" s="258"/>
      <c r="H6" s="258">
        <v>0</v>
      </c>
      <c r="I6" s="258"/>
      <c r="J6" s="86">
        <v>331</v>
      </c>
      <c r="K6" s="15">
        <v>1000</v>
      </c>
      <c r="L6" s="86">
        <v>1000</v>
      </c>
      <c r="M6" s="87">
        <v>0</v>
      </c>
      <c r="N6" s="88">
        <v>192</v>
      </c>
      <c r="O6" s="89">
        <v>-331</v>
      </c>
      <c r="P6" s="90">
        <v>-808</v>
      </c>
      <c r="Q6" s="89">
        <v>296</v>
      </c>
      <c r="R6" s="91">
        <v>-843</v>
      </c>
      <c r="S6" s="89">
        <v>0</v>
      </c>
      <c r="T6" s="91">
        <v>-843</v>
      </c>
      <c r="U6" s="89">
        <v>0</v>
      </c>
      <c r="V6" s="91">
        <v>-843</v>
      </c>
      <c r="W6" s="89">
        <v>0</v>
      </c>
      <c r="X6" s="91">
        <v>-843</v>
      </c>
      <c r="Y6" s="89">
        <v>0</v>
      </c>
      <c r="Z6" s="91">
        <v>-843</v>
      </c>
      <c r="AA6" s="89">
        <v>0</v>
      </c>
      <c r="AB6" s="91">
        <v>-843</v>
      </c>
      <c r="AC6" s="91">
        <v>0</v>
      </c>
      <c r="AD6" s="89">
        <v>0</v>
      </c>
      <c r="AE6" s="91">
        <v>-843</v>
      </c>
      <c r="AF6" s="91">
        <v>0</v>
      </c>
      <c r="AG6" s="91">
        <v>-843</v>
      </c>
      <c r="AH6" s="133">
        <v>-903</v>
      </c>
      <c r="AI6" s="386"/>
      <c r="AJ6" s="391">
        <v>0.21</v>
      </c>
      <c r="AK6" s="392">
        <v>-2.81</v>
      </c>
      <c r="AL6" s="393">
        <v>3</v>
      </c>
      <c r="AM6" s="394">
        <v>60</v>
      </c>
      <c r="AN6" s="395">
        <v>20</v>
      </c>
    </row>
    <row r="7" spans="1:41" ht="17.25" customHeight="1" thickBot="1" x14ac:dyDescent="0.35">
      <c r="A7" s="77" t="s">
        <v>38</v>
      </c>
      <c r="B7" s="92" t="s">
        <v>39</v>
      </c>
      <c r="C7" s="259"/>
      <c r="D7" s="259">
        <v>50</v>
      </c>
      <c r="E7" s="259">
        <v>0</v>
      </c>
      <c r="F7" s="259"/>
      <c r="G7" s="259"/>
      <c r="H7" s="259">
        <v>0</v>
      </c>
      <c r="I7" s="259"/>
      <c r="J7" s="93">
        <v>160</v>
      </c>
      <c r="K7" s="16">
        <v>500</v>
      </c>
      <c r="L7" s="93">
        <v>500</v>
      </c>
      <c r="M7" s="94">
        <v>59</v>
      </c>
      <c r="N7" s="95">
        <v>150</v>
      </c>
      <c r="O7" s="96">
        <v>-101</v>
      </c>
      <c r="P7" s="97">
        <v>-350</v>
      </c>
      <c r="Q7" s="96">
        <v>0</v>
      </c>
      <c r="R7" s="98">
        <v>-451</v>
      </c>
      <c r="S7" s="96">
        <v>0</v>
      </c>
      <c r="T7" s="98">
        <v>-451</v>
      </c>
      <c r="U7" s="96">
        <v>0</v>
      </c>
      <c r="V7" s="98">
        <v>-451</v>
      </c>
      <c r="W7" s="96">
        <v>0</v>
      </c>
      <c r="X7" s="98">
        <v>-451</v>
      </c>
      <c r="Y7" s="96">
        <v>0</v>
      </c>
      <c r="Z7" s="98">
        <v>-451</v>
      </c>
      <c r="AA7" s="96">
        <v>0</v>
      </c>
      <c r="AB7" s="98">
        <v>-451</v>
      </c>
      <c r="AC7" s="98">
        <v>0</v>
      </c>
      <c r="AD7" s="96">
        <v>0</v>
      </c>
      <c r="AE7" s="98">
        <v>-451</v>
      </c>
      <c r="AF7" s="98">
        <v>0</v>
      </c>
      <c r="AG7" s="135">
        <v>-451</v>
      </c>
      <c r="AH7" s="133">
        <v>-485</v>
      </c>
      <c r="AI7" s="386"/>
      <c r="AJ7" s="396">
        <v>0.245</v>
      </c>
      <c r="AK7" s="160">
        <v>-1.5033333333333334</v>
      </c>
      <c r="AL7" s="397">
        <v>2</v>
      </c>
      <c r="AM7" s="398">
        <v>34</v>
      </c>
      <c r="AN7" s="399">
        <v>17</v>
      </c>
    </row>
    <row r="8" spans="1:41" ht="16.5" customHeight="1" x14ac:dyDescent="0.3">
      <c r="A8" s="77" t="s">
        <v>129</v>
      </c>
      <c r="B8" s="99" t="s">
        <v>40</v>
      </c>
      <c r="C8" s="260"/>
      <c r="D8" s="260">
        <v>0</v>
      </c>
      <c r="E8" s="260">
        <v>825</v>
      </c>
      <c r="F8" s="260"/>
      <c r="G8" s="260"/>
      <c r="H8" s="260">
        <v>0</v>
      </c>
      <c r="I8" s="260"/>
      <c r="J8" s="100">
        <v>1469</v>
      </c>
      <c r="K8" s="17">
        <v>1000</v>
      </c>
      <c r="L8" s="100">
        <v>1000</v>
      </c>
      <c r="M8" s="101">
        <v>403</v>
      </c>
      <c r="N8" s="102">
        <v>125</v>
      </c>
      <c r="O8" s="103">
        <v>-1066</v>
      </c>
      <c r="P8" s="104">
        <v>-875</v>
      </c>
      <c r="Q8" s="105">
        <v>0</v>
      </c>
      <c r="R8" s="106">
        <v>-1941</v>
      </c>
      <c r="S8" s="105">
        <v>0</v>
      </c>
      <c r="T8" s="106">
        <v>-1941</v>
      </c>
      <c r="U8" s="105">
        <v>0</v>
      </c>
      <c r="V8" s="106">
        <v>-1941</v>
      </c>
      <c r="W8" s="105">
        <v>0</v>
      </c>
      <c r="X8" s="106">
        <v>-1941</v>
      </c>
      <c r="Y8" s="105">
        <v>0</v>
      </c>
      <c r="Z8" s="106">
        <v>-1941</v>
      </c>
      <c r="AA8" s="105">
        <v>665</v>
      </c>
      <c r="AB8" s="106">
        <v>-1276</v>
      </c>
      <c r="AC8" s="106">
        <v>0</v>
      </c>
      <c r="AD8" s="105">
        <v>0</v>
      </c>
      <c r="AE8" s="106">
        <v>-1276</v>
      </c>
      <c r="AF8" s="106">
        <v>0</v>
      </c>
      <c r="AG8" s="138">
        <v>-1276</v>
      </c>
      <c r="AH8" s="121">
        <v>-1401</v>
      </c>
      <c r="AI8" s="386"/>
      <c r="AJ8" s="400">
        <v>0.16200000000000001</v>
      </c>
      <c r="AK8" s="161">
        <v>-4.253333333333333</v>
      </c>
      <c r="AL8" s="401">
        <v>5</v>
      </c>
      <c r="AM8" s="402">
        <v>125</v>
      </c>
      <c r="AN8" s="403">
        <v>25</v>
      </c>
    </row>
    <row r="9" spans="1:41" ht="16.5" customHeight="1" x14ac:dyDescent="0.3">
      <c r="A9" s="77" t="s">
        <v>130</v>
      </c>
      <c r="B9" s="107" t="s">
        <v>41</v>
      </c>
      <c r="C9" s="261"/>
      <c r="D9" s="261">
        <v>100</v>
      </c>
      <c r="E9" s="261">
        <v>0</v>
      </c>
      <c r="F9" s="261"/>
      <c r="G9" s="261"/>
      <c r="H9" s="261">
        <v>0</v>
      </c>
      <c r="I9" s="261"/>
      <c r="J9" s="86">
        <v>1365</v>
      </c>
      <c r="K9" s="18">
        <v>3000</v>
      </c>
      <c r="L9" s="86">
        <v>3000</v>
      </c>
      <c r="M9" s="87">
        <v>113</v>
      </c>
      <c r="N9" s="88">
        <v>305</v>
      </c>
      <c r="O9" s="108">
        <v>-1252</v>
      </c>
      <c r="P9" s="109">
        <v>-2695</v>
      </c>
      <c r="Q9" s="108">
        <v>568</v>
      </c>
      <c r="R9" s="110">
        <v>-3379</v>
      </c>
      <c r="S9" s="108">
        <v>0</v>
      </c>
      <c r="T9" s="110">
        <v>-3379</v>
      </c>
      <c r="U9" s="108">
        <v>0</v>
      </c>
      <c r="V9" s="110">
        <v>-3379</v>
      </c>
      <c r="W9" s="108">
        <v>276</v>
      </c>
      <c r="X9" s="110">
        <v>-3103</v>
      </c>
      <c r="Y9" s="108">
        <v>320</v>
      </c>
      <c r="Z9" s="110">
        <v>-2783</v>
      </c>
      <c r="AA9" s="108">
        <v>0</v>
      </c>
      <c r="AB9" s="110">
        <v>-2783</v>
      </c>
      <c r="AC9" s="110">
        <v>1633</v>
      </c>
      <c r="AD9" s="108">
        <v>0</v>
      </c>
      <c r="AE9" s="110">
        <v>-1150</v>
      </c>
      <c r="AF9" s="110">
        <v>0</v>
      </c>
      <c r="AG9" s="110">
        <v>-1150</v>
      </c>
      <c r="AH9" s="133">
        <v>-1230</v>
      </c>
      <c r="AI9" s="386"/>
      <c r="AJ9" s="404">
        <v>0.2</v>
      </c>
      <c r="AK9" s="392">
        <v>-3.8333333333333335</v>
      </c>
      <c r="AL9" s="393">
        <v>4</v>
      </c>
      <c r="AM9" s="394">
        <v>80</v>
      </c>
      <c r="AN9" s="395">
        <v>20</v>
      </c>
    </row>
    <row r="10" spans="1:41" ht="16.5" customHeight="1" x14ac:dyDescent="0.3">
      <c r="A10" s="77" t="s">
        <v>131</v>
      </c>
      <c r="B10" s="107" t="s">
        <v>42</v>
      </c>
      <c r="C10" s="261"/>
      <c r="D10" s="261">
        <v>80</v>
      </c>
      <c r="E10" s="261">
        <v>0</v>
      </c>
      <c r="F10" s="261"/>
      <c r="G10" s="261"/>
      <c r="H10" s="261">
        <v>0</v>
      </c>
      <c r="I10" s="261"/>
      <c r="J10" s="86">
        <v>630</v>
      </c>
      <c r="K10" s="18">
        <v>2000</v>
      </c>
      <c r="L10" s="86">
        <v>2000</v>
      </c>
      <c r="M10" s="87">
        <v>178</v>
      </c>
      <c r="N10" s="88">
        <v>47</v>
      </c>
      <c r="O10" s="108">
        <v>-452</v>
      </c>
      <c r="P10" s="109">
        <v>-1953</v>
      </c>
      <c r="Q10" s="108">
        <v>0</v>
      </c>
      <c r="R10" s="109">
        <v>-2405</v>
      </c>
      <c r="S10" s="108">
        <v>0</v>
      </c>
      <c r="T10" s="110">
        <v>-2405</v>
      </c>
      <c r="U10" s="108">
        <v>0</v>
      </c>
      <c r="V10" s="110">
        <v>-2405</v>
      </c>
      <c r="W10" s="108">
        <v>0</v>
      </c>
      <c r="X10" s="110">
        <v>-2405</v>
      </c>
      <c r="Y10" s="108">
        <v>0</v>
      </c>
      <c r="Z10" s="110">
        <v>-2405</v>
      </c>
      <c r="AA10" s="108">
        <v>0</v>
      </c>
      <c r="AB10" s="110">
        <v>-2405</v>
      </c>
      <c r="AC10" s="110">
        <v>0</v>
      </c>
      <c r="AD10" s="108">
        <v>0</v>
      </c>
      <c r="AE10" s="110">
        <v>-2405</v>
      </c>
      <c r="AF10" s="110">
        <v>0</v>
      </c>
      <c r="AG10" s="110">
        <v>-2405</v>
      </c>
      <c r="AH10" s="133">
        <v>-2549</v>
      </c>
      <c r="AI10" s="386"/>
      <c r="AJ10" s="404">
        <v>0.25</v>
      </c>
      <c r="AK10" s="392">
        <v>-8.0166666666666675</v>
      </c>
      <c r="AL10" s="393">
        <v>9</v>
      </c>
      <c r="AM10" s="394">
        <v>144</v>
      </c>
      <c r="AN10" s="395">
        <v>16</v>
      </c>
    </row>
    <row r="11" spans="1:41" ht="17.25" customHeight="1" thickBot="1" x14ac:dyDescent="0.35">
      <c r="A11" s="77" t="s">
        <v>132</v>
      </c>
      <c r="B11" s="111" t="s">
        <v>297</v>
      </c>
      <c r="C11" s="262"/>
      <c r="D11" s="262">
        <v>50</v>
      </c>
      <c r="E11" s="262">
        <v>0</v>
      </c>
      <c r="F11" s="262"/>
      <c r="G11" s="262"/>
      <c r="H11" s="262">
        <v>0</v>
      </c>
      <c r="I11" s="262"/>
      <c r="J11" s="112">
        <v>270</v>
      </c>
      <c r="K11" s="19">
        <v>500</v>
      </c>
      <c r="L11" s="112">
        <v>500</v>
      </c>
      <c r="M11" s="113">
        <v>0</v>
      </c>
      <c r="N11" s="114">
        <v>190</v>
      </c>
      <c r="O11" s="115">
        <v>-270</v>
      </c>
      <c r="P11" s="116">
        <v>-310</v>
      </c>
      <c r="Q11" s="117">
        <v>0</v>
      </c>
      <c r="R11" s="118">
        <v>-580</v>
      </c>
      <c r="S11" s="117">
        <v>0</v>
      </c>
      <c r="T11" s="118">
        <v>-580</v>
      </c>
      <c r="U11" s="117">
        <v>0</v>
      </c>
      <c r="V11" s="118">
        <v>-580</v>
      </c>
      <c r="W11" s="117">
        <v>0</v>
      </c>
      <c r="X11" s="118">
        <v>-580</v>
      </c>
      <c r="Y11" s="117">
        <v>0</v>
      </c>
      <c r="Z11" s="118">
        <v>-580</v>
      </c>
      <c r="AA11" s="117">
        <v>0</v>
      </c>
      <c r="AB11" s="118">
        <v>-580</v>
      </c>
      <c r="AC11" s="118">
        <v>283</v>
      </c>
      <c r="AD11" s="117">
        <v>348</v>
      </c>
      <c r="AE11" s="118">
        <v>51</v>
      </c>
      <c r="AF11" s="118">
        <v>0</v>
      </c>
      <c r="AG11" s="118">
        <v>51</v>
      </c>
      <c r="AH11" s="133">
        <v>51</v>
      </c>
      <c r="AI11" s="386"/>
      <c r="AJ11" s="396">
        <v>0.3</v>
      </c>
      <c r="AK11" s="160">
        <v>0.17</v>
      </c>
      <c r="AL11" s="397">
        <v>0</v>
      </c>
      <c r="AM11" s="398">
        <v>0</v>
      </c>
      <c r="AN11" s="399">
        <v>14</v>
      </c>
    </row>
    <row r="12" spans="1:41" ht="16.5" customHeight="1" thickBot="1" x14ac:dyDescent="0.35">
      <c r="A12" s="77" t="s">
        <v>133</v>
      </c>
      <c r="B12" s="119" t="s">
        <v>298</v>
      </c>
      <c r="C12" s="263"/>
      <c r="D12" s="263">
        <v>0</v>
      </c>
      <c r="E12" s="263">
        <v>0</v>
      </c>
      <c r="F12" s="263"/>
      <c r="G12" s="263"/>
      <c r="H12" s="263">
        <v>0</v>
      </c>
      <c r="I12" s="263"/>
      <c r="J12" s="79">
        <v>0</v>
      </c>
      <c r="K12" s="20">
        <v>2000</v>
      </c>
      <c r="L12" s="79">
        <v>2000</v>
      </c>
      <c r="M12" s="80">
        <v>3</v>
      </c>
      <c r="N12" s="81">
        <v>62</v>
      </c>
      <c r="O12" s="82">
        <v>3</v>
      </c>
      <c r="P12" s="83">
        <v>-1938</v>
      </c>
      <c r="Q12" s="120">
        <v>0</v>
      </c>
      <c r="R12" s="121">
        <v>-1938</v>
      </c>
      <c r="S12" s="120">
        <v>0</v>
      </c>
      <c r="T12" s="121">
        <v>-1938</v>
      </c>
      <c r="U12" s="120">
        <v>0</v>
      </c>
      <c r="V12" s="121">
        <v>-1938</v>
      </c>
      <c r="W12" s="120">
        <v>192</v>
      </c>
      <c r="X12" s="121">
        <v>-1746</v>
      </c>
      <c r="Y12" s="120">
        <v>721</v>
      </c>
      <c r="Z12" s="121">
        <v>-1025</v>
      </c>
      <c r="AA12" s="82">
        <v>0</v>
      </c>
      <c r="AB12" s="84">
        <v>-1025</v>
      </c>
      <c r="AC12" s="84">
        <v>1605</v>
      </c>
      <c r="AD12" s="82">
        <v>0</v>
      </c>
      <c r="AE12" s="84">
        <v>580</v>
      </c>
      <c r="AF12" s="84">
        <v>0</v>
      </c>
      <c r="AG12" s="84">
        <v>580</v>
      </c>
      <c r="AH12" s="121">
        <v>580</v>
      </c>
      <c r="AI12" s="386"/>
      <c r="AJ12" s="400">
        <v>0.16200000000000001</v>
      </c>
      <c r="AK12" s="161">
        <v>1.9333333333333333</v>
      </c>
      <c r="AL12" s="401">
        <v>0</v>
      </c>
      <c r="AM12" s="402">
        <v>0</v>
      </c>
      <c r="AN12" s="403">
        <v>25</v>
      </c>
    </row>
    <row r="13" spans="1:41" ht="16.5" customHeight="1" x14ac:dyDescent="0.3">
      <c r="A13" s="77" t="s">
        <v>134</v>
      </c>
      <c r="B13" s="107" t="s">
        <v>299</v>
      </c>
      <c r="C13" s="261"/>
      <c r="D13" s="261">
        <v>0</v>
      </c>
      <c r="E13" s="261">
        <v>0</v>
      </c>
      <c r="F13" s="261"/>
      <c r="G13" s="261"/>
      <c r="H13" s="261">
        <v>0</v>
      </c>
      <c r="I13" s="261"/>
      <c r="J13" s="86">
        <v>0</v>
      </c>
      <c r="K13" s="18">
        <v>3000</v>
      </c>
      <c r="L13" s="86">
        <v>3000</v>
      </c>
      <c r="M13" s="87">
        <v>124</v>
      </c>
      <c r="N13" s="88">
        <v>630</v>
      </c>
      <c r="O13" s="89">
        <v>124</v>
      </c>
      <c r="P13" s="90">
        <v>-2370</v>
      </c>
      <c r="Q13" s="120">
        <v>524</v>
      </c>
      <c r="R13" s="123">
        <v>-1846</v>
      </c>
      <c r="S13" s="122">
        <v>0</v>
      </c>
      <c r="T13" s="123">
        <v>-1846</v>
      </c>
      <c r="U13" s="122">
        <v>0</v>
      </c>
      <c r="V13" s="123">
        <v>-1846</v>
      </c>
      <c r="W13" s="122">
        <v>0</v>
      </c>
      <c r="X13" s="123">
        <v>-1846</v>
      </c>
      <c r="Y13" s="122">
        <v>0</v>
      </c>
      <c r="Z13" s="123">
        <v>-1846</v>
      </c>
      <c r="AA13" s="89">
        <v>0</v>
      </c>
      <c r="AB13" s="91">
        <v>-1846</v>
      </c>
      <c r="AC13" s="91">
        <v>2446</v>
      </c>
      <c r="AD13" s="89">
        <v>0</v>
      </c>
      <c r="AE13" s="91">
        <v>600</v>
      </c>
      <c r="AF13" s="91">
        <v>0</v>
      </c>
      <c r="AG13" s="91">
        <v>600</v>
      </c>
      <c r="AH13" s="133">
        <v>600</v>
      </c>
      <c r="AI13" s="386"/>
      <c r="AJ13" s="404">
        <v>0.2</v>
      </c>
      <c r="AK13" s="392">
        <v>2</v>
      </c>
      <c r="AL13" s="393">
        <v>0</v>
      </c>
      <c r="AM13" s="394">
        <v>0</v>
      </c>
      <c r="AN13" s="395">
        <v>20</v>
      </c>
    </row>
    <row r="14" spans="1:41" ht="16.5" customHeight="1" x14ac:dyDescent="0.3">
      <c r="A14" s="77" t="s">
        <v>135</v>
      </c>
      <c r="B14" s="107" t="s">
        <v>300</v>
      </c>
      <c r="C14" s="261"/>
      <c r="D14" s="261">
        <v>0</v>
      </c>
      <c r="E14" s="261">
        <v>0</v>
      </c>
      <c r="F14" s="261"/>
      <c r="G14" s="261"/>
      <c r="H14" s="261">
        <v>0</v>
      </c>
      <c r="I14" s="261"/>
      <c r="J14" s="86">
        <v>0</v>
      </c>
      <c r="K14" s="18">
        <v>2000</v>
      </c>
      <c r="L14" s="86">
        <v>2000</v>
      </c>
      <c r="M14" s="87">
        <v>0</v>
      </c>
      <c r="N14" s="88">
        <v>221</v>
      </c>
      <c r="O14" s="89">
        <v>0</v>
      </c>
      <c r="P14" s="90">
        <v>-1779</v>
      </c>
      <c r="Q14" s="122">
        <v>194</v>
      </c>
      <c r="R14" s="123">
        <v>-1585</v>
      </c>
      <c r="S14" s="122">
        <v>0</v>
      </c>
      <c r="T14" s="123">
        <v>-1585</v>
      </c>
      <c r="U14" s="122">
        <v>0</v>
      </c>
      <c r="V14" s="123">
        <v>-1585</v>
      </c>
      <c r="W14" s="122">
        <v>0</v>
      </c>
      <c r="X14" s="123">
        <v>-1585</v>
      </c>
      <c r="Y14" s="122">
        <v>0</v>
      </c>
      <c r="Z14" s="123">
        <v>-1585</v>
      </c>
      <c r="AA14" s="89">
        <v>521</v>
      </c>
      <c r="AB14" s="91">
        <v>-1064</v>
      </c>
      <c r="AC14" s="91">
        <v>1222</v>
      </c>
      <c r="AD14" s="89">
        <v>0</v>
      </c>
      <c r="AE14" s="91">
        <v>158</v>
      </c>
      <c r="AF14" s="91">
        <v>0</v>
      </c>
      <c r="AG14" s="91">
        <v>158</v>
      </c>
      <c r="AH14" s="133">
        <v>158</v>
      </c>
      <c r="AI14" s="386"/>
      <c r="AJ14" s="404">
        <v>0.25</v>
      </c>
      <c r="AK14" s="392">
        <v>0.52666666666666662</v>
      </c>
      <c r="AL14" s="393">
        <v>0</v>
      </c>
      <c r="AM14" s="394">
        <v>0</v>
      </c>
      <c r="AN14" s="395">
        <v>16</v>
      </c>
    </row>
    <row r="15" spans="1:41" ht="17.25" customHeight="1" thickBot="1" x14ac:dyDescent="0.35">
      <c r="A15" s="77" t="s">
        <v>136</v>
      </c>
      <c r="B15" s="124" t="s">
        <v>301</v>
      </c>
      <c r="C15" s="264"/>
      <c r="D15" s="264">
        <v>0</v>
      </c>
      <c r="E15" s="264">
        <v>0</v>
      </c>
      <c r="F15" s="264"/>
      <c r="G15" s="264"/>
      <c r="H15" s="264">
        <v>0</v>
      </c>
      <c r="I15" s="264"/>
      <c r="J15" s="93">
        <v>0</v>
      </c>
      <c r="K15" s="21">
        <v>500</v>
      </c>
      <c r="L15" s="93">
        <v>500</v>
      </c>
      <c r="M15" s="94">
        <v>3</v>
      </c>
      <c r="N15" s="95">
        <v>503</v>
      </c>
      <c r="O15" s="96">
        <v>3</v>
      </c>
      <c r="P15" s="97">
        <v>3</v>
      </c>
      <c r="Q15" s="125">
        <v>0</v>
      </c>
      <c r="R15" s="126">
        <v>0</v>
      </c>
      <c r="S15" s="125">
        <v>0</v>
      </c>
      <c r="T15" s="126">
        <v>0</v>
      </c>
      <c r="U15" s="125">
        <v>0</v>
      </c>
      <c r="V15" s="126">
        <v>0</v>
      </c>
      <c r="W15" s="125">
        <v>298</v>
      </c>
      <c r="X15" s="126">
        <v>298</v>
      </c>
      <c r="Y15" s="125">
        <v>0</v>
      </c>
      <c r="Z15" s="126">
        <v>298</v>
      </c>
      <c r="AA15" s="96">
        <v>0</v>
      </c>
      <c r="AB15" s="98">
        <v>298</v>
      </c>
      <c r="AC15" s="98">
        <v>0</v>
      </c>
      <c r="AD15" s="96">
        <v>0</v>
      </c>
      <c r="AE15" s="98">
        <v>298</v>
      </c>
      <c r="AF15" s="98">
        <v>0</v>
      </c>
      <c r="AG15" s="135">
        <v>298</v>
      </c>
      <c r="AH15" s="133">
        <v>298</v>
      </c>
      <c r="AI15" s="386"/>
      <c r="AJ15" s="396">
        <v>0.3</v>
      </c>
      <c r="AK15" s="160">
        <v>0.99333333333333329</v>
      </c>
      <c r="AL15" s="397">
        <v>0</v>
      </c>
      <c r="AM15" s="398">
        <v>0</v>
      </c>
      <c r="AN15" s="399">
        <v>14</v>
      </c>
    </row>
    <row r="16" spans="1:41" ht="16.5" customHeight="1" x14ac:dyDescent="0.3">
      <c r="A16" s="77" t="s">
        <v>137</v>
      </c>
      <c r="B16" s="127" t="s">
        <v>48</v>
      </c>
      <c r="C16" s="265"/>
      <c r="D16" s="265">
        <v>100</v>
      </c>
      <c r="E16" s="265">
        <v>0</v>
      </c>
      <c r="F16" s="265"/>
      <c r="G16" s="265"/>
      <c r="H16" s="265">
        <v>0</v>
      </c>
      <c r="I16" s="265"/>
      <c r="J16" s="100">
        <v>430</v>
      </c>
      <c r="K16" s="22">
        <v>2000</v>
      </c>
      <c r="L16" s="100">
        <v>2000</v>
      </c>
      <c r="M16" s="101">
        <v>509</v>
      </c>
      <c r="N16" s="102">
        <v>714</v>
      </c>
      <c r="O16" s="103">
        <v>79</v>
      </c>
      <c r="P16" s="104">
        <v>-1286</v>
      </c>
      <c r="Q16" s="105">
        <v>0</v>
      </c>
      <c r="R16" s="106">
        <v>-1286</v>
      </c>
      <c r="S16" s="105">
        <v>0</v>
      </c>
      <c r="T16" s="106">
        <v>-1286</v>
      </c>
      <c r="U16" s="105">
        <v>0</v>
      </c>
      <c r="V16" s="106">
        <v>-1286</v>
      </c>
      <c r="W16" s="105">
        <v>0</v>
      </c>
      <c r="X16" s="106">
        <v>-1286</v>
      </c>
      <c r="Y16" s="105">
        <v>0</v>
      </c>
      <c r="Z16" s="106">
        <v>-1286</v>
      </c>
      <c r="AA16" s="105">
        <v>0</v>
      </c>
      <c r="AB16" s="106">
        <v>-1286</v>
      </c>
      <c r="AC16" s="106">
        <v>0</v>
      </c>
      <c r="AD16" s="105">
        <v>0</v>
      </c>
      <c r="AE16" s="106">
        <v>-1286</v>
      </c>
      <c r="AF16" s="106">
        <v>0</v>
      </c>
      <c r="AG16" s="138">
        <v>-1286</v>
      </c>
      <c r="AH16" s="121">
        <v>-1386</v>
      </c>
      <c r="AI16" s="386"/>
      <c r="AJ16" s="400">
        <v>0.16500000000000001</v>
      </c>
      <c r="AK16" s="161">
        <v>-3.2149999999999999</v>
      </c>
      <c r="AL16" s="401">
        <v>4</v>
      </c>
      <c r="AM16" s="402">
        <v>100</v>
      </c>
      <c r="AN16" s="403">
        <v>25</v>
      </c>
    </row>
    <row r="17" spans="1:40" ht="16.5" customHeight="1" x14ac:dyDescent="0.3">
      <c r="A17" s="77" t="s">
        <v>138</v>
      </c>
      <c r="B17" s="85" t="s">
        <v>49</v>
      </c>
      <c r="C17" s="258"/>
      <c r="D17" s="258">
        <v>290</v>
      </c>
      <c r="E17" s="258">
        <v>825</v>
      </c>
      <c r="F17" s="258"/>
      <c r="G17" s="258"/>
      <c r="H17" s="258">
        <v>200</v>
      </c>
      <c r="I17" s="258">
        <v>125</v>
      </c>
      <c r="J17" s="86">
        <v>2100</v>
      </c>
      <c r="K17" s="15">
        <v>5000</v>
      </c>
      <c r="L17" s="86">
        <v>5000</v>
      </c>
      <c r="M17" s="87">
        <v>378</v>
      </c>
      <c r="N17" s="88">
        <v>1515</v>
      </c>
      <c r="O17" s="108">
        <v>-1722</v>
      </c>
      <c r="P17" s="109">
        <v>-3485</v>
      </c>
      <c r="Q17" s="108">
        <v>1524</v>
      </c>
      <c r="R17" s="110">
        <v>-3683</v>
      </c>
      <c r="S17" s="108">
        <v>0</v>
      </c>
      <c r="T17" s="110">
        <v>-3683</v>
      </c>
      <c r="U17" s="108">
        <v>0</v>
      </c>
      <c r="V17" s="110">
        <v>-3683</v>
      </c>
      <c r="W17" s="108">
        <v>0</v>
      </c>
      <c r="X17" s="110">
        <v>-3683</v>
      </c>
      <c r="Y17" s="108">
        <v>0</v>
      </c>
      <c r="Z17" s="110">
        <v>-3683</v>
      </c>
      <c r="AA17" s="108">
        <v>0</v>
      </c>
      <c r="AB17" s="110">
        <v>-3683</v>
      </c>
      <c r="AC17" s="110">
        <v>0</v>
      </c>
      <c r="AD17" s="108">
        <v>0</v>
      </c>
      <c r="AE17" s="110">
        <v>-3683</v>
      </c>
      <c r="AF17" s="110">
        <v>0</v>
      </c>
      <c r="AG17" s="110">
        <v>-3683</v>
      </c>
      <c r="AH17" s="133">
        <v>-3873</v>
      </c>
      <c r="AI17" s="386"/>
      <c r="AJ17" s="404">
        <v>0.22</v>
      </c>
      <c r="AK17" s="392">
        <v>-9.2074999999999996</v>
      </c>
      <c r="AL17" s="393">
        <v>10</v>
      </c>
      <c r="AM17" s="394">
        <v>190</v>
      </c>
      <c r="AN17" s="395">
        <v>19</v>
      </c>
    </row>
    <row r="18" spans="1:40" ht="16.5" customHeight="1" x14ac:dyDescent="0.3">
      <c r="A18" s="77" t="s">
        <v>139</v>
      </c>
      <c r="B18" s="85" t="s">
        <v>50</v>
      </c>
      <c r="C18" s="258"/>
      <c r="D18" s="258">
        <v>400</v>
      </c>
      <c r="E18" s="258">
        <v>1752</v>
      </c>
      <c r="F18" s="258"/>
      <c r="G18" s="258"/>
      <c r="H18" s="258">
        <v>500</v>
      </c>
      <c r="I18" s="258">
        <v>125</v>
      </c>
      <c r="J18" s="86">
        <v>4594</v>
      </c>
      <c r="K18" s="15">
        <v>20000</v>
      </c>
      <c r="L18" s="86">
        <v>20000</v>
      </c>
      <c r="M18" s="87">
        <v>1268</v>
      </c>
      <c r="N18" s="88">
        <v>685</v>
      </c>
      <c r="O18" s="108">
        <v>-3326</v>
      </c>
      <c r="P18" s="109">
        <v>-19315</v>
      </c>
      <c r="Q18" s="108">
        <v>1503</v>
      </c>
      <c r="R18" s="110">
        <v>-21138</v>
      </c>
      <c r="S18" s="108">
        <v>1972</v>
      </c>
      <c r="T18" s="110">
        <v>-19166</v>
      </c>
      <c r="U18" s="108">
        <v>1282</v>
      </c>
      <c r="V18" s="110">
        <v>-17884</v>
      </c>
      <c r="W18" s="108">
        <v>3186</v>
      </c>
      <c r="X18" s="110">
        <v>-14698</v>
      </c>
      <c r="Y18" s="108">
        <v>867</v>
      </c>
      <c r="Z18" s="110">
        <v>-13831</v>
      </c>
      <c r="AA18" s="108">
        <v>472</v>
      </c>
      <c r="AB18" s="110">
        <v>-13359</v>
      </c>
      <c r="AC18" s="110">
        <v>2652</v>
      </c>
      <c r="AD18" s="108">
        <v>926</v>
      </c>
      <c r="AE18" s="110">
        <v>-9781</v>
      </c>
      <c r="AF18" s="110">
        <v>0</v>
      </c>
      <c r="AG18" s="110">
        <v>-9781</v>
      </c>
      <c r="AH18" s="133">
        <v>-10131</v>
      </c>
      <c r="AI18" s="386"/>
      <c r="AJ18" s="404">
        <v>0.29199999999999998</v>
      </c>
      <c r="AK18" s="392">
        <v>-24.452500000000001</v>
      </c>
      <c r="AL18" s="393">
        <v>25</v>
      </c>
      <c r="AM18" s="394">
        <v>350</v>
      </c>
      <c r="AN18" s="395">
        <v>14</v>
      </c>
    </row>
    <row r="19" spans="1:40" ht="16.5" customHeight="1" x14ac:dyDescent="0.3">
      <c r="A19" s="77" t="s">
        <v>140</v>
      </c>
      <c r="B19" s="85" t="s">
        <v>302</v>
      </c>
      <c r="C19" s="258"/>
      <c r="D19" s="258">
        <v>290</v>
      </c>
      <c r="E19" s="258">
        <v>1100</v>
      </c>
      <c r="F19" s="258"/>
      <c r="G19" s="258"/>
      <c r="H19" s="258">
        <v>0</v>
      </c>
      <c r="I19" s="258">
        <v>30</v>
      </c>
      <c r="J19" s="86">
        <v>2080</v>
      </c>
      <c r="K19" s="15">
        <v>10000</v>
      </c>
      <c r="L19" s="86">
        <v>10000</v>
      </c>
      <c r="M19" s="87">
        <v>308</v>
      </c>
      <c r="N19" s="88">
        <v>34</v>
      </c>
      <c r="O19" s="108">
        <v>-1772</v>
      </c>
      <c r="P19" s="109">
        <v>-9966</v>
      </c>
      <c r="Q19" s="108">
        <v>1002</v>
      </c>
      <c r="R19" s="109">
        <v>-10736</v>
      </c>
      <c r="S19" s="108">
        <v>0</v>
      </c>
      <c r="T19" s="109">
        <v>-10736</v>
      </c>
      <c r="U19" s="108">
        <v>432</v>
      </c>
      <c r="V19" s="109">
        <v>-10304</v>
      </c>
      <c r="W19" s="108">
        <v>0</v>
      </c>
      <c r="X19" s="109">
        <v>-10304</v>
      </c>
      <c r="Y19" s="108">
        <v>0</v>
      </c>
      <c r="Z19" s="109">
        <v>-10304</v>
      </c>
      <c r="AA19" s="108">
        <v>0</v>
      </c>
      <c r="AB19" s="110">
        <v>-10304</v>
      </c>
      <c r="AC19" s="110">
        <v>2525</v>
      </c>
      <c r="AD19" s="108">
        <v>1633</v>
      </c>
      <c r="AE19" s="110">
        <v>-6146</v>
      </c>
      <c r="AF19" s="110">
        <v>0</v>
      </c>
      <c r="AG19" s="110">
        <v>-6146</v>
      </c>
      <c r="AH19" s="133">
        <v>-6338</v>
      </c>
      <c r="AI19" s="386"/>
      <c r="AJ19" s="404">
        <v>0.35399999999999998</v>
      </c>
      <c r="AK19" s="392">
        <v>-15.365</v>
      </c>
      <c r="AL19" s="393">
        <v>16</v>
      </c>
      <c r="AM19" s="394">
        <v>192</v>
      </c>
      <c r="AN19" s="395">
        <v>12</v>
      </c>
    </row>
    <row r="20" spans="1:40" ht="17.25" customHeight="1" thickBot="1" x14ac:dyDescent="0.35">
      <c r="A20" s="77" t="s">
        <v>141</v>
      </c>
      <c r="B20" s="128" t="s">
        <v>52</v>
      </c>
      <c r="C20" s="266"/>
      <c r="D20" s="266">
        <v>150</v>
      </c>
      <c r="E20" s="266">
        <v>0</v>
      </c>
      <c r="F20" s="266"/>
      <c r="G20" s="266"/>
      <c r="H20" s="266">
        <v>0</v>
      </c>
      <c r="I20" s="266"/>
      <c r="J20" s="86">
        <v>315</v>
      </c>
      <c r="K20" s="23">
        <v>2000</v>
      </c>
      <c r="L20" s="112">
        <v>2000</v>
      </c>
      <c r="M20" s="113">
        <v>334</v>
      </c>
      <c r="N20" s="114">
        <v>560</v>
      </c>
      <c r="O20" s="115">
        <v>19</v>
      </c>
      <c r="P20" s="116">
        <v>-1440</v>
      </c>
      <c r="Q20" s="117">
        <v>0</v>
      </c>
      <c r="R20" s="116">
        <v>-1440</v>
      </c>
      <c r="S20" s="117">
        <v>0</v>
      </c>
      <c r="T20" s="116">
        <v>-1440</v>
      </c>
      <c r="U20" s="117">
        <v>0</v>
      </c>
      <c r="V20" s="116">
        <v>-1440</v>
      </c>
      <c r="W20" s="117">
        <v>0</v>
      </c>
      <c r="X20" s="116">
        <v>-1440</v>
      </c>
      <c r="Y20" s="117">
        <v>0</v>
      </c>
      <c r="Z20" s="116">
        <v>-1440</v>
      </c>
      <c r="AA20" s="117">
        <v>0</v>
      </c>
      <c r="AB20" s="116">
        <v>-1440</v>
      </c>
      <c r="AC20" s="118">
        <v>0</v>
      </c>
      <c r="AD20" s="117">
        <v>0</v>
      </c>
      <c r="AE20" s="116">
        <v>-1440</v>
      </c>
      <c r="AF20" s="118">
        <v>0</v>
      </c>
      <c r="AG20" s="116">
        <v>-1440</v>
      </c>
      <c r="AH20" s="405">
        <v>-1480</v>
      </c>
      <c r="AI20" s="406"/>
      <c r="AJ20" s="396">
        <v>0.4</v>
      </c>
      <c r="AK20" s="160">
        <v>-3.6</v>
      </c>
      <c r="AL20" s="397">
        <v>4</v>
      </c>
      <c r="AM20" s="398">
        <v>40</v>
      </c>
      <c r="AN20" s="399">
        <v>10</v>
      </c>
    </row>
    <row r="21" spans="1:40" ht="17.25" customHeight="1" x14ac:dyDescent="0.3">
      <c r="A21" s="77" t="s">
        <v>142</v>
      </c>
      <c r="B21" s="78" t="s">
        <v>303</v>
      </c>
      <c r="C21" s="257"/>
      <c r="D21" s="257">
        <v>0</v>
      </c>
      <c r="E21" s="257">
        <v>0</v>
      </c>
      <c r="F21" s="257"/>
      <c r="G21" s="257"/>
      <c r="H21" s="257">
        <v>0</v>
      </c>
      <c r="I21" s="257"/>
      <c r="J21" s="79">
        <v>0</v>
      </c>
      <c r="K21" s="14">
        <v>3000</v>
      </c>
      <c r="L21" s="79">
        <v>3000</v>
      </c>
      <c r="M21" s="80">
        <v>0</v>
      </c>
      <c r="N21" s="81">
        <v>63</v>
      </c>
      <c r="O21" s="82">
        <v>0</v>
      </c>
      <c r="P21" s="83">
        <v>-2937</v>
      </c>
      <c r="Q21" s="120">
        <v>0</v>
      </c>
      <c r="R21" s="129">
        <v>-2937</v>
      </c>
      <c r="S21" s="120">
        <v>0</v>
      </c>
      <c r="T21" s="129">
        <v>-2937</v>
      </c>
      <c r="U21" s="120">
        <v>0</v>
      </c>
      <c r="V21" s="129">
        <v>-2937</v>
      </c>
      <c r="W21" s="120">
        <v>0</v>
      </c>
      <c r="X21" s="129">
        <v>-2937</v>
      </c>
      <c r="Y21" s="120">
        <v>0</v>
      </c>
      <c r="Z21" s="129">
        <v>-2937</v>
      </c>
      <c r="AA21" s="82">
        <v>0</v>
      </c>
      <c r="AB21" s="83">
        <v>-2937</v>
      </c>
      <c r="AC21" s="84">
        <v>0</v>
      </c>
      <c r="AD21" s="82">
        <v>0</v>
      </c>
      <c r="AE21" s="83">
        <v>-2937</v>
      </c>
      <c r="AF21" s="84">
        <v>0</v>
      </c>
      <c r="AG21" s="83">
        <v>-2937</v>
      </c>
      <c r="AH21" s="129">
        <v>-3137</v>
      </c>
      <c r="AI21" s="406"/>
      <c r="AJ21" s="400">
        <v>0.16500000000000001</v>
      </c>
      <c r="AK21" s="161">
        <v>-7.3425000000000002</v>
      </c>
      <c r="AL21" s="401">
        <v>8</v>
      </c>
      <c r="AM21" s="402">
        <v>200</v>
      </c>
      <c r="AN21" s="403">
        <v>25</v>
      </c>
    </row>
    <row r="22" spans="1:40" ht="16.5" customHeight="1" x14ac:dyDescent="0.3">
      <c r="A22" s="77" t="s">
        <v>143</v>
      </c>
      <c r="B22" s="85" t="s">
        <v>304</v>
      </c>
      <c r="C22" s="258"/>
      <c r="D22" s="258">
        <v>0</v>
      </c>
      <c r="E22" s="258">
        <v>0</v>
      </c>
      <c r="F22" s="258"/>
      <c r="G22" s="258"/>
      <c r="H22" s="258">
        <v>0</v>
      </c>
      <c r="I22" s="258"/>
      <c r="J22" s="86">
        <v>0</v>
      </c>
      <c r="K22" s="15">
        <v>5000</v>
      </c>
      <c r="L22" s="86">
        <v>5000</v>
      </c>
      <c r="M22" s="87">
        <v>163</v>
      </c>
      <c r="N22" s="88">
        <v>749</v>
      </c>
      <c r="O22" s="89">
        <v>163</v>
      </c>
      <c r="P22" s="90">
        <v>-4251</v>
      </c>
      <c r="Q22" s="122">
        <v>0</v>
      </c>
      <c r="R22" s="130">
        <v>-4251</v>
      </c>
      <c r="S22" s="122">
        <v>0</v>
      </c>
      <c r="T22" s="130">
        <v>-4251</v>
      </c>
      <c r="U22" s="122">
        <v>0</v>
      </c>
      <c r="V22" s="130">
        <v>-4251</v>
      </c>
      <c r="W22" s="122">
        <v>0</v>
      </c>
      <c r="X22" s="130">
        <v>-4251</v>
      </c>
      <c r="Y22" s="122">
        <v>0</v>
      </c>
      <c r="Z22" s="130">
        <v>-4251</v>
      </c>
      <c r="AA22" s="89">
        <v>0</v>
      </c>
      <c r="AB22" s="90">
        <v>-4251</v>
      </c>
      <c r="AC22" s="91">
        <v>3734</v>
      </c>
      <c r="AD22" s="89">
        <v>737</v>
      </c>
      <c r="AE22" s="90">
        <v>220</v>
      </c>
      <c r="AF22" s="91">
        <v>0</v>
      </c>
      <c r="AG22" s="90">
        <v>220</v>
      </c>
      <c r="AH22" s="405">
        <v>220</v>
      </c>
      <c r="AI22" s="406"/>
      <c r="AJ22" s="404">
        <v>0.22</v>
      </c>
      <c r="AK22" s="392">
        <v>0.55000000000000004</v>
      </c>
      <c r="AL22" s="393">
        <v>0</v>
      </c>
      <c r="AM22" s="394">
        <v>0</v>
      </c>
      <c r="AN22" s="395">
        <v>19</v>
      </c>
    </row>
    <row r="23" spans="1:40" ht="16.5" customHeight="1" x14ac:dyDescent="0.3">
      <c r="A23" s="77" t="s">
        <v>144</v>
      </c>
      <c r="B23" s="85" t="s">
        <v>305</v>
      </c>
      <c r="C23" s="258"/>
      <c r="D23" s="258">
        <v>0</v>
      </c>
      <c r="E23" s="258">
        <v>0</v>
      </c>
      <c r="F23" s="258"/>
      <c r="G23" s="258"/>
      <c r="H23" s="258">
        <v>0</v>
      </c>
      <c r="I23" s="258"/>
      <c r="J23" s="86">
        <v>0</v>
      </c>
      <c r="K23" s="15">
        <v>20000</v>
      </c>
      <c r="L23" s="86">
        <v>20000</v>
      </c>
      <c r="M23" s="87">
        <v>251</v>
      </c>
      <c r="N23" s="88">
        <v>8651</v>
      </c>
      <c r="O23" s="89">
        <v>251</v>
      </c>
      <c r="P23" s="90">
        <v>-11349</v>
      </c>
      <c r="Q23" s="122">
        <v>2508</v>
      </c>
      <c r="R23" s="130">
        <v>-8841</v>
      </c>
      <c r="S23" s="122">
        <v>2429</v>
      </c>
      <c r="T23" s="130">
        <v>-6412</v>
      </c>
      <c r="U23" s="122">
        <v>1289</v>
      </c>
      <c r="V23" s="130">
        <v>-5123</v>
      </c>
      <c r="W23" s="122">
        <v>634</v>
      </c>
      <c r="X23" s="130">
        <v>-4489</v>
      </c>
      <c r="Y23" s="122">
        <v>2149</v>
      </c>
      <c r="Z23" s="130">
        <v>-2340</v>
      </c>
      <c r="AA23" s="89">
        <v>1187</v>
      </c>
      <c r="AB23" s="90">
        <v>-1153</v>
      </c>
      <c r="AC23" s="91">
        <v>2188</v>
      </c>
      <c r="AD23" s="89">
        <v>0</v>
      </c>
      <c r="AE23" s="90">
        <v>1035</v>
      </c>
      <c r="AF23" s="91">
        <v>0</v>
      </c>
      <c r="AG23" s="90">
        <v>1035</v>
      </c>
      <c r="AH23" s="405">
        <v>1035</v>
      </c>
      <c r="AI23" s="406"/>
      <c r="AJ23" s="404">
        <v>0.29199999999999998</v>
      </c>
      <c r="AK23" s="392">
        <v>2.5874999999999999</v>
      </c>
      <c r="AL23" s="393">
        <v>0</v>
      </c>
      <c r="AM23" s="394">
        <v>0</v>
      </c>
      <c r="AN23" s="395">
        <v>14</v>
      </c>
    </row>
    <row r="24" spans="1:40" ht="16.5" customHeight="1" x14ac:dyDescent="0.3">
      <c r="A24" s="77" t="s">
        <v>145</v>
      </c>
      <c r="B24" s="85" t="s">
        <v>306</v>
      </c>
      <c r="C24" s="258"/>
      <c r="D24" s="258">
        <v>0</v>
      </c>
      <c r="E24" s="258">
        <v>0</v>
      </c>
      <c r="F24" s="258"/>
      <c r="G24" s="258"/>
      <c r="H24" s="258">
        <v>0</v>
      </c>
      <c r="I24" s="258"/>
      <c r="J24" s="86">
        <v>0</v>
      </c>
      <c r="K24" s="15">
        <v>10000</v>
      </c>
      <c r="L24" s="86">
        <v>10000</v>
      </c>
      <c r="M24" s="87">
        <v>97</v>
      </c>
      <c r="N24" s="88">
        <v>656</v>
      </c>
      <c r="O24" s="89">
        <v>97</v>
      </c>
      <c r="P24" s="90">
        <v>-9344</v>
      </c>
      <c r="Q24" s="122">
        <v>261</v>
      </c>
      <c r="R24" s="130">
        <v>-9083</v>
      </c>
      <c r="S24" s="122">
        <v>0</v>
      </c>
      <c r="T24" s="130">
        <v>-9083</v>
      </c>
      <c r="U24" s="122">
        <v>0</v>
      </c>
      <c r="V24" s="130">
        <v>-9083</v>
      </c>
      <c r="W24" s="122">
        <v>617</v>
      </c>
      <c r="X24" s="130">
        <v>-8466</v>
      </c>
      <c r="Y24" s="122">
        <v>645</v>
      </c>
      <c r="Z24" s="130">
        <v>-7821</v>
      </c>
      <c r="AA24" s="89">
        <v>518</v>
      </c>
      <c r="AB24" s="90">
        <v>-7303</v>
      </c>
      <c r="AC24" s="91">
        <v>7895</v>
      </c>
      <c r="AD24" s="89">
        <v>0</v>
      </c>
      <c r="AE24" s="90">
        <v>592</v>
      </c>
      <c r="AF24" s="91">
        <v>0</v>
      </c>
      <c r="AG24" s="90">
        <v>592</v>
      </c>
      <c r="AH24" s="405">
        <v>592</v>
      </c>
      <c r="AI24" s="406"/>
      <c r="AJ24" s="404">
        <v>0.35399999999999998</v>
      </c>
      <c r="AK24" s="392">
        <v>1.48</v>
      </c>
      <c r="AL24" s="393">
        <v>0</v>
      </c>
      <c r="AM24" s="394">
        <v>0</v>
      </c>
      <c r="AN24" s="395">
        <v>12</v>
      </c>
    </row>
    <row r="25" spans="1:40" ht="17.25" customHeight="1" thickBot="1" x14ac:dyDescent="0.35">
      <c r="A25" s="77" t="s">
        <v>146</v>
      </c>
      <c r="B25" s="92" t="s">
        <v>307</v>
      </c>
      <c r="C25" s="259"/>
      <c r="D25" s="259">
        <v>0</v>
      </c>
      <c r="E25" s="259">
        <v>0</v>
      </c>
      <c r="F25" s="259"/>
      <c r="G25" s="259"/>
      <c r="H25" s="259">
        <v>0</v>
      </c>
      <c r="I25" s="259"/>
      <c r="J25" s="93">
        <v>0</v>
      </c>
      <c r="K25" s="16">
        <v>3000</v>
      </c>
      <c r="L25" s="93">
        <v>3000</v>
      </c>
      <c r="M25" s="94">
        <v>429</v>
      </c>
      <c r="N25" s="95">
        <v>496</v>
      </c>
      <c r="O25" s="96">
        <v>429</v>
      </c>
      <c r="P25" s="97">
        <v>-2504</v>
      </c>
      <c r="Q25" s="125">
        <v>0</v>
      </c>
      <c r="R25" s="131">
        <v>-2504</v>
      </c>
      <c r="S25" s="125">
        <v>0</v>
      </c>
      <c r="T25" s="131">
        <v>-2504</v>
      </c>
      <c r="U25" s="125">
        <v>0</v>
      </c>
      <c r="V25" s="131">
        <v>-2504</v>
      </c>
      <c r="W25" s="125">
        <v>346</v>
      </c>
      <c r="X25" s="131">
        <v>-2158</v>
      </c>
      <c r="Y25" s="125">
        <v>0</v>
      </c>
      <c r="Z25" s="131">
        <v>-2158</v>
      </c>
      <c r="AA25" s="96">
        <v>0</v>
      </c>
      <c r="AB25" s="97">
        <v>-2158</v>
      </c>
      <c r="AC25" s="98">
        <v>2567</v>
      </c>
      <c r="AD25" s="96">
        <v>0</v>
      </c>
      <c r="AE25" s="97">
        <v>409</v>
      </c>
      <c r="AF25" s="98">
        <v>0</v>
      </c>
      <c r="AG25" s="407">
        <v>409</v>
      </c>
      <c r="AH25" s="405">
        <v>409</v>
      </c>
      <c r="AI25" s="406"/>
      <c r="AJ25" s="396">
        <v>0.4</v>
      </c>
      <c r="AK25" s="160">
        <v>1.0225</v>
      </c>
      <c r="AL25" s="397">
        <v>0</v>
      </c>
      <c r="AM25" s="398">
        <v>0</v>
      </c>
      <c r="AN25" s="399">
        <v>10</v>
      </c>
    </row>
    <row r="26" spans="1:40" ht="16.5" customHeight="1" x14ac:dyDescent="0.3">
      <c r="A26" s="77" t="s">
        <v>147</v>
      </c>
      <c r="B26" s="127" t="s">
        <v>58</v>
      </c>
      <c r="C26" s="265"/>
      <c r="D26" s="265">
        <v>50</v>
      </c>
      <c r="E26" s="265">
        <v>0</v>
      </c>
      <c r="F26" s="265"/>
      <c r="G26" s="265"/>
      <c r="H26" s="265">
        <v>0</v>
      </c>
      <c r="I26" s="265"/>
      <c r="J26" s="100">
        <v>215</v>
      </c>
      <c r="K26" s="22">
        <v>3000</v>
      </c>
      <c r="L26" s="100">
        <v>3000</v>
      </c>
      <c r="M26" s="101">
        <v>110</v>
      </c>
      <c r="N26" s="102">
        <v>3371</v>
      </c>
      <c r="O26" s="103">
        <v>-105</v>
      </c>
      <c r="P26" s="104">
        <v>371</v>
      </c>
      <c r="Q26" s="105">
        <v>0</v>
      </c>
      <c r="R26" s="106">
        <v>-105</v>
      </c>
      <c r="S26" s="105">
        <v>0</v>
      </c>
      <c r="T26" s="106">
        <v>-105</v>
      </c>
      <c r="U26" s="105">
        <v>0</v>
      </c>
      <c r="V26" s="106">
        <v>-105</v>
      </c>
      <c r="W26" s="105">
        <v>0</v>
      </c>
      <c r="X26" s="106">
        <v>-105</v>
      </c>
      <c r="Y26" s="105">
        <v>0</v>
      </c>
      <c r="Z26" s="106">
        <v>-105</v>
      </c>
      <c r="AA26" s="105">
        <v>0</v>
      </c>
      <c r="AB26" s="106">
        <v>-105</v>
      </c>
      <c r="AC26" s="106">
        <v>0</v>
      </c>
      <c r="AD26" s="105">
        <v>0</v>
      </c>
      <c r="AE26" s="106">
        <v>-105</v>
      </c>
      <c r="AF26" s="106">
        <v>0</v>
      </c>
      <c r="AG26" s="138">
        <v>-105</v>
      </c>
      <c r="AH26" s="121">
        <v>-125</v>
      </c>
      <c r="AI26" s="386"/>
      <c r="AJ26" s="400">
        <v>0.2</v>
      </c>
      <c r="AK26" s="161">
        <v>-0.26250000000000001</v>
      </c>
      <c r="AL26" s="401">
        <v>1</v>
      </c>
      <c r="AM26" s="402">
        <v>20</v>
      </c>
      <c r="AN26" s="403">
        <v>20</v>
      </c>
    </row>
    <row r="27" spans="1:40" ht="16.5" customHeight="1" x14ac:dyDescent="0.3">
      <c r="A27" s="77" t="s">
        <v>148</v>
      </c>
      <c r="B27" s="85" t="s">
        <v>59</v>
      </c>
      <c r="C27" s="258"/>
      <c r="D27" s="258">
        <v>300</v>
      </c>
      <c r="E27" s="258">
        <v>0</v>
      </c>
      <c r="F27" s="258"/>
      <c r="G27" s="258"/>
      <c r="H27" s="258">
        <v>80</v>
      </c>
      <c r="I27" s="258"/>
      <c r="J27" s="86">
        <v>930</v>
      </c>
      <c r="K27" s="15">
        <v>3000</v>
      </c>
      <c r="L27" s="86">
        <v>3000</v>
      </c>
      <c r="M27" s="87">
        <v>237</v>
      </c>
      <c r="N27" s="88">
        <v>447</v>
      </c>
      <c r="O27" s="108">
        <v>-693</v>
      </c>
      <c r="P27" s="109">
        <v>-2553</v>
      </c>
      <c r="Q27" s="108">
        <v>0</v>
      </c>
      <c r="R27" s="110">
        <v>-3246</v>
      </c>
      <c r="S27" s="108">
        <v>0</v>
      </c>
      <c r="T27" s="110">
        <v>-3246</v>
      </c>
      <c r="U27" s="108">
        <v>0</v>
      </c>
      <c r="V27" s="110">
        <v>-3246</v>
      </c>
      <c r="W27" s="108">
        <v>0</v>
      </c>
      <c r="X27" s="110">
        <v>-3246</v>
      </c>
      <c r="Y27" s="108">
        <v>0</v>
      </c>
      <c r="Z27" s="110">
        <v>-3246</v>
      </c>
      <c r="AA27" s="108">
        <v>0</v>
      </c>
      <c r="AB27" s="110">
        <v>-3246</v>
      </c>
      <c r="AC27" s="110">
        <v>0</v>
      </c>
      <c r="AD27" s="108">
        <v>0</v>
      </c>
      <c r="AE27" s="110">
        <v>-3246</v>
      </c>
      <c r="AF27" s="110">
        <v>0</v>
      </c>
      <c r="AG27" s="110">
        <v>-3246</v>
      </c>
      <c r="AH27" s="133">
        <v>-3390</v>
      </c>
      <c r="AI27" s="386"/>
      <c r="AJ27" s="404">
        <v>0.26</v>
      </c>
      <c r="AK27" s="392">
        <v>-8.1150000000000002</v>
      </c>
      <c r="AL27" s="393">
        <v>9</v>
      </c>
      <c r="AM27" s="394">
        <v>144</v>
      </c>
      <c r="AN27" s="395">
        <v>16</v>
      </c>
    </row>
    <row r="28" spans="1:40" x14ac:dyDescent="0.3">
      <c r="A28" s="77" t="s">
        <v>149</v>
      </c>
      <c r="B28" s="85" t="s">
        <v>60</v>
      </c>
      <c r="C28" s="258">
        <v>64</v>
      </c>
      <c r="D28" s="258">
        <v>400</v>
      </c>
      <c r="E28" s="258">
        <v>0</v>
      </c>
      <c r="F28" s="258">
        <v>6</v>
      </c>
      <c r="G28" s="258"/>
      <c r="H28" s="258">
        <v>180</v>
      </c>
      <c r="I28" s="258"/>
      <c r="J28" s="86">
        <v>1475</v>
      </c>
      <c r="K28" s="15">
        <v>14000</v>
      </c>
      <c r="L28" s="86">
        <v>14000</v>
      </c>
      <c r="M28" s="87">
        <v>0</v>
      </c>
      <c r="N28" s="88">
        <v>55</v>
      </c>
      <c r="O28" s="108">
        <v>-1475</v>
      </c>
      <c r="P28" s="109">
        <v>-13945</v>
      </c>
      <c r="Q28" s="108">
        <v>1499</v>
      </c>
      <c r="R28" s="110">
        <v>-13921</v>
      </c>
      <c r="S28" s="108">
        <v>0</v>
      </c>
      <c r="T28" s="110">
        <v>-13921</v>
      </c>
      <c r="U28" s="108">
        <v>0</v>
      </c>
      <c r="V28" s="110">
        <v>-13921</v>
      </c>
      <c r="W28" s="108">
        <v>420</v>
      </c>
      <c r="X28" s="110">
        <v>-13501</v>
      </c>
      <c r="Y28" s="108">
        <v>1670</v>
      </c>
      <c r="Z28" s="110">
        <v>-11831</v>
      </c>
      <c r="AA28" s="108">
        <v>806</v>
      </c>
      <c r="AB28" s="110">
        <v>-11025</v>
      </c>
      <c r="AC28" s="110">
        <v>2694</v>
      </c>
      <c r="AD28" s="108">
        <v>337</v>
      </c>
      <c r="AE28" s="110">
        <v>-7994</v>
      </c>
      <c r="AF28" s="110">
        <v>0</v>
      </c>
      <c r="AG28" s="110">
        <v>-7994</v>
      </c>
      <c r="AH28" s="133">
        <v>-8234</v>
      </c>
      <c r="AI28" s="386"/>
      <c r="AJ28" s="404">
        <v>0.34</v>
      </c>
      <c r="AK28" s="392">
        <v>-19.984999999999999</v>
      </c>
      <c r="AL28" s="393">
        <v>20</v>
      </c>
      <c r="AM28" s="394">
        <v>240</v>
      </c>
      <c r="AN28" s="395">
        <v>12</v>
      </c>
    </row>
    <row r="29" spans="1:40" ht="16.5" customHeight="1" x14ac:dyDescent="0.3">
      <c r="A29" s="77" t="s">
        <v>150</v>
      </c>
      <c r="B29" s="85" t="s">
        <v>61</v>
      </c>
      <c r="C29" s="258"/>
      <c r="D29" s="258">
        <v>200</v>
      </c>
      <c r="E29" s="258">
        <v>0</v>
      </c>
      <c r="F29" s="258"/>
      <c r="G29" s="258"/>
      <c r="H29" s="258">
        <v>0</v>
      </c>
      <c r="I29" s="258"/>
      <c r="J29" s="86">
        <v>420</v>
      </c>
      <c r="K29" s="15">
        <v>5000</v>
      </c>
      <c r="L29" s="86">
        <v>5000</v>
      </c>
      <c r="M29" s="87">
        <v>324</v>
      </c>
      <c r="N29" s="88">
        <v>57</v>
      </c>
      <c r="O29" s="108">
        <v>-96</v>
      </c>
      <c r="P29" s="109">
        <v>-4943</v>
      </c>
      <c r="Q29" s="108">
        <v>0</v>
      </c>
      <c r="R29" s="110">
        <v>-5039</v>
      </c>
      <c r="S29" s="108">
        <v>0</v>
      </c>
      <c r="T29" s="110">
        <v>-5039</v>
      </c>
      <c r="U29" s="108">
        <v>0</v>
      </c>
      <c r="V29" s="110">
        <v>-5039</v>
      </c>
      <c r="W29" s="108">
        <v>0</v>
      </c>
      <c r="X29" s="110">
        <v>-5039</v>
      </c>
      <c r="Y29" s="108">
        <v>0</v>
      </c>
      <c r="Z29" s="110">
        <v>-5039</v>
      </c>
      <c r="AA29" s="108">
        <v>0</v>
      </c>
      <c r="AB29" s="110">
        <v>-5039</v>
      </c>
      <c r="AC29" s="110">
        <v>0</v>
      </c>
      <c r="AD29" s="108">
        <v>0</v>
      </c>
      <c r="AE29" s="110">
        <v>-5039</v>
      </c>
      <c r="AF29" s="110">
        <v>0</v>
      </c>
      <c r="AG29" s="110">
        <v>-5039</v>
      </c>
      <c r="AH29" s="133">
        <v>-5169</v>
      </c>
      <c r="AI29" s="386"/>
      <c r="AJ29" s="404">
        <v>0.4</v>
      </c>
      <c r="AK29" s="392">
        <v>-12.5975</v>
      </c>
      <c r="AL29" s="393">
        <v>13</v>
      </c>
      <c r="AM29" s="394">
        <v>130</v>
      </c>
      <c r="AN29" s="395">
        <v>10</v>
      </c>
    </row>
    <row r="30" spans="1:40" ht="17.25" customHeight="1" thickBot="1" x14ac:dyDescent="0.35">
      <c r="A30" s="77" t="s">
        <v>151</v>
      </c>
      <c r="B30" s="128" t="s">
        <v>62</v>
      </c>
      <c r="C30" s="266"/>
      <c r="D30" s="266">
        <v>60</v>
      </c>
      <c r="E30" s="266">
        <v>0</v>
      </c>
      <c r="F30" s="266"/>
      <c r="G30" s="266"/>
      <c r="H30" s="266">
        <v>0</v>
      </c>
      <c r="I30" s="266"/>
      <c r="J30" s="112">
        <v>225</v>
      </c>
      <c r="K30" s="23">
        <v>2000</v>
      </c>
      <c r="L30" s="112">
        <v>2000</v>
      </c>
      <c r="M30" s="113">
        <v>106</v>
      </c>
      <c r="N30" s="114">
        <v>1402</v>
      </c>
      <c r="O30" s="115">
        <v>-119</v>
      </c>
      <c r="P30" s="116">
        <v>-598</v>
      </c>
      <c r="Q30" s="117">
        <v>0</v>
      </c>
      <c r="R30" s="118">
        <v>-717</v>
      </c>
      <c r="S30" s="117">
        <v>0</v>
      </c>
      <c r="T30" s="118">
        <v>-717</v>
      </c>
      <c r="U30" s="117">
        <v>0</v>
      </c>
      <c r="V30" s="118">
        <v>-717</v>
      </c>
      <c r="W30" s="117">
        <v>0</v>
      </c>
      <c r="X30" s="118">
        <v>-717</v>
      </c>
      <c r="Y30" s="117">
        <v>0</v>
      </c>
      <c r="Z30" s="118">
        <v>-717</v>
      </c>
      <c r="AA30" s="117">
        <v>0</v>
      </c>
      <c r="AB30" s="118">
        <v>-717</v>
      </c>
      <c r="AC30" s="118">
        <v>0</v>
      </c>
      <c r="AD30" s="117">
        <v>0</v>
      </c>
      <c r="AE30" s="118">
        <v>-717</v>
      </c>
      <c r="AF30" s="118">
        <v>0</v>
      </c>
      <c r="AG30" s="118">
        <v>-717</v>
      </c>
      <c r="AH30" s="133">
        <v>-735</v>
      </c>
      <c r="AI30" s="386"/>
      <c r="AJ30" s="396">
        <v>0.47799999999999998</v>
      </c>
      <c r="AK30" s="160">
        <v>-1.7925</v>
      </c>
      <c r="AL30" s="397">
        <v>2</v>
      </c>
      <c r="AM30" s="398">
        <v>18</v>
      </c>
      <c r="AN30" s="399">
        <v>9</v>
      </c>
    </row>
    <row r="31" spans="1:40" ht="16.5" customHeight="1" x14ac:dyDescent="0.3">
      <c r="A31" s="77" t="s">
        <v>152</v>
      </c>
      <c r="B31" s="78" t="s">
        <v>308</v>
      </c>
      <c r="C31" s="257"/>
      <c r="D31" s="257">
        <v>40</v>
      </c>
      <c r="E31" s="257">
        <v>0</v>
      </c>
      <c r="F31" s="257"/>
      <c r="G31" s="257"/>
      <c r="H31" s="257">
        <v>0</v>
      </c>
      <c r="I31" s="257"/>
      <c r="J31" s="79">
        <v>150</v>
      </c>
      <c r="K31" s="14">
        <v>1000</v>
      </c>
      <c r="L31" s="79">
        <v>1000</v>
      </c>
      <c r="M31" s="80">
        <v>147</v>
      </c>
      <c r="N31" s="81">
        <v>934</v>
      </c>
      <c r="O31" s="82">
        <v>-3</v>
      </c>
      <c r="P31" s="83">
        <v>-66</v>
      </c>
      <c r="Q31" s="120">
        <v>0</v>
      </c>
      <c r="R31" s="121">
        <v>-69</v>
      </c>
      <c r="S31" s="120">
        <v>0</v>
      </c>
      <c r="T31" s="121">
        <v>-69</v>
      </c>
      <c r="U31" s="120">
        <v>0</v>
      </c>
      <c r="V31" s="121">
        <v>-69</v>
      </c>
      <c r="W31" s="120">
        <v>0</v>
      </c>
      <c r="X31" s="121">
        <v>-69</v>
      </c>
      <c r="Y31" s="120">
        <v>0</v>
      </c>
      <c r="Z31" s="121">
        <v>-69</v>
      </c>
      <c r="AA31" s="82">
        <v>0</v>
      </c>
      <c r="AB31" s="84">
        <v>-69</v>
      </c>
      <c r="AC31" s="84">
        <v>0</v>
      </c>
      <c r="AD31" s="82">
        <v>0</v>
      </c>
      <c r="AE31" s="84">
        <v>-69</v>
      </c>
      <c r="AF31" s="84">
        <v>0</v>
      </c>
      <c r="AG31" s="84">
        <v>-69</v>
      </c>
      <c r="AH31" s="121">
        <v>-84</v>
      </c>
      <c r="AI31" s="386"/>
      <c r="AJ31" s="400">
        <v>0.27</v>
      </c>
      <c r="AK31" s="161">
        <v>-0.17249999999999999</v>
      </c>
      <c r="AL31" s="401">
        <v>1</v>
      </c>
      <c r="AM31" s="402">
        <v>15</v>
      </c>
      <c r="AN31" s="403">
        <v>15</v>
      </c>
    </row>
    <row r="32" spans="1:40" ht="16.5" customHeight="1" x14ac:dyDescent="0.3">
      <c r="A32" s="77" t="s">
        <v>153</v>
      </c>
      <c r="B32" s="85" t="s">
        <v>64</v>
      </c>
      <c r="C32" s="258"/>
      <c r="D32" s="258">
        <v>120</v>
      </c>
      <c r="E32" s="258">
        <v>0</v>
      </c>
      <c r="F32" s="258"/>
      <c r="G32" s="258"/>
      <c r="H32" s="258">
        <v>40</v>
      </c>
      <c r="I32" s="258">
        <v>20</v>
      </c>
      <c r="J32" s="86">
        <v>1005</v>
      </c>
      <c r="K32" s="15">
        <v>2000</v>
      </c>
      <c r="L32" s="86">
        <v>2000</v>
      </c>
      <c r="M32" s="87">
        <v>160</v>
      </c>
      <c r="N32" s="88">
        <v>354</v>
      </c>
      <c r="O32" s="89">
        <v>-845</v>
      </c>
      <c r="P32" s="90">
        <v>-1646</v>
      </c>
      <c r="Q32" s="122">
        <v>437</v>
      </c>
      <c r="R32" s="123">
        <v>-2054</v>
      </c>
      <c r="S32" s="122">
        <v>0</v>
      </c>
      <c r="T32" s="123">
        <v>-2054</v>
      </c>
      <c r="U32" s="122">
        <v>0</v>
      </c>
      <c r="V32" s="123">
        <v>-2054</v>
      </c>
      <c r="W32" s="122">
        <v>0</v>
      </c>
      <c r="X32" s="123">
        <v>-2054</v>
      </c>
      <c r="Y32" s="122">
        <v>0</v>
      </c>
      <c r="Z32" s="123">
        <v>-2054</v>
      </c>
      <c r="AA32" s="89">
        <v>0</v>
      </c>
      <c r="AB32" s="91">
        <v>-2054</v>
      </c>
      <c r="AC32" s="91">
        <v>759</v>
      </c>
      <c r="AD32" s="89">
        <v>840</v>
      </c>
      <c r="AE32" s="91">
        <v>-455</v>
      </c>
      <c r="AF32" s="91">
        <v>0</v>
      </c>
      <c r="AG32" s="91">
        <v>-455</v>
      </c>
      <c r="AH32" s="133">
        <v>-477</v>
      </c>
      <c r="AI32" s="386"/>
      <c r="AJ32" s="404">
        <v>0.36499999999999999</v>
      </c>
      <c r="AK32" s="392">
        <v>-1.1375</v>
      </c>
      <c r="AL32" s="393">
        <v>2</v>
      </c>
      <c r="AM32" s="394">
        <v>22</v>
      </c>
      <c r="AN32" s="395">
        <v>11</v>
      </c>
    </row>
    <row r="33" spans="1:41" ht="16.5" customHeight="1" x14ac:dyDescent="0.3">
      <c r="A33" s="77" t="s">
        <v>154</v>
      </c>
      <c r="B33" s="85" t="s">
        <v>65</v>
      </c>
      <c r="C33" s="258"/>
      <c r="D33" s="258">
        <v>120</v>
      </c>
      <c r="E33" s="258">
        <v>0</v>
      </c>
      <c r="F33" s="258"/>
      <c r="G33" s="258"/>
      <c r="H33" s="258">
        <v>0</v>
      </c>
      <c r="I33" s="258">
        <v>20</v>
      </c>
      <c r="J33" s="86">
        <v>415</v>
      </c>
      <c r="K33" s="15">
        <v>3000</v>
      </c>
      <c r="L33" s="86">
        <v>3000</v>
      </c>
      <c r="M33" s="87">
        <v>151</v>
      </c>
      <c r="N33" s="88">
        <v>293</v>
      </c>
      <c r="O33" s="89">
        <v>-264</v>
      </c>
      <c r="P33" s="90">
        <v>-2707</v>
      </c>
      <c r="Q33" s="122">
        <v>1430</v>
      </c>
      <c r="R33" s="123">
        <v>-1541</v>
      </c>
      <c r="S33" s="122">
        <v>0</v>
      </c>
      <c r="T33" s="123">
        <v>-1541</v>
      </c>
      <c r="U33" s="122">
        <v>0</v>
      </c>
      <c r="V33" s="123">
        <v>-1541</v>
      </c>
      <c r="W33" s="122">
        <v>456</v>
      </c>
      <c r="X33" s="123">
        <v>-1085</v>
      </c>
      <c r="Y33" s="122">
        <v>0</v>
      </c>
      <c r="Z33" s="123">
        <v>-1085</v>
      </c>
      <c r="AA33" s="89">
        <v>0</v>
      </c>
      <c r="AB33" s="91">
        <v>-1085</v>
      </c>
      <c r="AC33" s="91">
        <v>0</v>
      </c>
      <c r="AD33" s="89">
        <v>0</v>
      </c>
      <c r="AE33" s="91">
        <v>-1085</v>
      </c>
      <c r="AF33" s="91">
        <v>0</v>
      </c>
      <c r="AG33" s="91">
        <v>-1085</v>
      </c>
      <c r="AH33" s="133">
        <v>-1112</v>
      </c>
      <c r="AI33" s="386"/>
      <c r="AJ33" s="404">
        <v>0.45</v>
      </c>
      <c r="AK33" s="392">
        <v>-2.7124999999999999</v>
      </c>
      <c r="AL33" s="393">
        <v>3</v>
      </c>
      <c r="AM33" s="394">
        <v>27</v>
      </c>
      <c r="AN33" s="395">
        <v>9</v>
      </c>
    </row>
    <row r="34" spans="1:41" ht="16.5" customHeight="1" x14ac:dyDescent="0.3">
      <c r="A34" s="77" t="s">
        <v>155</v>
      </c>
      <c r="B34" s="85" t="s">
        <v>66</v>
      </c>
      <c r="C34" s="258"/>
      <c r="D34" s="258">
        <v>20</v>
      </c>
      <c r="E34" s="258">
        <v>0</v>
      </c>
      <c r="F34" s="258"/>
      <c r="G34" s="258"/>
      <c r="H34" s="258">
        <v>0</v>
      </c>
      <c r="I34" s="258">
        <v>20</v>
      </c>
      <c r="J34" s="86">
        <v>150</v>
      </c>
      <c r="K34" s="15">
        <v>1500</v>
      </c>
      <c r="L34" s="86">
        <v>1500</v>
      </c>
      <c r="M34" s="87">
        <v>131</v>
      </c>
      <c r="N34" s="88">
        <v>438</v>
      </c>
      <c r="O34" s="89">
        <v>-19</v>
      </c>
      <c r="P34" s="90">
        <v>-1062</v>
      </c>
      <c r="Q34" s="122">
        <v>688</v>
      </c>
      <c r="R34" s="123">
        <v>-393</v>
      </c>
      <c r="S34" s="122">
        <v>0</v>
      </c>
      <c r="T34" s="123">
        <v>-393</v>
      </c>
      <c r="U34" s="122">
        <v>0</v>
      </c>
      <c r="V34" s="123">
        <v>-393</v>
      </c>
      <c r="W34" s="122">
        <v>0</v>
      </c>
      <c r="X34" s="123">
        <v>-393</v>
      </c>
      <c r="Y34" s="122">
        <v>0</v>
      </c>
      <c r="Z34" s="123">
        <v>-393</v>
      </c>
      <c r="AA34" s="89">
        <v>0</v>
      </c>
      <c r="AB34" s="91">
        <v>-393</v>
      </c>
      <c r="AC34" s="91">
        <v>0</v>
      </c>
      <c r="AD34" s="89">
        <v>0</v>
      </c>
      <c r="AE34" s="91">
        <v>-393</v>
      </c>
      <c r="AF34" s="91">
        <v>0</v>
      </c>
      <c r="AG34" s="91">
        <v>-393</v>
      </c>
      <c r="AH34" s="133">
        <v>-401</v>
      </c>
      <c r="AI34" s="386"/>
      <c r="AJ34" s="404">
        <v>0.54</v>
      </c>
      <c r="AK34" s="392">
        <v>-0.98250000000000004</v>
      </c>
      <c r="AL34" s="393">
        <v>1</v>
      </c>
      <c r="AM34" s="394">
        <v>8</v>
      </c>
      <c r="AN34" s="395">
        <v>8</v>
      </c>
    </row>
    <row r="35" spans="1:41" ht="17.25" customHeight="1" thickBot="1" x14ac:dyDescent="0.35">
      <c r="A35" s="77" t="s">
        <v>156</v>
      </c>
      <c r="B35" s="128" t="s">
        <v>309</v>
      </c>
      <c r="C35" s="266"/>
      <c r="D35" s="266">
        <v>0</v>
      </c>
      <c r="E35" s="266">
        <v>0</v>
      </c>
      <c r="F35" s="266"/>
      <c r="G35" s="266"/>
      <c r="H35" s="266">
        <v>0</v>
      </c>
      <c r="I35" s="266">
        <v>20</v>
      </c>
      <c r="J35" s="112">
        <v>102</v>
      </c>
      <c r="K35" s="23">
        <v>500</v>
      </c>
      <c r="L35" s="112">
        <v>500</v>
      </c>
      <c r="M35" s="113">
        <v>40</v>
      </c>
      <c r="N35" s="114">
        <v>1280</v>
      </c>
      <c r="O35" s="96">
        <v>-62</v>
      </c>
      <c r="P35" s="97">
        <v>780</v>
      </c>
      <c r="Q35" s="132">
        <v>0</v>
      </c>
      <c r="R35" s="133">
        <v>-62</v>
      </c>
      <c r="S35" s="132">
        <v>0</v>
      </c>
      <c r="T35" s="133">
        <v>-62</v>
      </c>
      <c r="U35" s="132">
        <v>0</v>
      </c>
      <c r="V35" s="133">
        <v>-62</v>
      </c>
      <c r="W35" s="132">
        <v>0</v>
      </c>
      <c r="X35" s="133">
        <v>-62</v>
      </c>
      <c r="Y35" s="132">
        <v>0</v>
      </c>
      <c r="Z35" s="133">
        <v>-62</v>
      </c>
      <c r="AA35" s="134">
        <v>0</v>
      </c>
      <c r="AB35" s="135">
        <v>-62</v>
      </c>
      <c r="AC35" s="135">
        <v>0</v>
      </c>
      <c r="AD35" s="134">
        <v>0</v>
      </c>
      <c r="AE35" s="135">
        <v>-62</v>
      </c>
      <c r="AF35" s="135">
        <v>0</v>
      </c>
      <c r="AG35" s="135">
        <v>-62</v>
      </c>
      <c r="AH35" s="133">
        <v>-69</v>
      </c>
      <c r="AI35" s="386"/>
      <c r="AJ35" s="396">
        <v>0.62</v>
      </c>
      <c r="AK35" s="160">
        <v>-0.155</v>
      </c>
      <c r="AL35" s="397">
        <v>1</v>
      </c>
      <c r="AM35" s="398">
        <v>7</v>
      </c>
      <c r="AN35" s="399">
        <v>7</v>
      </c>
    </row>
    <row r="36" spans="1:41" ht="17.25" customHeight="1" x14ac:dyDescent="0.3">
      <c r="A36" s="77" t="s">
        <v>157</v>
      </c>
      <c r="B36" s="136" t="s">
        <v>310</v>
      </c>
      <c r="C36" s="257"/>
      <c r="D36" s="257">
        <v>0</v>
      </c>
      <c r="E36" s="257">
        <v>0</v>
      </c>
      <c r="F36" s="257"/>
      <c r="G36" s="257"/>
      <c r="H36" s="257">
        <v>0</v>
      </c>
      <c r="I36" s="257"/>
      <c r="J36" s="79">
        <v>110</v>
      </c>
      <c r="K36" s="14">
        <v>300</v>
      </c>
      <c r="L36" s="79">
        <v>300</v>
      </c>
      <c r="M36" s="137">
        <v>0</v>
      </c>
      <c r="N36" s="81">
        <v>0</v>
      </c>
      <c r="O36" s="103">
        <v>-110</v>
      </c>
      <c r="P36" s="104">
        <v>-300</v>
      </c>
      <c r="Q36" s="103">
        <v>0</v>
      </c>
      <c r="R36" s="138">
        <v>-410</v>
      </c>
      <c r="S36" s="103">
        <v>0</v>
      </c>
      <c r="T36" s="138">
        <v>-410</v>
      </c>
      <c r="U36" s="103">
        <v>0</v>
      </c>
      <c r="V36" s="138">
        <v>-410</v>
      </c>
      <c r="W36" s="103">
        <v>0</v>
      </c>
      <c r="X36" s="138">
        <v>-410</v>
      </c>
      <c r="Y36" s="103">
        <v>0</v>
      </c>
      <c r="Z36" s="138">
        <v>-410</v>
      </c>
      <c r="AA36" s="103">
        <v>0</v>
      </c>
      <c r="AB36" s="138">
        <v>-410</v>
      </c>
      <c r="AC36" s="138">
        <v>0</v>
      </c>
      <c r="AD36" s="103">
        <v>0</v>
      </c>
      <c r="AE36" s="138">
        <v>-410</v>
      </c>
      <c r="AF36" s="138">
        <v>0</v>
      </c>
      <c r="AG36" s="138">
        <v>-410</v>
      </c>
      <c r="AH36" s="121">
        <v>-430</v>
      </c>
      <c r="AI36" s="386"/>
      <c r="AJ36" s="400">
        <v>0.41799999999999998</v>
      </c>
      <c r="AK36" s="161">
        <v>-1.3666666666666667</v>
      </c>
      <c r="AL36" s="401">
        <v>2</v>
      </c>
      <c r="AM36" s="402">
        <v>20</v>
      </c>
      <c r="AN36" s="403">
        <v>10</v>
      </c>
      <c r="AO36" t="s">
        <v>352</v>
      </c>
    </row>
    <row r="37" spans="1:41" ht="17.25" customHeight="1" x14ac:dyDescent="0.3">
      <c r="A37" s="77" t="s">
        <v>158</v>
      </c>
      <c r="B37" s="139" t="s">
        <v>311</v>
      </c>
      <c r="C37" s="258"/>
      <c r="D37" s="258">
        <v>0</v>
      </c>
      <c r="E37" s="258">
        <v>0</v>
      </c>
      <c r="F37" s="258"/>
      <c r="G37" s="258"/>
      <c r="H37" s="258">
        <v>0</v>
      </c>
      <c r="I37" s="258"/>
      <c r="J37" s="86">
        <v>110</v>
      </c>
      <c r="K37" s="15">
        <v>300</v>
      </c>
      <c r="L37" s="86">
        <v>300</v>
      </c>
      <c r="M37" s="140">
        <v>35</v>
      </c>
      <c r="N37" s="88">
        <v>0</v>
      </c>
      <c r="O37" s="108">
        <v>-75</v>
      </c>
      <c r="P37" s="109">
        <v>-300</v>
      </c>
      <c r="Q37" s="108">
        <v>0</v>
      </c>
      <c r="R37" s="110">
        <v>-375</v>
      </c>
      <c r="S37" s="108">
        <v>0</v>
      </c>
      <c r="T37" s="110">
        <v>-375</v>
      </c>
      <c r="U37" s="108">
        <v>0</v>
      </c>
      <c r="V37" s="110">
        <v>-375</v>
      </c>
      <c r="W37" s="108">
        <v>0</v>
      </c>
      <c r="X37" s="110">
        <v>-375</v>
      </c>
      <c r="Y37" s="108">
        <v>0</v>
      </c>
      <c r="Z37" s="110">
        <v>-375</v>
      </c>
      <c r="AA37" s="108">
        <v>0</v>
      </c>
      <c r="AB37" s="110">
        <v>-375</v>
      </c>
      <c r="AC37" s="110">
        <v>0</v>
      </c>
      <c r="AD37" s="108">
        <v>0</v>
      </c>
      <c r="AE37" s="110">
        <v>-375</v>
      </c>
      <c r="AF37" s="110">
        <v>0</v>
      </c>
      <c r="AG37" s="110">
        <v>-375</v>
      </c>
      <c r="AH37" s="133">
        <v>-397</v>
      </c>
      <c r="AI37" s="386"/>
      <c r="AJ37" s="404">
        <v>0.38</v>
      </c>
      <c r="AK37" s="392">
        <v>-1.25</v>
      </c>
      <c r="AL37" s="393">
        <v>2</v>
      </c>
      <c r="AM37" s="394">
        <v>22</v>
      </c>
      <c r="AN37" s="395">
        <v>11</v>
      </c>
      <c r="AO37" t="s">
        <v>352</v>
      </c>
    </row>
    <row r="38" spans="1:41" ht="17.25" customHeight="1" thickBot="1" x14ac:dyDescent="0.35">
      <c r="A38" s="77" t="s">
        <v>159</v>
      </c>
      <c r="B38" s="141" t="s">
        <v>312</v>
      </c>
      <c r="C38" s="259"/>
      <c r="D38" s="259">
        <v>0</v>
      </c>
      <c r="E38" s="259">
        <v>0</v>
      </c>
      <c r="F38" s="259"/>
      <c r="G38" s="259"/>
      <c r="H38" s="259">
        <v>0</v>
      </c>
      <c r="I38" s="259"/>
      <c r="J38" s="93">
        <v>110</v>
      </c>
      <c r="K38" s="16">
        <v>300</v>
      </c>
      <c r="L38" s="93">
        <v>300</v>
      </c>
      <c r="M38" s="142">
        <v>31</v>
      </c>
      <c r="N38" s="95">
        <v>0</v>
      </c>
      <c r="O38" s="115">
        <v>-79</v>
      </c>
      <c r="P38" s="143">
        <v>-300</v>
      </c>
      <c r="Q38" s="115">
        <v>0</v>
      </c>
      <c r="R38" s="144">
        <v>-379</v>
      </c>
      <c r="S38" s="115">
        <v>0</v>
      </c>
      <c r="T38" s="144">
        <v>-379</v>
      </c>
      <c r="U38" s="115">
        <v>0</v>
      </c>
      <c r="V38" s="144">
        <v>-379</v>
      </c>
      <c r="W38" s="115">
        <v>0</v>
      </c>
      <c r="X38" s="144">
        <v>-379</v>
      </c>
      <c r="Y38" s="115">
        <v>0</v>
      </c>
      <c r="Z38" s="144">
        <v>-379</v>
      </c>
      <c r="AA38" s="115">
        <v>0</v>
      </c>
      <c r="AB38" s="144">
        <v>-379</v>
      </c>
      <c r="AC38" s="144">
        <v>0</v>
      </c>
      <c r="AD38" s="115">
        <v>0</v>
      </c>
      <c r="AE38" s="144">
        <v>-379</v>
      </c>
      <c r="AF38" s="144">
        <v>0</v>
      </c>
      <c r="AG38" s="118">
        <v>-379</v>
      </c>
      <c r="AH38" s="133">
        <v>-403</v>
      </c>
      <c r="AI38" s="386"/>
      <c r="AJ38" s="396">
        <v>0.34499999999999997</v>
      </c>
      <c r="AK38" s="160">
        <v>-1.2633333333333334</v>
      </c>
      <c r="AL38" s="397">
        <v>2</v>
      </c>
      <c r="AM38" s="398">
        <v>24</v>
      </c>
      <c r="AN38" s="399">
        <v>12</v>
      </c>
      <c r="AO38" t="s">
        <v>352</v>
      </c>
    </row>
    <row r="39" spans="1:41" ht="16.5" customHeight="1" x14ac:dyDescent="0.3">
      <c r="A39" s="77" t="s">
        <v>160</v>
      </c>
      <c r="B39" s="145" t="s">
        <v>313</v>
      </c>
      <c r="C39" s="265"/>
      <c r="D39" s="265">
        <v>0</v>
      </c>
      <c r="E39" s="265">
        <v>0</v>
      </c>
      <c r="F39" s="265"/>
      <c r="G39" s="265"/>
      <c r="H39" s="265">
        <v>0</v>
      </c>
      <c r="I39" s="265"/>
      <c r="J39" s="100">
        <v>110</v>
      </c>
      <c r="K39" s="22">
        <v>300</v>
      </c>
      <c r="L39" s="100">
        <v>300</v>
      </c>
      <c r="M39" s="146">
        <v>0</v>
      </c>
      <c r="N39" s="102">
        <v>468</v>
      </c>
      <c r="O39" s="82">
        <v>-110</v>
      </c>
      <c r="P39" s="147">
        <v>168</v>
      </c>
      <c r="Q39" s="148">
        <v>0</v>
      </c>
      <c r="R39" s="149">
        <v>-110</v>
      </c>
      <c r="S39" s="148">
        <v>0</v>
      </c>
      <c r="T39" s="149">
        <v>-110</v>
      </c>
      <c r="U39" s="148">
        <v>0</v>
      </c>
      <c r="V39" s="149">
        <v>-110</v>
      </c>
      <c r="W39" s="148">
        <v>0</v>
      </c>
      <c r="X39" s="149">
        <v>-110</v>
      </c>
      <c r="Y39" s="148">
        <v>0</v>
      </c>
      <c r="Z39" s="149">
        <v>-110</v>
      </c>
      <c r="AA39" s="148">
        <v>0</v>
      </c>
      <c r="AB39" s="149">
        <v>-110</v>
      </c>
      <c r="AC39" s="149">
        <v>0</v>
      </c>
      <c r="AD39" s="148">
        <v>0</v>
      </c>
      <c r="AE39" s="149">
        <v>-110</v>
      </c>
      <c r="AF39" s="149">
        <v>0</v>
      </c>
      <c r="AG39" s="84">
        <v>-110</v>
      </c>
      <c r="AH39" s="121">
        <v>-120</v>
      </c>
      <c r="AI39" s="386"/>
      <c r="AJ39" s="400">
        <v>0.42499999999999999</v>
      </c>
      <c r="AK39" s="161">
        <v>-0.36666666666666664</v>
      </c>
      <c r="AL39" s="401">
        <v>1</v>
      </c>
      <c r="AM39" s="402">
        <v>10</v>
      </c>
      <c r="AN39" s="403">
        <v>10</v>
      </c>
      <c r="AO39" t="s">
        <v>352</v>
      </c>
    </row>
    <row r="40" spans="1:41" ht="16.5" customHeight="1" x14ac:dyDescent="0.3">
      <c r="A40" s="77" t="s">
        <v>161</v>
      </c>
      <c r="B40" s="139" t="s">
        <v>72</v>
      </c>
      <c r="C40" s="258"/>
      <c r="D40" s="258">
        <v>0</v>
      </c>
      <c r="E40" s="258">
        <v>0</v>
      </c>
      <c r="F40" s="258"/>
      <c r="G40" s="258"/>
      <c r="H40" s="258">
        <v>0</v>
      </c>
      <c r="I40" s="258"/>
      <c r="J40" s="86">
        <v>110</v>
      </c>
      <c r="K40" s="15">
        <v>400</v>
      </c>
      <c r="L40" s="86">
        <v>400</v>
      </c>
      <c r="M40" s="140">
        <v>0</v>
      </c>
      <c r="N40" s="88">
        <v>224</v>
      </c>
      <c r="O40" s="89">
        <v>-110</v>
      </c>
      <c r="P40" s="90">
        <v>-176</v>
      </c>
      <c r="Q40" s="89">
        <v>0</v>
      </c>
      <c r="R40" s="91">
        <v>-286</v>
      </c>
      <c r="S40" s="89">
        <v>0</v>
      </c>
      <c r="T40" s="91">
        <v>-286</v>
      </c>
      <c r="U40" s="89">
        <v>0</v>
      </c>
      <c r="V40" s="91">
        <v>-286</v>
      </c>
      <c r="W40" s="89">
        <v>0</v>
      </c>
      <c r="X40" s="91">
        <v>-286</v>
      </c>
      <c r="Y40" s="89">
        <v>0</v>
      </c>
      <c r="Z40" s="91">
        <v>-286</v>
      </c>
      <c r="AA40" s="89">
        <v>0</v>
      </c>
      <c r="AB40" s="91">
        <v>-286</v>
      </c>
      <c r="AC40" s="91">
        <v>0</v>
      </c>
      <c r="AD40" s="89">
        <v>0</v>
      </c>
      <c r="AE40" s="91">
        <v>-286</v>
      </c>
      <c r="AF40" s="91">
        <v>0</v>
      </c>
      <c r="AG40" s="91">
        <v>-286</v>
      </c>
      <c r="AH40" s="133">
        <v>-294</v>
      </c>
      <c r="AI40" s="386"/>
      <c r="AJ40" s="404">
        <v>0.50700000000000001</v>
      </c>
      <c r="AK40" s="392">
        <v>-0.95333333333333337</v>
      </c>
      <c r="AL40" s="393">
        <v>1</v>
      </c>
      <c r="AM40" s="394">
        <v>8</v>
      </c>
      <c r="AN40" s="395">
        <v>8</v>
      </c>
      <c r="AO40" t="s">
        <v>352</v>
      </c>
    </row>
    <row r="41" spans="1:41" ht="16.5" customHeight="1" thickBot="1" x14ac:dyDescent="0.35">
      <c r="A41" s="77" t="s">
        <v>162</v>
      </c>
      <c r="B41" s="150" t="s">
        <v>73</v>
      </c>
      <c r="C41" s="266"/>
      <c r="D41" s="266">
        <v>0</v>
      </c>
      <c r="E41" s="266">
        <v>0</v>
      </c>
      <c r="F41" s="266"/>
      <c r="G41" s="266"/>
      <c r="H41" s="266">
        <v>0</v>
      </c>
      <c r="I41" s="266"/>
      <c r="J41" s="112">
        <v>110</v>
      </c>
      <c r="K41" s="23">
        <v>300</v>
      </c>
      <c r="L41" s="112">
        <v>300</v>
      </c>
      <c r="M41" s="151">
        <v>0</v>
      </c>
      <c r="N41" s="114">
        <v>393</v>
      </c>
      <c r="O41" s="96">
        <v>-110</v>
      </c>
      <c r="P41" s="135">
        <v>93</v>
      </c>
      <c r="Q41" s="134">
        <v>0</v>
      </c>
      <c r="R41" s="135">
        <v>-110</v>
      </c>
      <c r="S41" s="134">
        <v>0</v>
      </c>
      <c r="T41" s="135">
        <v>-110</v>
      </c>
      <c r="U41" s="134">
        <v>0</v>
      </c>
      <c r="V41" s="135">
        <v>-110</v>
      </c>
      <c r="W41" s="134">
        <v>0</v>
      </c>
      <c r="X41" s="135">
        <v>-110</v>
      </c>
      <c r="Y41" s="134">
        <v>0</v>
      </c>
      <c r="Z41" s="135">
        <v>-110</v>
      </c>
      <c r="AA41" s="134">
        <v>0</v>
      </c>
      <c r="AB41" s="135">
        <v>-110</v>
      </c>
      <c r="AC41" s="135">
        <v>0</v>
      </c>
      <c r="AD41" s="134">
        <v>0</v>
      </c>
      <c r="AE41" s="135">
        <v>-110</v>
      </c>
      <c r="AF41" s="135">
        <v>0</v>
      </c>
      <c r="AG41" s="135">
        <v>-110</v>
      </c>
      <c r="AH41" s="133">
        <v>-117</v>
      </c>
      <c r="AI41" s="386"/>
      <c r="AJ41" s="396">
        <v>0.57999999999999996</v>
      </c>
      <c r="AK41" s="160">
        <v>-0.36666666666666664</v>
      </c>
      <c r="AL41" s="397">
        <v>1</v>
      </c>
      <c r="AM41" s="398">
        <v>7</v>
      </c>
      <c r="AN41" s="399">
        <v>7</v>
      </c>
      <c r="AO41" t="s">
        <v>352</v>
      </c>
    </row>
    <row r="42" spans="1:41" ht="16.5" customHeight="1" x14ac:dyDescent="0.3">
      <c r="A42" s="77" t="s">
        <v>163</v>
      </c>
      <c r="B42" s="136" t="s">
        <v>314</v>
      </c>
      <c r="C42" s="257"/>
      <c r="D42" s="257">
        <v>0</v>
      </c>
      <c r="E42" s="257">
        <v>0</v>
      </c>
      <c r="F42" s="257"/>
      <c r="G42" s="257"/>
      <c r="H42" s="257">
        <v>0</v>
      </c>
      <c r="I42" s="257"/>
      <c r="J42" s="79">
        <v>0</v>
      </c>
      <c r="K42" s="14">
        <v>300</v>
      </c>
      <c r="L42" s="79">
        <v>300</v>
      </c>
      <c r="M42" s="137">
        <v>0</v>
      </c>
      <c r="N42" s="81">
        <v>562</v>
      </c>
      <c r="O42" s="103">
        <v>0</v>
      </c>
      <c r="P42" s="138">
        <v>262</v>
      </c>
      <c r="Q42" s="103">
        <v>0</v>
      </c>
      <c r="R42" s="138">
        <v>0</v>
      </c>
      <c r="S42" s="103">
        <v>0</v>
      </c>
      <c r="T42" s="138">
        <v>0</v>
      </c>
      <c r="U42" s="103">
        <v>0</v>
      </c>
      <c r="V42" s="138">
        <v>0</v>
      </c>
      <c r="W42" s="103">
        <v>0</v>
      </c>
      <c r="X42" s="138">
        <v>0</v>
      </c>
      <c r="Y42" s="103">
        <v>0</v>
      </c>
      <c r="Z42" s="138">
        <v>0</v>
      </c>
      <c r="AA42" s="103">
        <v>0</v>
      </c>
      <c r="AB42" s="138">
        <v>0</v>
      </c>
      <c r="AC42" s="138">
        <v>0</v>
      </c>
      <c r="AD42" s="103">
        <v>0</v>
      </c>
      <c r="AE42" s="138">
        <v>0</v>
      </c>
      <c r="AF42" s="138">
        <v>0</v>
      </c>
      <c r="AG42" s="138">
        <v>0</v>
      </c>
      <c r="AH42" s="121">
        <v>0</v>
      </c>
      <c r="AI42" s="386"/>
      <c r="AJ42" s="400">
        <v>0.4</v>
      </c>
      <c r="AK42" s="161">
        <v>0</v>
      </c>
      <c r="AL42" s="401">
        <v>0</v>
      </c>
      <c r="AM42" s="402">
        <v>0</v>
      </c>
      <c r="AN42" s="403">
        <v>10</v>
      </c>
      <c r="AO42" t="s">
        <v>352</v>
      </c>
    </row>
    <row r="43" spans="1:41" ht="16.5" customHeight="1" x14ac:dyDescent="0.3">
      <c r="A43" s="77" t="s">
        <v>164</v>
      </c>
      <c r="B43" s="139" t="s">
        <v>75</v>
      </c>
      <c r="C43" s="258"/>
      <c r="D43" s="258">
        <v>0</v>
      </c>
      <c r="E43" s="258">
        <v>0</v>
      </c>
      <c r="F43" s="258"/>
      <c r="G43" s="258"/>
      <c r="H43" s="258">
        <v>0</v>
      </c>
      <c r="I43" s="258">
        <v>30</v>
      </c>
      <c r="J43" s="86">
        <v>30</v>
      </c>
      <c r="K43" s="15">
        <v>400</v>
      </c>
      <c r="L43" s="86">
        <v>400</v>
      </c>
      <c r="M43" s="140">
        <v>0</v>
      </c>
      <c r="N43" s="88">
        <v>783</v>
      </c>
      <c r="O43" s="108">
        <v>-30</v>
      </c>
      <c r="P43" s="110">
        <v>383</v>
      </c>
      <c r="Q43" s="108">
        <v>0</v>
      </c>
      <c r="R43" s="110">
        <v>-30</v>
      </c>
      <c r="S43" s="108">
        <v>0</v>
      </c>
      <c r="T43" s="110">
        <v>-30</v>
      </c>
      <c r="U43" s="108">
        <v>0</v>
      </c>
      <c r="V43" s="110">
        <v>-30</v>
      </c>
      <c r="W43" s="108">
        <v>0</v>
      </c>
      <c r="X43" s="110">
        <v>-30</v>
      </c>
      <c r="Y43" s="108">
        <v>0</v>
      </c>
      <c r="Z43" s="110">
        <v>-30</v>
      </c>
      <c r="AA43" s="108">
        <v>0</v>
      </c>
      <c r="AB43" s="110">
        <v>-30</v>
      </c>
      <c r="AC43" s="110">
        <v>0</v>
      </c>
      <c r="AD43" s="108">
        <v>0</v>
      </c>
      <c r="AE43" s="110">
        <v>-30</v>
      </c>
      <c r="AF43" s="110">
        <v>0</v>
      </c>
      <c r="AG43" s="110">
        <v>-30</v>
      </c>
      <c r="AH43" s="133">
        <v>-39</v>
      </c>
      <c r="AI43" s="386"/>
      <c r="AJ43" s="404">
        <v>0.48399999999999999</v>
      </c>
      <c r="AK43" s="392">
        <v>-0.1</v>
      </c>
      <c r="AL43" s="393">
        <v>1</v>
      </c>
      <c r="AM43" s="394">
        <v>9</v>
      </c>
      <c r="AN43" s="395">
        <v>9</v>
      </c>
      <c r="AO43" t="s">
        <v>352</v>
      </c>
    </row>
    <row r="44" spans="1:41" ht="17.25" customHeight="1" thickBot="1" x14ac:dyDescent="0.35">
      <c r="A44" s="77" t="s">
        <v>165</v>
      </c>
      <c r="B44" s="141" t="s">
        <v>76</v>
      </c>
      <c r="C44" s="259"/>
      <c r="D44" s="259">
        <v>0</v>
      </c>
      <c r="E44" s="259">
        <v>0</v>
      </c>
      <c r="F44" s="259"/>
      <c r="G44" s="259"/>
      <c r="H44" s="259">
        <v>0</v>
      </c>
      <c r="I44" s="259">
        <v>10</v>
      </c>
      <c r="J44" s="93">
        <v>10</v>
      </c>
      <c r="K44" s="16">
        <v>400</v>
      </c>
      <c r="L44" s="93">
        <v>400</v>
      </c>
      <c r="M44" s="142">
        <v>0</v>
      </c>
      <c r="N44" s="95">
        <v>310</v>
      </c>
      <c r="O44" s="115">
        <v>-10</v>
      </c>
      <c r="P44" s="144">
        <v>-90</v>
      </c>
      <c r="Q44" s="115">
        <v>0</v>
      </c>
      <c r="R44" s="144">
        <v>-100</v>
      </c>
      <c r="S44" s="115">
        <v>0</v>
      </c>
      <c r="T44" s="144">
        <v>-100</v>
      </c>
      <c r="U44" s="115">
        <v>0</v>
      </c>
      <c r="V44" s="144">
        <v>-100</v>
      </c>
      <c r="W44" s="115">
        <v>0</v>
      </c>
      <c r="X44" s="144">
        <v>-100</v>
      </c>
      <c r="Y44" s="115">
        <v>0</v>
      </c>
      <c r="Z44" s="144">
        <v>-100</v>
      </c>
      <c r="AA44" s="115">
        <v>0</v>
      </c>
      <c r="AB44" s="144">
        <v>-100</v>
      </c>
      <c r="AC44" s="144">
        <v>0</v>
      </c>
      <c r="AD44" s="115">
        <v>0</v>
      </c>
      <c r="AE44" s="144">
        <v>-100</v>
      </c>
      <c r="AF44" s="144">
        <v>0</v>
      </c>
      <c r="AG44" s="118">
        <v>-100</v>
      </c>
      <c r="AH44" s="133">
        <v>-108</v>
      </c>
      <c r="AI44" s="386"/>
      <c r="AJ44" s="396">
        <v>0.57099999999999995</v>
      </c>
      <c r="AK44" s="160">
        <v>-0.33333333333333331</v>
      </c>
      <c r="AL44" s="397">
        <v>1</v>
      </c>
      <c r="AM44" s="398">
        <v>8</v>
      </c>
      <c r="AN44" s="399">
        <v>8</v>
      </c>
      <c r="AO44" t="s">
        <v>352</v>
      </c>
    </row>
    <row r="45" spans="1:41" ht="17.25" thickBot="1" x14ac:dyDescent="0.35">
      <c r="B45" s="152" t="s">
        <v>315</v>
      </c>
      <c r="C45" s="25">
        <v>75</v>
      </c>
      <c r="D45" s="25">
        <v>3000</v>
      </c>
      <c r="E45" s="25">
        <v>5877</v>
      </c>
      <c r="F45" s="25">
        <v>6</v>
      </c>
      <c r="G45" s="25">
        <v>11233</v>
      </c>
      <c r="H45" s="25">
        <v>1000</v>
      </c>
      <c r="I45" s="25">
        <v>400</v>
      </c>
      <c r="J45" s="153">
        <v>21591</v>
      </c>
      <c r="K45" s="24">
        <v>135000</v>
      </c>
      <c r="L45" s="153">
        <v>135000</v>
      </c>
      <c r="M45" s="154">
        <v>6235</v>
      </c>
      <c r="N45" s="155">
        <v>28146</v>
      </c>
      <c r="O45" s="214">
        <v>-16524</v>
      </c>
      <c r="P45" s="156">
        <v>-108914</v>
      </c>
      <c r="Q45" s="157">
        <v>12434</v>
      </c>
      <c r="R45" s="156">
        <v>-113004</v>
      </c>
      <c r="S45" s="157">
        <v>4401</v>
      </c>
      <c r="T45" s="156">
        <v>-108603</v>
      </c>
      <c r="U45" s="157">
        <v>3003</v>
      </c>
      <c r="V45" s="156">
        <v>-105600</v>
      </c>
      <c r="W45" s="157">
        <v>6425</v>
      </c>
      <c r="X45" s="156">
        <v>-99473</v>
      </c>
      <c r="Y45" s="157">
        <v>6990</v>
      </c>
      <c r="Z45" s="156">
        <v>-92483</v>
      </c>
      <c r="AA45" s="157">
        <v>5978</v>
      </c>
      <c r="AB45" s="156">
        <v>-86505</v>
      </c>
      <c r="AC45" s="156">
        <v>32203</v>
      </c>
      <c r="AD45" s="157">
        <v>4821</v>
      </c>
      <c r="AE45" s="156">
        <v>-53126</v>
      </c>
      <c r="AF45" s="156">
        <v>0</v>
      </c>
      <c r="AG45" s="156">
        <v>-53126</v>
      </c>
      <c r="AH45" s="408">
        <v>-55466</v>
      </c>
      <c r="AI45" s="409"/>
      <c r="AJ45" s="381" t="s">
        <v>353</v>
      </c>
      <c r="AK45" s="382"/>
      <c r="AL45" s="382" t="s">
        <v>353</v>
      </c>
      <c r="AM45" s="414">
        <v>2340</v>
      </c>
      <c r="AN45" s="415" t="s">
        <v>353</v>
      </c>
    </row>
    <row r="46" spans="1:41" x14ac:dyDescent="0.3">
      <c r="B46" s="429" t="s">
        <v>316</v>
      </c>
      <c r="K46" s="1"/>
    </row>
    <row r="47" spans="1:41" ht="24" customHeight="1" x14ac:dyDescent="0.3">
      <c r="B47" s="429"/>
      <c r="K47" s="1"/>
    </row>
    <row r="48" spans="1:41" ht="24" customHeight="1" thickBot="1" x14ac:dyDescent="0.35">
      <c r="B48" s="430"/>
      <c r="C48" s="159"/>
      <c r="D48" s="159"/>
      <c r="E48" s="159"/>
      <c r="F48" s="159"/>
      <c r="G48" s="159"/>
      <c r="H48" s="159"/>
      <c r="I48" s="159"/>
      <c r="J48" s="158"/>
      <c r="K48" s="158"/>
      <c r="L48" s="159"/>
      <c r="M48" s="159"/>
      <c r="N48" s="159"/>
      <c r="O48" s="159"/>
      <c r="P48" s="159"/>
      <c r="Q48" s="159"/>
      <c r="R48" s="159"/>
      <c r="S48" s="159"/>
      <c r="T48" s="159"/>
      <c r="U48" s="159"/>
      <c r="V48" s="159"/>
      <c r="W48" s="159"/>
      <c r="X48" s="159"/>
      <c r="Y48" s="159"/>
      <c r="Z48" s="159"/>
      <c r="AA48" s="159"/>
      <c r="AB48" s="159"/>
      <c r="AC48" s="159"/>
      <c r="AD48" s="159"/>
      <c r="AE48" s="159"/>
      <c r="AF48" s="159"/>
      <c r="AG48" s="159"/>
    </row>
    <row r="51" spans="7:11" x14ac:dyDescent="0.3">
      <c r="G51">
        <v>165</v>
      </c>
      <c r="K51">
        <v>500</v>
      </c>
    </row>
    <row r="52" spans="7:11" x14ac:dyDescent="0.3">
      <c r="G52">
        <v>440</v>
      </c>
      <c r="K52">
        <v>1000</v>
      </c>
    </row>
    <row r="53" spans="7:11" x14ac:dyDescent="0.3">
      <c r="G53">
        <v>220</v>
      </c>
      <c r="K53">
        <v>1000</v>
      </c>
    </row>
    <row r="54" spans="7:11" x14ac:dyDescent="0.3">
      <c r="G54">
        <v>110</v>
      </c>
      <c r="K54">
        <v>500</v>
      </c>
    </row>
    <row r="55" spans="7:11" x14ac:dyDescent="0.3">
      <c r="G55">
        <v>644</v>
      </c>
      <c r="K55">
        <v>1000</v>
      </c>
    </row>
    <row r="56" spans="7:11" x14ac:dyDescent="0.3">
      <c r="G56">
        <v>1265</v>
      </c>
      <c r="K56">
        <v>3000</v>
      </c>
    </row>
    <row r="57" spans="7:11" x14ac:dyDescent="0.3">
      <c r="G57">
        <v>550</v>
      </c>
      <c r="K57">
        <v>2000</v>
      </c>
    </row>
    <row r="58" spans="7:11" x14ac:dyDescent="0.3">
      <c r="G58">
        <v>220</v>
      </c>
      <c r="K58">
        <v>500</v>
      </c>
    </row>
    <row r="59" spans="7:11" x14ac:dyDescent="0.3">
      <c r="G59">
        <v>0</v>
      </c>
      <c r="K59">
        <v>2000</v>
      </c>
    </row>
    <row r="60" spans="7:11" x14ac:dyDescent="0.3">
      <c r="G60">
        <v>0</v>
      </c>
      <c r="K60">
        <v>3000</v>
      </c>
    </row>
    <row r="61" spans="7:11" x14ac:dyDescent="0.3">
      <c r="G61">
        <v>0</v>
      </c>
      <c r="K61">
        <v>2000</v>
      </c>
    </row>
    <row r="62" spans="7:11" x14ac:dyDescent="0.3">
      <c r="G62">
        <v>0</v>
      </c>
      <c r="K62">
        <v>500</v>
      </c>
    </row>
    <row r="63" spans="7:11" x14ac:dyDescent="0.3">
      <c r="G63">
        <v>330</v>
      </c>
      <c r="K63">
        <v>2000</v>
      </c>
    </row>
    <row r="64" spans="7:11" x14ac:dyDescent="0.3">
      <c r="G64">
        <v>660</v>
      </c>
      <c r="K64">
        <v>5000</v>
      </c>
    </row>
    <row r="65" spans="7:11" x14ac:dyDescent="0.3">
      <c r="G65">
        <v>1817</v>
      </c>
      <c r="K65">
        <v>20000</v>
      </c>
    </row>
    <row r="66" spans="7:11" x14ac:dyDescent="0.3">
      <c r="G66">
        <v>660</v>
      </c>
      <c r="K66">
        <v>10000</v>
      </c>
    </row>
    <row r="67" spans="7:11" x14ac:dyDescent="0.3">
      <c r="G67">
        <v>165</v>
      </c>
      <c r="K67">
        <v>2000</v>
      </c>
    </row>
    <row r="68" spans="7:11" x14ac:dyDescent="0.3">
      <c r="G68">
        <v>0</v>
      </c>
      <c r="K68">
        <v>3000</v>
      </c>
    </row>
    <row r="69" spans="7:11" x14ac:dyDescent="0.3">
      <c r="G69">
        <v>0</v>
      </c>
      <c r="K69">
        <v>5000</v>
      </c>
    </row>
    <row r="70" spans="7:11" x14ac:dyDescent="0.3">
      <c r="G70">
        <v>0</v>
      </c>
      <c r="K70">
        <v>20000</v>
      </c>
    </row>
    <row r="71" spans="7:11" x14ac:dyDescent="0.3">
      <c r="G71">
        <v>0</v>
      </c>
      <c r="K71">
        <v>10000</v>
      </c>
    </row>
    <row r="72" spans="7:11" x14ac:dyDescent="0.3">
      <c r="G72">
        <v>0</v>
      </c>
      <c r="K72">
        <v>3000</v>
      </c>
    </row>
    <row r="73" spans="7:11" x14ac:dyDescent="0.3">
      <c r="G73">
        <v>165</v>
      </c>
      <c r="K73">
        <v>3000</v>
      </c>
    </row>
    <row r="74" spans="7:11" x14ac:dyDescent="0.3">
      <c r="G74">
        <v>550</v>
      </c>
      <c r="K74">
        <v>3000</v>
      </c>
    </row>
    <row r="75" spans="7:11" x14ac:dyDescent="0.3">
      <c r="G75">
        <v>825</v>
      </c>
      <c r="K75">
        <v>14000</v>
      </c>
    </row>
    <row r="76" spans="7:11" x14ac:dyDescent="0.3">
      <c r="G76">
        <v>220</v>
      </c>
      <c r="K76">
        <v>5000</v>
      </c>
    </row>
    <row r="77" spans="7:11" x14ac:dyDescent="0.3">
      <c r="G77">
        <v>165</v>
      </c>
      <c r="K77">
        <v>2000</v>
      </c>
    </row>
    <row r="78" spans="7:11" x14ac:dyDescent="0.3">
      <c r="G78">
        <v>110</v>
      </c>
      <c r="K78">
        <v>1000</v>
      </c>
    </row>
    <row r="79" spans="7:11" x14ac:dyDescent="0.3">
      <c r="G79">
        <v>825</v>
      </c>
      <c r="K79">
        <v>2000</v>
      </c>
    </row>
    <row r="80" spans="7:11" x14ac:dyDescent="0.3">
      <c r="G80">
        <v>275</v>
      </c>
      <c r="K80">
        <v>3000</v>
      </c>
    </row>
    <row r="81" spans="7:11" x14ac:dyDescent="0.3">
      <c r="G81">
        <v>110</v>
      </c>
      <c r="K81">
        <v>1500</v>
      </c>
    </row>
    <row r="82" spans="7:11" x14ac:dyDescent="0.3">
      <c r="G82">
        <v>82</v>
      </c>
      <c r="K82">
        <v>500</v>
      </c>
    </row>
    <row r="83" spans="7:11" x14ac:dyDescent="0.3">
      <c r="G83">
        <v>110</v>
      </c>
      <c r="K83">
        <v>300</v>
      </c>
    </row>
    <row r="84" spans="7:11" x14ac:dyDescent="0.3">
      <c r="G84">
        <v>110</v>
      </c>
      <c r="K84">
        <v>300</v>
      </c>
    </row>
    <row r="85" spans="7:11" x14ac:dyDescent="0.3">
      <c r="G85">
        <v>110</v>
      </c>
      <c r="K85">
        <v>300</v>
      </c>
    </row>
    <row r="86" spans="7:11" x14ac:dyDescent="0.3">
      <c r="G86">
        <v>110</v>
      </c>
      <c r="K86">
        <v>300</v>
      </c>
    </row>
    <row r="87" spans="7:11" x14ac:dyDescent="0.3">
      <c r="G87">
        <v>110</v>
      </c>
      <c r="K87">
        <v>400</v>
      </c>
    </row>
    <row r="88" spans="7:11" x14ac:dyDescent="0.3">
      <c r="G88">
        <v>110</v>
      </c>
      <c r="K88">
        <v>300</v>
      </c>
    </row>
    <row r="89" spans="7:11" x14ac:dyDescent="0.3">
      <c r="G89">
        <v>0</v>
      </c>
      <c r="K89">
        <v>300</v>
      </c>
    </row>
    <row r="90" spans="7:11" x14ac:dyDescent="0.3">
      <c r="G90">
        <v>0</v>
      </c>
      <c r="K90">
        <v>400</v>
      </c>
    </row>
    <row r="91" spans="7:11" x14ac:dyDescent="0.3">
      <c r="G91">
        <v>0</v>
      </c>
      <c r="K91">
        <v>400</v>
      </c>
    </row>
  </sheetData>
  <autoFilter ref="A3:AH48" xr:uid="{991B7DC3-30B7-4043-8349-34FA2C46BEE2}"/>
  <mergeCells count="1">
    <mergeCell ref="B46:B48"/>
  </mergeCells>
  <phoneticPr fontId="2" type="noConversion"/>
  <conditionalFormatting sqref="B1:B1048576">
    <cfRule type="duplicateValues" dxfId="98" priority="1"/>
  </conditionalFormatting>
  <conditionalFormatting sqref="J4:AI44">
    <cfRule type="cellIs" dxfId="97" priority="2" operator="lessThan">
      <formula>0</formula>
    </cfRule>
  </conditionalFormatting>
  <printOptions horizontalCentered="1" verticalCentered="1"/>
  <pageMargins left="0.17" right="0.19685039370078741" top="0.74803149606299213" bottom="0.74803149606299213" header="0.31496062992125984" footer="0.31496062992125984"/>
  <pageSetup paperSize="9" scale="41"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C7EFF-2230-4F58-BBD1-10594B39FD2B}">
  <dimension ref="B1:AQ45"/>
  <sheetViews>
    <sheetView zoomScale="70" zoomScaleNormal="70" workbookViewId="0">
      <pane xSplit="2" topLeftCell="C1" activePane="topRight" state="frozen"/>
      <selection pane="topRight" activeCell="L15" sqref="L15"/>
    </sheetView>
  </sheetViews>
  <sheetFormatPr defaultColWidth="7.75" defaultRowHeight="16.5" x14ac:dyDescent="0.3"/>
  <cols>
    <col min="1" max="1" width="1.25" style="184" customWidth="1"/>
    <col min="2" max="2" width="11.375" style="184" bestFit="1" customWidth="1"/>
    <col min="3" max="3" width="16.125" style="184" customWidth="1"/>
    <col min="4" max="4" width="16.875" style="184" bestFit="1" customWidth="1"/>
    <col min="5" max="5" width="18.75" style="184" bestFit="1" customWidth="1"/>
    <col min="6" max="6" width="21.125" style="206" customWidth="1"/>
    <col min="7" max="7" width="20.25" style="206" customWidth="1"/>
    <col min="8" max="9" width="21.125" style="206" customWidth="1"/>
    <col min="10" max="12" width="16.625" style="206" customWidth="1"/>
    <col min="13" max="43" width="7.75" style="207"/>
    <col min="44" max="16384" width="7.75" style="184"/>
  </cols>
  <sheetData>
    <row r="1" spans="2:43" ht="7.5" customHeight="1" x14ac:dyDescent="0.3">
      <c r="F1" s="184"/>
      <c r="G1" s="184"/>
      <c r="H1" s="184"/>
      <c r="I1" s="184"/>
      <c r="J1" s="184"/>
      <c r="K1" s="184"/>
      <c r="L1" s="184"/>
      <c r="M1" s="185"/>
      <c r="N1" s="185"/>
      <c r="O1" s="185"/>
      <c r="P1" s="185"/>
      <c r="Q1" s="185"/>
      <c r="R1" s="185"/>
      <c r="S1" s="185"/>
      <c r="T1" s="185"/>
      <c r="U1" s="185"/>
      <c r="V1" s="185"/>
      <c r="W1" s="185"/>
      <c r="X1" s="185"/>
      <c r="Y1" s="185"/>
      <c r="Z1" s="185"/>
      <c r="AA1" s="185"/>
      <c r="AB1" s="185"/>
      <c r="AC1" s="185"/>
      <c r="AD1" s="185"/>
      <c r="AE1" s="185"/>
      <c r="AF1" s="185"/>
      <c r="AG1" s="185"/>
      <c r="AH1" s="185"/>
      <c r="AI1" s="185"/>
      <c r="AJ1" s="185"/>
      <c r="AK1" s="185"/>
      <c r="AL1" s="185"/>
      <c r="AM1" s="185"/>
      <c r="AN1" s="185"/>
      <c r="AO1" s="185"/>
      <c r="AP1" s="185"/>
      <c r="AQ1" s="185"/>
    </row>
    <row r="2" spans="2:43" ht="29.25" customHeight="1" x14ac:dyDescent="0.3">
      <c r="B2" s="186" t="s">
        <v>178</v>
      </c>
      <c r="C2" s="208">
        <v>46082</v>
      </c>
      <c r="D2" s="187" t="s">
        <v>179</v>
      </c>
      <c r="E2" s="188">
        <v>46097</v>
      </c>
      <c r="F2" s="189">
        <v>0.68611111111111112</v>
      </c>
      <c r="G2" s="241"/>
      <c r="H2" s="241"/>
      <c r="I2" s="241"/>
      <c r="J2" s="241"/>
      <c r="K2" s="241"/>
      <c r="L2" s="241"/>
      <c r="M2" s="185"/>
      <c r="N2" s="185"/>
      <c r="O2" s="185"/>
      <c r="P2" s="185"/>
      <c r="Q2" s="185"/>
      <c r="R2" s="185"/>
      <c r="S2" s="185"/>
      <c r="T2" s="185"/>
      <c r="U2" s="185"/>
      <c r="V2" s="185"/>
      <c r="W2" s="185"/>
      <c r="X2" s="185"/>
      <c r="Y2" s="185"/>
      <c r="Z2" s="185"/>
      <c r="AA2" s="185"/>
      <c r="AB2" s="185"/>
      <c r="AC2" s="185"/>
      <c r="AD2" s="185"/>
      <c r="AE2" s="185"/>
      <c r="AF2" s="185"/>
      <c r="AG2" s="185"/>
      <c r="AH2" s="185"/>
      <c r="AI2" s="185"/>
      <c r="AJ2" s="185"/>
      <c r="AK2" s="185"/>
      <c r="AL2" s="185"/>
      <c r="AM2" s="185"/>
      <c r="AN2" s="185"/>
      <c r="AO2" s="185"/>
      <c r="AP2" s="185"/>
      <c r="AQ2" s="185"/>
    </row>
    <row r="3" spans="2:43" s="196" customFormat="1" ht="19.5" customHeight="1" x14ac:dyDescent="0.3">
      <c r="B3" s="190" t="s">
        <v>180</v>
      </c>
      <c r="C3" s="191"/>
      <c r="D3" s="191"/>
      <c r="E3" s="191"/>
      <c r="F3" s="192"/>
      <c r="G3" s="238"/>
      <c r="H3" s="238"/>
      <c r="I3" s="238"/>
      <c r="J3" s="238"/>
      <c r="K3" s="238"/>
      <c r="L3" s="244"/>
      <c r="M3" s="193">
        <f>C2</f>
        <v>46082</v>
      </c>
      <c r="N3" s="194">
        <f t="shared" ref="N3:AQ3" si="0">M3+1</f>
        <v>46083</v>
      </c>
      <c r="O3" s="194">
        <f t="shared" si="0"/>
        <v>46084</v>
      </c>
      <c r="P3" s="194">
        <f t="shared" si="0"/>
        <v>46085</v>
      </c>
      <c r="Q3" s="194">
        <f t="shared" si="0"/>
        <v>46086</v>
      </c>
      <c r="R3" s="194">
        <f t="shared" si="0"/>
        <v>46087</v>
      </c>
      <c r="S3" s="194">
        <f t="shared" si="0"/>
        <v>46088</v>
      </c>
      <c r="T3" s="194">
        <f t="shared" si="0"/>
        <v>46089</v>
      </c>
      <c r="U3" s="194">
        <f t="shared" si="0"/>
        <v>46090</v>
      </c>
      <c r="V3" s="194">
        <f t="shared" si="0"/>
        <v>46091</v>
      </c>
      <c r="W3" s="194">
        <f t="shared" si="0"/>
        <v>46092</v>
      </c>
      <c r="X3" s="194">
        <f t="shared" si="0"/>
        <v>46093</v>
      </c>
      <c r="Y3" s="194">
        <f t="shared" si="0"/>
        <v>46094</v>
      </c>
      <c r="Z3" s="194">
        <f t="shared" si="0"/>
        <v>46095</v>
      </c>
      <c r="AA3" s="194">
        <f t="shared" si="0"/>
        <v>46096</v>
      </c>
      <c r="AB3" s="194">
        <f t="shared" si="0"/>
        <v>46097</v>
      </c>
      <c r="AC3" s="194">
        <f t="shared" si="0"/>
        <v>46098</v>
      </c>
      <c r="AD3" s="194">
        <f t="shared" si="0"/>
        <v>46099</v>
      </c>
      <c r="AE3" s="194">
        <f t="shared" si="0"/>
        <v>46100</v>
      </c>
      <c r="AF3" s="194">
        <f t="shared" si="0"/>
        <v>46101</v>
      </c>
      <c r="AG3" s="194">
        <f t="shared" si="0"/>
        <v>46102</v>
      </c>
      <c r="AH3" s="194">
        <f t="shared" si="0"/>
        <v>46103</v>
      </c>
      <c r="AI3" s="194">
        <f t="shared" si="0"/>
        <v>46104</v>
      </c>
      <c r="AJ3" s="194">
        <f t="shared" si="0"/>
        <v>46105</v>
      </c>
      <c r="AK3" s="194">
        <f t="shared" si="0"/>
        <v>46106</v>
      </c>
      <c r="AL3" s="194">
        <f t="shared" si="0"/>
        <v>46107</v>
      </c>
      <c r="AM3" s="194">
        <f t="shared" si="0"/>
        <v>46108</v>
      </c>
      <c r="AN3" s="194">
        <f t="shared" si="0"/>
        <v>46109</v>
      </c>
      <c r="AO3" s="194">
        <f t="shared" si="0"/>
        <v>46110</v>
      </c>
      <c r="AP3" s="194">
        <f t="shared" si="0"/>
        <v>46111</v>
      </c>
      <c r="AQ3" s="195">
        <f t="shared" si="0"/>
        <v>46112</v>
      </c>
    </row>
    <row r="4" spans="2:43" ht="39" customHeight="1" x14ac:dyDescent="0.3">
      <c r="B4" s="245" t="s">
        <v>237</v>
      </c>
      <c r="C4" s="246" t="s">
        <v>173</v>
      </c>
      <c r="D4" s="246" t="s">
        <v>181</v>
      </c>
      <c r="E4" s="247" t="s">
        <v>182</v>
      </c>
      <c r="F4" s="248" t="s">
        <v>246</v>
      </c>
      <c r="G4" s="249" t="s">
        <v>245</v>
      </c>
      <c r="H4" s="249" t="s">
        <v>247</v>
      </c>
      <c r="I4" s="250" t="s">
        <v>243</v>
      </c>
      <c r="J4" s="242" t="s">
        <v>244</v>
      </c>
      <c r="K4" s="242" t="s">
        <v>240</v>
      </c>
      <c r="L4" s="242" t="s">
        <v>242</v>
      </c>
      <c r="M4" s="197">
        <f t="shared" ref="M4:AQ4" si="1">M3</f>
        <v>46082</v>
      </c>
      <c r="N4" s="198">
        <f t="shared" si="1"/>
        <v>46083</v>
      </c>
      <c r="O4" s="198">
        <f t="shared" si="1"/>
        <v>46084</v>
      </c>
      <c r="P4" s="198">
        <f t="shared" si="1"/>
        <v>46085</v>
      </c>
      <c r="Q4" s="198">
        <f t="shared" si="1"/>
        <v>46086</v>
      </c>
      <c r="R4" s="198">
        <f t="shared" si="1"/>
        <v>46087</v>
      </c>
      <c r="S4" s="198">
        <f t="shared" si="1"/>
        <v>46088</v>
      </c>
      <c r="T4" s="198">
        <f t="shared" si="1"/>
        <v>46089</v>
      </c>
      <c r="U4" s="198">
        <f t="shared" si="1"/>
        <v>46090</v>
      </c>
      <c r="V4" s="198">
        <f t="shared" si="1"/>
        <v>46091</v>
      </c>
      <c r="W4" s="198">
        <f t="shared" si="1"/>
        <v>46092</v>
      </c>
      <c r="X4" s="198">
        <f t="shared" si="1"/>
        <v>46093</v>
      </c>
      <c r="Y4" s="198">
        <f t="shared" si="1"/>
        <v>46094</v>
      </c>
      <c r="Z4" s="198">
        <f t="shared" si="1"/>
        <v>46095</v>
      </c>
      <c r="AA4" s="198">
        <f t="shared" si="1"/>
        <v>46096</v>
      </c>
      <c r="AB4" s="198">
        <f t="shared" si="1"/>
        <v>46097</v>
      </c>
      <c r="AC4" s="198">
        <f t="shared" si="1"/>
        <v>46098</v>
      </c>
      <c r="AD4" s="198">
        <f t="shared" si="1"/>
        <v>46099</v>
      </c>
      <c r="AE4" s="198">
        <f t="shared" si="1"/>
        <v>46100</v>
      </c>
      <c r="AF4" s="198">
        <f t="shared" si="1"/>
        <v>46101</v>
      </c>
      <c r="AG4" s="198">
        <f t="shared" si="1"/>
        <v>46102</v>
      </c>
      <c r="AH4" s="198">
        <f t="shared" si="1"/>
        <v>46103</v>
      </c>
      <c r="AI4" s="198">
        <f t="shared" si="1"/>
        <v>46104</v>
      </c>
      <c r="AJ4" s="198">
        <f t="shared" si="1"/>
        <v>46105</v>
      </c>
      <c r="AK4" s="198">
        <f t="shared" si="1"/>
        <v>46106</v>
      </c>
      <c r="AL4" s="198">
        <f t="shared" si="1"/>
        <v>46107</v>
      </c>
      <c r="AM4" s="198">
        <f t="shared" si="1"/>
        <v>46108</v>
      </c>
      <c r="AN4" s="198">
        <f t="shared" si="1"/>
        <v>46109</v>
      </c>
      <c r="AO4" s="198">
        <f t="shared" si="1"/>
        <v>46110</v>
      </c>
      <c r="AP4" s="198">
        <f t="shared" si="1"/>
        <v>46111</v>
      </c>
      <c r="AQ4" s="199">
        <f t="shared" si="1"/>
        <v>46112</v>
      </c>
    </row>
    <row r="5" spans="2:43" ht="24" customHeight="1" x14ac:dyDescent="0.3">
      <c r="B5" s="203" t="s">
        <v>239</v>
      </c>
      <c r="C5" s="209" t="s">
        <v>33</v>
      </c>
      <c r="D5" s="204" t="s">
        <v>183</v>
      </c>
      <c r="E5" s="205" t="s">
        <v>184</v>
      </c>
      <c r="F5" s="215">
        <v>0</v>
      </c>
      <c r="G5" s="215">
        <v>253</v>
      </c>
      <c r="H5" s="215">
        <v>369</v>
      </c>
      <c r="I5" s="215">
        <f>IF(SUMIF('Fixture 총 발주수량'!B:B,C5,'Fixture 총 발주수량'!AG:AG)&lt;0,ABS(SUMIF('Fixture 총 발주수량'!B:B,C5,'Fixture 총 발주수량'!AG:AG)),0)</f>
        <v>534</v>
      </c>
      <c r="J5" s="229">
        <f t="shared" ref="J5:J45" si="2">SUM(M5:AQ5)</f>
        <v>0</v>
      </c>
      <c r="K5" s="229">
        <f t="shared" ref="K5:K45" si="3">J5-(F5+G5)</f>
        <v>-253</v>
      </c>
      <c r="L5" s="243">
        <f t="shared" ref="L5:L45" si="4">IF(K5&gt;=0,0.0001,ABS(K5)/400)</f>
        <v>0.63249999999999995</v>
      </c>
      <c r="M5" s="200"/>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2"/>
    </row>
    <row r="6" spans="2:43" ht="24" customHeight="1" x14ac:dyDescent="0.3">
      <c r="B6" s="216" t="s">
        <v>238</v>
      </c>
      <c r="C6" s="209" t="s">
        <v>35</v>
      </c>
      <c r="D6" s="209" t="s">
        <v>185</v>
      </c>
      <c r="E6" s="217" t="s">
        <v>186</v>
      </c>
      <c r="F6" s="218">
        <v>0</v>
      </c>
      <c r="G6" s="215">
        <v>900</v>
      </c>
      <c r="H6" s="215">
        <v>905</v>
      </c>
      <c r="I6" s="215">
        <f>IF(SUMIF('Fixture 총 발주수량'!B:B,C6,'Fixture 총 발주수량'!AG:AG)&lt;0,ABS(SUMIF('Fixture 총 발주수량'!B:B,C6,'Fixture 총 발주수량'!AG:AG)),0)</f>
        <v>229</v>
      </c>
      <c r="J6" s="230">
        <f t="shared" si="2"/>
        <v>0</v>
      </c>
      <c r="K6" s="230">
        <f t="shared" si="3"/>
        <v>-900</v>
      </c>
      <c r="L6" s="243">
        <f t="shared" si="4"/>
        <v>2.25</v>
      </c>
      <c r="M6" s="219"/>
      <c r="N6" s="220"/>
      <c r="O6" s="220"/>
      <c r="P6" s="220"/>
      <c r="Q6" s="220"/>
      <c r="R6" s="220"/>
      <c r="S6" s="220"/>
      <c r="T6" s="220"/>
      <c r="U6" s="220"/>
      <c r="V6" s="220"/>
      <c r="W6" s="220"/>
      <c r="X6" s="220"/>
      <c r="Y6" s="220"/>
      <c r="Z6" s="220"/>
      <c r="AA6" s="220"/>
      <c r="AB6" s="220"/>
      <c r="AC6" s="220"/>
      <c r="AD6" s="220"/>
      <c r="AE6" s="220"/>
      <c r="AF6" s="220"/>
      <c r="AG6" s="220"/>
      <c r="AH6" s="220"/>
      <c r="AI6" s="220"/>
      <c r="AJ6" s="220"/>
      <c r="AK6" s="220"/>
      <c r="AL6" s="220"/>
      <c r="AM6" s="220"/>
      <c r="AN6" s="220"/>
      <c r="AO6" s="220"/>
      <c r="AP6" s="220"/>
      <c r="AQ6" s="221"/>
    </row>
    <row r="7" spans="2:43" ht="24" customHeight="1" x14ac:dyDescent="0.3">
      <c r="B7" s="216" t="s">
        <v>238</v>
      </c>
      <c r="C7" s="209" t="s">
        <v>37</v>
      </c>
      <c r="D7" s="209" t="s">
        <v>185</v>
      </c>
      <c r="E7" s="217" t="s">
        <v>187</v>
      </c>
      <c r="F7" s="218">
        <v>0</v>
      </c>
      <c r="G7" s="215">
        <v>477</v>
      </c>
      <c r="H7" s="215">
        <v>771</v>
      </c>
      <c r="I7" s="215">
        <f>IF(SUMIF('Fixture 총 발주수량'!B:B,C7,'Fixture 총 발주수량'!AG:AG)&lt;0,ABS(SUMIF('Fixture 총 발주수량'!B:B,C7,'Fixture 총 발주수량'!AG:AG)),0)</f>
        <v>843</v>
      </c>
      <c r="J7" s="230">
        <f t="shared" si="2"/>
        <v>0</v>
      </c>
      <c r="K7" s="230">
        <f t="shared" si="3"/>
        <v>-477</v>
      </c>
      <c r="L7" s="243">
        <f t="shared" si="4"/>
        <v>1.1924999999999999</v>
      </c>
      <c r="M7" s="219"/>
      <c r="N7" s="220"/>
      <c r="O7" s="220"/>
      <c r="P7" s="220"/>
      <c r="Q7" s="220"/>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0"/>
      <c r="AQ7" s="221"/>
    </row>
    <row r="8" spans="2:43" ht="24" customHeight="1" x14ac:dyDescent="0.3">
      <c r="B8" s="216" t="s">
        <v>238</v>
      </c>
      <c r="C8" s="209" t="s">
        <v>39</v>
      </c>
      <c r="D8" s="209" t="s">
        <v>185</v>
      </c>
      <c r="E8" s="217" t="s">
        <v>188</v>
      </c>
      <c r="F8" s="218">
        <v>0</v>
      </c>
      <c r="G8" s="215">
        <v>0</v>
      </c>
      <c r="H8" s="215">
        <v>0</v>
      </c>
      <c r="I8" s="215">
        <f>IF(SUMIF('Fixture 총 발주수량'!B:B,C8,'Fixture 총 발주수량'!AG:AG)&lt;0,ABS(SUMIF('Fixture 총 발주수량'!B:B,C8,'Fixture 총 발주수량'!AG:AG)),0)</f>
        <v>451</v>
      </c>
      <c r="J8" s="230">
        <f t="shared" si="2"/>
        <v>0</v>
      </c>
      <c r="K8" s="230">
        <f t="shared" si="3"/>
        <v>0</v>
      </c>
      <c r="L8" s="239">
        <f t="shared" si="4"/>
        <v>1E-4</v>
      </c>
      <c r="M8" s="219"/>
      <c r="N8" s="220"/>
      <c r="O8" s="220"/>
      <c r="P8" s="220"/>
      <c r="Q8" s="220"/>
      <c r="R8" s="220"/>
      <c r="S8" s="220"/>
      <c r="T8" s="220"/>
      <c r="U8" s="220"/>
      <c r="V8" s="220"/>
      <c r="W8" s="220"/>
      <c r="X8" s="220"/>
      <c r="Y8" s="220"/>
      <c r="Z8" s="220"/>
      <c r="AA8" s="220"/>
      <c r="AB8" s="220"/>
      <c r="AC8" s="220"/>
      <c r="AD8" s="220"/>
      <c r="AE8" s="220"/>
      <c r="AF8" s="220"/>
      <c r="AG8" s="220"/>
      <c r="AH8" s="220"/>
      <c r="AI8" s="220"/>
      <c r="AJ8" s="220"/>
      <c r="AK8" s="220"/>
      <c r="AL8" s="220"/>
      <c r="AM8" s="220"/>
      <c r="AN8" s="220"/>
      <c r="AO8" s="220"/>
      <c r="AP8" s="220"/>
      <c r="AQ8" s="221"/>
    </row>
    <row r="9" spans="2:43" ht="24" customHeight="1" x14ac:dyDescent="0.3">
      <c r="B9" s="216" t="s">
        <v>238</v>
      </c>
      <c r="C9" s="209" t="s">
        <v>44</v>
      </c>
      <c r="D9" s="209" t="s">
        <v>185</v>
      </c>
      <c r="E9" s="217" t="s">
        <v>189</v>
      </c>
      <c r="F9" s="218">
        <v>0</v>
      </c>
      <c r="G9" s="215">
        <v>0</v>
      </c>
      <c r="H9" s="215">
        <v>421</v>
      </c>
      <c r="I9" s="215">
        <f>IF(SUMIF('Fixture 총 발주수량'!B:B,C9,'Fixture 총 발주수량'!AG:AG)&lt;0,ABS(SUMIF('Fixture 총 발주수량'!B:B,C9,'Fixture 총 발주수량'!AG:AG)),0)</f>
        <v>0</v>
      </c>
      <c r="J9" s="230">
        <f t="shared" si="2"/>
        <v>0</v>
      </c>
      <c r="K9" s="230">
        <f t="shared" si="3"/>
        <v>0</v>
      </c>
      <c r="L9" s="239">
        <f t="shared" si="4"/>
        <v>1E-4</v>
      </c>
      <c r="M9" s="219"/>
      <c r="N9" s="220"/>
      <c r="O9" s="220"/>
      <c r="P9" s="220"/>
      <c r="Q9" s="220"/>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c r="AP9" s="220"/>
      <c r="AQ9" s="221"/>
    </row>
    <row r="10" spans="2:43" ht="24" customHeight="1" x14ac:dyDescent="0.3">
      <c r="B10" s="216" t="s">
        <v>238</v>
      </c>
      <c r="C10" s="209" t="s">
        <v>45</v>
      </c>
      <c r="D10" s="209" t="s">
        <v>185</v>
      </c>
      <c r="E10" s="217" t="s">
        <v>190</v>
      </c>
      <c r="F10" s="218">
        <v>0</v>
      </c>
      <c r="G10" s="215">
        <v>0</v>
      </c>
      <c r="H10" s="215">
        <v>2143</v>
      </c>
      <c r="I10" s="215">
        <f>IF(SUMIF('Fixture 총 발주수량'!B:B,C10,'Fixture 총 발주수량'!AG:AG)&lt;0,ABS(SUMIF('Fixture 총 발주수량'!B:B,C10,'Fixture 총 발주수량'!AG:AG)),0)</f>
        <v>0</v>
      </c>
      <c r="J10" s="230">
        <f t="shared" si="2"/>
        <v>0</v>
      </c>
      <c r="K10" s="230">
        <f t="shared" si="3"/>
        <v>0</v>
      </c>
      <c r="L10" s="239">
        <f t="shared" si="4"/>
        <v>1E-4</v>
      </c>
      <c r="M10" s="219"/>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1"/>
    </row>
    <row r="11" spans="2:43" ht="24" customHeight="1" x14ac:dyDescent="0.3">
      <c r="B11" s="216" t="s">
        <v>238</v>
      </c>
      <c r="C11" s="209" t="s">
        <v>46</v>
      </c>
      <c r="D11" s="209" t="s">
        <v>185</v>
      </c>
      <c r="E11" s="217" t="s">
        <v>191</v>
      </c>
      <c r="F11" s="218">
        <v>0</v>
      </c>
      <c r="G11" s="215">
        <v>0</v>
      </c>
      <c r="H11" s="215">
        <v>1578</v>
      </c>
      <c r="I11" s="215">
        <f>IF(SUMIF('Fixture 총 발주수량'!B:B,C11,'Fixture 총 발주수량'!AG:AG)&lt;0,ABS(SUMIF('Fixture 총 발주수량'!B:B,C11,'Fixture 총 발주수량'!AG:AG)),0)</f>
        <v>0</v>
      </c>
      <c r="J11" s="230">
        <f t="shared" si="2"/>
        <v>0</v>
      </c>
      <c r="K11" s="230">
        <f t="shared" si="3"/>
        <v>0</v>
      </c>
      <c r="L11" s="239">
        <f t="shared" si="4"/>
        <v>1E-4</v>
      </c>
      <c r="M11" s="219"/>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1"/>
    </row>
    <row r="12" spans="2:43" ht="24" customHeight="1" x14ac:dyDescent="0.3">
      <c r="B12" s="216" t="s">
        <v>238</v>
      </c>
      <c r="C12" s="209" t="s">
        <v>47</v>
      </c>
      <c r="D12" s="209" t="s">
        <v>185</v>
      </c>
      <c r="E12" s="217" t="s">
        <v>192</v>
      </c>
      <c r="F12" s="218">
        <v>0</v>
      </c>
      <c r="G12" s="215">
        <v>0</v>
      </c>
      <c r="H12" s="215">
        <v>0</v>
      </c>
      <c r="I12" s="215">
        <f>IF(SUMIF('Fixture 총 발주수량'!B:B,C12,'Fixture 총 발주수량'!AG:AG)&lt;0,ABS(SUMIF('Fixture 총 발주수량'!B:B,C12,'Fixture 총 발주수량'!AG:AG)),0)</f>
        <v>0</v>
      </c>
      <c r="J12" s="230">
        <f t="shared" si="2"/>
        <v>0</v>
      </c>
      <c r="K12" s="230">
        <f t="shared" si="3"/>
        <v>0</v>
      </c>
      <c r="L12" s="239">
        <f t="shared" si="4"/>
        <v>1E-4</v>
      </c>
      <c r="M12" s="219"/>
      <c r="N12" s="220"/>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1"/>
    </row>
    <row r="13" spans="2:43" ht="24" customHeight="1" x14ac:dyDescent="0.3">
      <c r="B13" s="231" t="s">
        <v>238</v>
      </c>
      <c r="C13" s="232" t="s">
        <v>40</v>
      </c>
      <c r="D13" s="232" t="s">
        <v>185</v>
      </c>
      <c r="E13" s="233" t="s">
        <v>189</v>
      </c>
      <c r="F13" s="234">
        <v>0</v>
      </c>
      <c r="G13" s="215">
        <v>0</v>
      </c>
      <c r="H13" s="215">
        <v>367</v>
      </c>
      <c r="I13" s="215">
        <f>IF(SUMIF('Fixture 총 발주수량'!B:B,C13,'Fixture 총 발주수량'!AG:AG)&lt;0,ABS(SUMIF('Fixture 총 발주수량'!B:B,C13,'Fixture 총 발주수량'!AG:AG)),0)</f>
        <v>1276</v>
      </c>
      <c r="J13" s="239">
        <f t="shared" si="2"/>
        <v>0</v>
      </c>
      <c r="K13" s="239">
        <f t="shared" si="3"/>
        <v>0</v>
      </c>
      <c r="L13" s="239">
        <f t="shared" si="4"/>
        <v>1E-4</v>
      </c>
      <c r="M13" s="235"/>
      <c r="N13" s="236"/>
      <c r="O13" s="236"/>
      <c r="P13" s="236"/>
      <c r="Q13" s="236"/>
      <c r="R13" s="236"/>
      <c r="S13" s="236"/>
      <c r="T13" s="236"/>
      <c r="U13" s="236"/>
      <c r="V13" s="236"/>
      <c r="W13" s="236"/>
      <c r="X13" s="236"/>
      <c r="Y13" s="236"/>
      <c r="Z13" s="236"/>
      <c r="AA13" s="236"/>
      <c r="AB13" s="236"/>
      <c r="AC13" s="236"/>
      <c r="AD13" s="236"/>
      <c r="AE13" s="236"/>
      <c r="AF13" s="236"/>
      <c r="AG13" s="236"/>
      <c r="AH13" s="236"/>
      <c r="AI13" s="236"/>
      <c r="AJ13" s="236"/>
      <c r="AK13" s="236"/>
      <c r="AL13" s="236"/>
      <c r="AM13" s="236"/>
      <c r="AN13" s="236"/>
      <c r="AO13" s="236"/>
      <c r="AP13" s="236"/>
      <c r="AQ13" s="237"/>
    </row>
    <row r="14" spans="2:43" ht="24" customHeight="1" x14ac:dyDescent="0.3">
      <c r="B14" s="216" t="s">
        <v>238</v>
      </c>
      <c r="C14" s="209" t="s">
        <v>41</v>
      </c>
      <c r="D14" s="209" t="s">
        <v>185</v>
      </c>
      <c r="E14" s="217" t="s">
        <v>190</v>
      </c>
      <c r="F14" s="230">
        <v>0</v>
      </c>
      <c r="G14" s="215">
        <v>591</v>
      </c>
      <c r="H14" s="215">
        <v>3000</v>
      </c>
      <c r="I14" s="215">
        <f>IF(SUMIF('Fixture 총 발주수량'!B:B,C14,'Fixture 총 발주수량'!AG:AG)&lt;0,ABS(SUMIF('Fixture 총 발주수량'!B:B,C14,'Fixture 총 발주수량'!AG:AG)),0)</f>
        <v>1150</v>
      </c>
      <c r="J14" s="230">
        <f t="shared" si="2"/>
        <v>0</v>
      </c>
      <c r="K14" s="230">
        <f t="shared" si="3"/>
        <v>-591</v>
      </c>
      <c r="L14" s="243">
        <f t="shared" si="4"/>
        <v>1.4775</v>
      </c>
      <c r="M14" s="219"/>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1"/>
    </row>
    <row r="15" spans="2:43" ht="24" customHeight="1" x14ac:dyDescent="0.3">
      <c r="B15" s="216" t="s">
        <v>238</v>
      </c>
      <c r="C15" s="209" t="s">
        <v>42</v>
      </c>
      <c r="D15" s="209" t="s">
        <v>185</v>
      </c>
      <c r="E15" s="217" t="s">
        <v>191</v>
      </c>
      <c r="F15" s="230">
        <v>259</v>
      </c>
      <c r="G15" s="215">
        <v>1639</v>
      </c>
      <c r="H15" s="215">
        <v>2000</v>
      </c>
      <c r="I15" s="215">
        <f>IF(SUMIF('Fixture 총 발주수량'!B:B,C15,'Fixture 총 발주수량'!AG:AG)&lt;0,ABS(SUMIF('Fixture 총 발주수량'!B:B,C15,'Fixture 총 발주수량'!AG:AG)),0)</f>
        <v>2405</v>
      </c>
      <c r="J15" s="230">
        <f t="shared" si="2"/>
        <v>0</v>
      </c>
      <c r="K15" s="230">
        <f t="shared" si="3"/>
        <v>-1898</v>
      </c>
      <c r="L15" s="243">
        <f t="shared" si="4"/>
        <v>4.7450000000000001</v>
      </c>
      <c r="M15" s="219"/>
      <c r="N15" s="220"/>
      <c r="O15" s="220"/>
      <c r="P15" s="220"/>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c r="AP15" s="220"/>
      <c r="AQ15" s="221"/>
    </row>
    <row r="16" spans="2:43" ht="24" customHeight="1" x14ac:dyDescent="0.3">
      <c r="B16" s="231" t="s">
        <v>238</v>
      </c>
      <c r="C16" s="232" t="s">
        <v>43</v>
      </c>
      <c r="D16" s="232" t="s">
        <v>185</v>
      </c>
      <c r="E16" s="233" t="s">
        <v>192</v>
      </c>
      <c r="F16" s="234">
        <v>0</v>
      </c>
      <c r="G16" s="215">
        <v>1101</v>
      </c>
      <c r="H16" s="215">
        <v>208</v>
      </c>
      <c r="I16" s="215">
        <f>IF(SUMIF('Fixture 총 발주수량'!B:B,C16,'Fixture 총 발주수량'!AG:AG)&lt;0,ABS(SUMIF('Fixture 총 발주수량'!B:B,C16,'Fixture 총 발주수량'!AG:AG)),0)</f>
        <v>0</v>
      </c>
      <c r="J16" s="239">
        <f t="shared" si="2"/>
        <v>0</v>
      </c>
      <c r="K16" s="239">
        <f t="shared" si="3"/>
        <v>-1101</v>
      </c>
      <c r="L16" s="243">
        <f t="shared" si="4"/>
        <v>2.7524999999999999</v>
      </c>
      <c r="M16" s="235"/>
      <c r="N16" s="236"/>
      <c r="O16" s="236"/>
      <c r="P16" s="236"/>
      <c r="Q16" s="236"/>
      <c r="R16" s="236"/>
      <c r="S16" s="236"/>
      <c r="T16" s="236"/>
      <c r="U16" s="236"/>
      <c r="V16" s="236"/>
      <c r="W16" s="236"/>
      <c r="X16" s="236"/>
      <c r="Y16" s="236"/>
      <c r="Z16" s="236"/>
      <c r="AA16" s="236"/>
      <c r="AB16" s="236"/>
      <c r="AC16" s="236"/>
      <c r="AD16" s="236"/>
      <c r="AE16" s="236"/>
      <c r="AF16" s="236"/>
      <c r="AG16" s="236"/>
      <c r="AH16" s="236"/>
      <c r="AI16" s="236"/>
      <c r="AJ16" s="236"/>
      <c r="AK16" s="236"/>
      <c r="AL16" s="236"/>
      <c r="AM16" s="236"/>
      <c r="AN16" s="236"/>
      <c r="AO16" s="236"/>
      <c r="AP16" s="236"/>
      <c r="AQ16" s="237"/>
    </row>
    <row r="17" spans="2:43" ht="24" customHeight="1" x14ac:dyDescent="0.3">
      <c r="B17" s="231" t="s">
        <v>238</v>
      </c>
      <c r="C17" s="232" t="s">
        <v>74</v>
      </c>
      <c r="D17" s="232" t="s">
        <v>185</v>
      </c>
      <c r="E17" s="233" t="s">
        <v>208</v>
      </c>
      <c r="F17" s="234">
        <v>0</v>
      </c>
      <c r="G17" s="215">
        <v>0</v>
      </c>
      <c r="H17" s="215">
        <v>300</v>
      </c>
      <c r="I17" s="215">
        <f>IF(SUMIF('Fixture 총 발주수량'!B:B,C17,'Fixture 총 발주수량'!AG:AG)&lt;0,ABS(SUMIF('Fixture 총 발주수량'!B:B,C17,'Fixture 총 발주수량'!AG:AG)),0)</f>
        <v>0</v>
      </c>
      <c r="J17" s="239">
        <f t="shared" si="2"/>
        <v>0</v>
      </c>
      <c r="K17" s="239">
        <f t="shared" si="3"/>
        <v>0</v>
      </c>
      <c r="L17" s="239">
        <f t="shared" si="4"/>
        <v>1E-4</v>
      </c>
      <c r="M17" s="235"/>
      <c r="N17" s="236"/>
      <c r="O17" s="236"/>
      <c r="P17" s="236"/>
      <c r="Q17" s="236"/>
      <c r="R17" s="236"/>
      <c r="S17" s="236"/>
      <c r="T17" s="236"/>
      <c r="U17" s="236"/>
      <c r="V17" s="236"/>
      <c r="W17" s="236"/>
      <c r="X17" s="236"/>
      <c r="Y17" s="236"/>
      <c r="Z17" s="236"/>
      <c r="AA17" s="236"/>
      <c r="AB17" s="236"/>
      <c r="AC17" s="236"/>
      <c r="AD17" s="236"/>
      <c r="AE17" s="236"/>
      <c r="AF17" s="236"/>
      <c r="AG17" s="236"/>
      <c r="AH17" s="236"/>
      <c r="AI17" s="236"/>
      <c r="AJ17" s="236"/>
      <c r="AK17" s="236"/>
      <c r="AL17" s="236"/>
      <c r="AM17" s="236"/>
      <c r="AN17" s="236"/>
      <c r="AO17" s="236"/>
      <c r="AP17" s="236"/>
      <c r="AQ17" s="237"/>
    </row>
    <row r="18" spans="2:43" ht="24" customHeight="1" x14ac:dyDescent="0.3">
      <c r="B18" s="222" t="s">
        <v>238</v>
      </c>
      <c r="C18" s="223" t="s">
        <v>75</v>
      </c>
      <c r="D18" s="223" t="s">
        <v>185</v>
      </c>
      <c r="E18" s="224" t="s">
        <v>209</v>
      </c>
      <c r="F18" s="225">
        <v>0</v>
      </c>
      <c r="G18" s="215">
        <v>0</v>
      </c>
      <c r="H18" s="215">
        <v>400</v>
      </c>
      <c r="I18" s="215">
        <f>IF(SUMIF('Fixture 총 발주수량'!B:B,C18,'Fixture 총 발주수량'!AG:AG)&lt;0,ABS(SUMIF('Fixture 총 발주수량'!B:B,C18,'Fixture 총 발주수량'!AG:AG)),0)</f>
        <v>30</v>
      </c>
      <c r="J18" s="240">
        <f t="shared" si="2"/>
        <v>0</v>
      </c>
      <c r="K18" s="240">
        <f t="shared" si="3"/>
        <v>0</v>
      </c>
      <c r="L18" s="239">
        <f t="shared" si="4"/>
        <v>1E-4</v>
      </c>
      <c r="M18" s="226"/>
      <c r="N18" s="227"/>
      <c r="O18" s="227"/>
      <c r="P18" s="227"/>
      <c r="Q18" s="227"/>
      <c r="R18" s="227"/>
      <c r="S18" s="227"/>
      <c r="T18" s="227"/>
      <c r="U18" s="227"/>
      <c r="V18" s="227"/>
      <c r="W18" s="227"/>
      <c r="X18" s="227"/>
      <c r="Y18" s="227"/>
      <c r="Z18" s="227"/>
      <c r="AA18" s="227"/>
      <c r="AB18" s="227"/>
      <c r="AC18" s="227"/>
      <c r="AD18" s="227"/>
      <c r="AE18" s="227"/>
      <c r="AF18" s="227"/>
      <c r="AG18" s="227"/>
      <c r="AH18" s="227"/>
      <c r="AI18" s="227"/>
      <c r="AJ18" s="227"/>
      <c r="AK18" s="227"/>
      <c r="AL18" s="227"/>
      <c r="AM18" s="227"/>
      <c r="AN18" s="227"/>
      <c r="AO18" s="227"/>
      <c r="AP18" s="227"/>
      <c r="AQ18" s="228"/>
    </row>
    <row r="19" spans="2:43" ht="24" customHeight="1" x14ac:dyDescent="0.3">
      <c r="B19" s="216" t="s">
        <v>238</v>
      </c>
      <c r="C19" s="209" t="s">
        <v>76</v>
      </c>
      <c r="D19" s="209" t="s">
        <v>185</v>
      </c>
      <c r="E19" s="217" t="s">
        <v>210</v>
      </c>
      <c r="F19" s="218">
        <v>0</v>
      </c>
      <c r="G19" s="215">
        <v>0</v>
      </c>
      <c r="H19" s="215">
        <v>400</v>
      </c>
      <c r="I19" s="215">
        <f>IF(SUMIF('Fixture 총 발주수량'!B:B,C19,'Fixture 총 발주수량'!AG:AG)&lt;0,ABS(SUMIF('Fixture 총 발주수량'!B:B,C19,'Fixture 총 발주수량'!AG:AG)),0)</f>
        <v>100</v>
      </c>
      <c r="J19" s="230">
        <f t="shared" si="2"/>
        <v>0</v>
      </c>
      <c r="K19" s="230">
        <f t="shared" si="3"/>
        <v>0</v>
      </c>
      <c r="L19" s="239">
        <f t="shared" si="4"/>
        <v>1E-4</v>
      </c>
      <c r="M19" s="219"/>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1"/>
    </row>
    <row r="20" spans="2:43" ht="24" customHeight="1" x14ac:dyDescent="0.3">
      <c r="B20" s="216" t="s">
        <v>238</v>
      </c>
      <c r="C20" s="209" t="s">
        <v>71</v>
      </c>
      <c r="D20" s="209" t="s">
        <v>185</v>
      </c>
      <c r="E20" s="217" t="s">
        <v>211</v>
      </c>
      <c r="F20" s="218">
        <v>0</v>
      </c>
      <c r="G20" s="215">
        <v>0</v>
      </c>
      <c r="H20" s="215">
        <v>300</v>
      </c>
      <c r="I20" s="215">
        <f>IF(SUMIF('Fixture 총 발주수량'!B:B,C20,'Fixture 총 발주수량'!AG:AG)&lt;0,ABS(SUMIF('Fixture 총 발주수량'!B:B,C20,'Fixture 총 발주수량'!AG:AG)),0)</f>
        <v>110</v>
      </c>
      <c r="J20" s="230">
        <f t="shared" si="2"/>
        <v>0</v>
      </c>
      <c r="K20" s="230">
        <f t="shared" si="3"/>
        <v>0</v>
      </c>
      <c r="L20" s="239">
        <f t="shared" si="4"/>
        <v>1E-4</v>
      </c>
      <c r="M20" s="219"/>
      <c r="N20" s="220"/>
      <c r="O20" s="220"/>
      <c r="P20" s="220"/>
      <c r="Q20" s="220"/>
      <c r="R20" s="220"/>
      <c r="S20" s="220"/>
      <c r="T20" s="220"/>
      <c r="U20" s="220"/>
      <c r="V20" s="220"/>
      <c r="W20" s="220"/>
      <c r="X20" s="220"/>
      <c r="Y20" s="220"/>
      <c r="Z20" s="220"/>
      <c r="AA20" s="220"/>
      <c r="AB20" s="220"/>
      <c r="AC20" s="220"/>
      <c r="AD20" s="220"/>
      <c r="AE20" s="220"/>
      <c r="AF20" s="220"/>
      <c r="AG20" s="220"/>
      <c r="AH20" s="220"/>
      <c r="AI20" s="220"/>
      <c r="AJ20" s="220"/>
      <c r="AK20" s="220"/>
      <c r="AL20" s="220"/>
      <c r="AM20" s="220"/>
      <c r="AN20" s="220"/>
      <c r="AO20" s="220"/>
      <c r="AP20" s="220"/>
      <c r="AQ20" s="221"/>
    </row>
    <row r="21" spans="2:43" ht="24" customHeight="1" x14ac:dyDescent="0.3">
      <c r="B21" s="216" t="s">
        <v>238</v>
      </c>
      <c r="C21" s="209" t="s">
        <v>72</v>
      </c>
      <c r="D21" s="209" t="s">
        <v>185</v>
      </c>
      <c r="E21" s="217" t="s">
        <v>212</v>
      </c>
      <c r="F21" s="218">
        <v>0</v>
      </c>
      <c r="G21" s="215">
        <v>0</v>
      </c>
      <c r="H21" s="215">
        <v>400</v>
      </c>
      <c r="I21" s="215">
        <f>IF(SUMIF('Fixture 총 발주수량'!B:B,C21,'Fixture 총 발주수량'!AG:AG)&lt;0,ABS(SUMIF('Fixture 총 발주수량'!B:B,C21,'Fixture 총 발주수량'!AG:AG)),0)</f>
        <v>286</v>
      </c>
      <c r="J21" s="230">
        <f t="shared" si="2"/>
        <v>0</v>
      </c>
      <c r="K21" s="230">
        <f t="shared" si="3"/>
        <v>0</v>
      </c>
      <c r="L21" s="239">
        <f t="shared" si="4"/>
        <v>1E-4</v>
      </c>
      <c r="M21" s="219"/>
      <c r="N21" s="220"/>
      <c r="O21" s="220"/>
      <c r="P21" s="220"/>
      <c r="Q21" s="220"/>
      <c r="R21" s="220"/>
      <c r="S21" s="220"/>
      <c r="T21" s="220"/>
      <c r="U21" s="220"/>
      <c r="V21" s="220"/>
      <c r="W21" s="220"/>
      <c r="X21" s="220"/>
      <c r="Y21" s="220"/>
      <c r="Z21" s="220"/>
      <c r="AA21" s="220"/>
      <c r="AB21" s="220"/>
      <c r="AC21" s="220"/>
      <c r="AD21" s="220"/>
      <c r="AE21" s="220"/>
      <c r="AF21" s="220"/>
      <c r="AG21" s="220"/>
      <c r="AH21" s="220"/>
      <c r="AI21" s="220"/>
      <c r="AJ21" s="220"/>
      <c r="AK21" s="220"/>
      <c r="AL21" s="220"/>
      <c r="AM21" s="220"/>
      <c r="AN21" s="220"/>
      <c r="AO21" s="220"/>
      <c r="AP21" s="220"/>
      <c r="AQ21" s="221"/>
    </row>
    <row r="22" spans="2:43" ht="24" customHeight="1" x14ac:dyDescent="0.3">
      <c r="B22" s="216" t="s">
        <v>238</v>
      </c>
      <c r="C22" s="209" t="s">
        <v>73</v>
      </c>
      <c r="D22" s="209" t="s">
        <v>185</v>
      </c>
      <c r="E22" s="217" t="s">
        <v>213</v>
      </c>
      <c r="F22" s="218">
        <v>0</v>
      </c>
      <c r="G22" s="215">
        <v>0</v>
      </c>
      <c r="H22" s="215">
        <v>300</v>
      </c>
      <c r="I22" s="215">
        <f>IF(SUMIF('Fixture 총 발주수량'!B:B,C22,'Fixture 총 발주수량'!AG:AG)&lt;0,ABS(SUMIF('Fixture 총 발주수량'!B:B,C22,'Fixture 총 발주수량'!AG:AG)),0)</f>
        <v>110</v>
      </c>
      <c r="J22" s="230">
        <f t="shared" si="2"/>
        <v>0</v>
      </c>
      <c r="K22" s="230">
        <f t="shared" si="3"/>
        <v>0</v>
      </c>
      <c r="L22" s="239">
        <f t="shared" si="4"/>
        <v>1E-4</v>
      </c>
      <c r="M22" s="219"/>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1"/>
    </row>
    <row r="23" spans="2:43" ht="24" customHeight="1" x14ac:dyDescent="0.3">
      <c r="B23" s="216" t="s">
        <v>238</v>
      </c>
      <c r="C23" s="209" t="s">
        <v>68</v>
      </c>
      <c r="D23" s="209" t="s">
        <v>214</v>
      </c>
      <c r="E23" s="217" t="s">
        <v>215</v>
      </c>
      <c r="F23" s="218">
        <v>0</v>
      </c>
      <c r="G23" s="215">
        <v>315</v>
      </c>
      <c r="H23" s="215">
        <v>0</v>
      </c>
      <c r="I23" s="215">
        <f>IF(SUMIF('Fixture 총 발주수량'!B:B,C23,'Fixture 총 발주수량'!AG:AG)&lt;0,ABS(SUMIF('Fixture 총 발주수량'!B:B,C23,'Fixture 총 발주수량'!AG:AG)),0)</f>
        <v>410</v>
      </c>
      <c r="J23" s="230">
        <f t="shared" si="2"/>
        <v>0</v>
      </c>
      <c r="K23" s="230">
        <f t="shared" si="3"/>
        <v>-315</v>
      </c>
      <c r="L23" s="243">
        <f t="shared" si="4"/>
        <v>0.78749999999999998</v>
      </c>
      <c r="M23" s="219"/>
      <c r="N23" s="220"/>
      <c r="O23" s="220"/>
      <c r="P23" s="220"/>
      <c r="Q23" s="220"/>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c r="AP23" s="220"/>
      <c r="AQ23" s="221"/>
    </row>
    <row r="24" spans="2:43" ht="24" customHeight="1" x14ac:dyDescent="0.3">
      <c r="B24" s="216" t="s">
        <v>238</v>
      </c>
      <c r="C24" s="209" t="s">
        <v>69</v>
      </c>
      <c r="D24" s="209" t="s">
        <v>214</v>
      </c>
      <c r="E24" s="217" t="s">
        <v>216</v>
      </c>
      <c r="F24" s="218">
        <v>0</v>
      </c>
      <c r="G24" s="215">
        <v>0</v>
      </c>
      <c r="H24" s="215">
        <v>299</v>
      </c>
      <c r="I24" s="215">
        <f>IF(SUMIF('Fixture 총 발주수량'!B:B,C24,'Fixture 총 발주수량'!AG:AG)&lt;0,ABS(SUMIF('Fixture 총 발주수량'!B:B,C24,'Fixture 총 발주수량'!AG:AG)),0)</f>
        <v>375</v>
      </c>
      <c r="J24" s="230">
        <f t="shared" si="2"/>
        <v>0</v>
      </c>
      <c r="K24" s="230">
        <f t="shared" si="3"/>
        <v>0</v>
      </c>
      <c r="L24" s="239">
        <f t="shared" si="4"/>
        <v>1E-4</v>
      </c>
      <c r="M24" s="219"/>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1"/>
    </row>
    <row r="25" spans="2:43" ht="24" customHeight="1" x14ac:dyDescent="0.3">
      <c r="B25" s="216" t="s">
        <v>238</v>
      </c>
      <c r="C25" s="209" t="s">
        <v>70</v>
      </c>
      <c r="D25" s="209" t="s">
        <v>214</v>
      </c>
      <c r="E25" s="217" t="s">
        <v>217</v>
      </c>
      <c r="F25" s="218">
        <v>0</v>
      </c>
      <c r="G25" s="215">
        <v>0</v>
      </c>
      <c r="H25" s="215">
        <v>120</v>
      </c>
      <c r="I25" s="215">
        <f>IF(SUMIF('Fixture 총 발주수량'!B:B,C25,'Fixture 총 발주수량'!AG:AG)&lt;0,ABS(SUMIF('Fixture 총 발주수량'!B:B,C25,'Fixture 총 발주수량'!AG:AG)),0)</f>
        <v>379</v>
      </c>
      <c r="J25" s="230">
        <f t="shared" si="2"/>
        <v>0</v>
      </c>
      <c r="K25" s="230">
        <f t="shared" si="3"/>
        <v>0</v>
      </c>
      <c r="L25" s="239">
        <f t="shared" si="4"/>
        <v>1E-4</v>
      </c>
      <c r="M25" s="219"/>
      <c r="N25" s="220"/>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c r="AP25" s="220"/>
      <c r="AQ25" s="221"/>
    </row>
    <row r="26" spans="2:43" ht="24" customHeight="1" x14ac:dyDescent="0.3">
      <c r="B26" s="216" t="s">
        <v>241</v>
      </c>
      <c r="C26" s="209" t="s">
        <v>59</v>
      </c>
      <c r="D26" s="209" t="s">
        <v>185</v>
      </c>
      <c r="E26" s="217" t="s">
        <v>199</v>
      </c>
      <c r="F26" s="218">
        <v>0</v>
      </c>
      <c r="G26" s="215">
        <v>0</v>
      </c>
      <c r="H26" s="215">
        <v>875</v>
      </c>
      <c r="I26" s="215">
        <f>IF(SUMIF('Fixture 총 발주수량'!B:B,C26,'Fixture 총 발주수량'!AG:AG)&lt;0,ABS(SUMIF('Fixture 총 발주수량'!B:B,C26,'Fixture 총 발주수량'!AG:AG)),0)</f>
        <v>3246</v>
      </c>
      <c r="J26" s="230">
        <f t="shared" si="2"/>
        <v>0</v>
      </c>
      <c r="K26" s="230">
        <f t="shared" si="3"/>
        <v>0</v>
      </c>
      <c r="L26" s="239">
        <f t="shared" si="4"/>
        <v>1E-4</v>
      </c>
      <c r="M26" s="219"/>
      <c r="N26" s="220"/>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1"/>
    </row>
    <row r="27" spans="2:43" ht="24" customHeight="1" x14ac:dyDescent="0.3">
      <c r="B27" s="216"/>
      <c r="C27" s="209" t="s">
        <v>61</v>
      </c>
      <c r="D27" s="209" t="s">
        <v>185</v>
      </c>
      <c r="E27" s="217" t="s">
        <v>201</v>
      </c>
      <c r="F27" s="218">
        <v>0</v>
      </c>
      <c r="G27" s="215">
        <v>0</v>
      </c>
      <c r="H27" s="215">
        <v>4678</v>
      </c>
      <c r="I27" s="215">
        <f>IF(SUMIF('Fixture 총 발주수량'!B:B,C27,'Fixture 총 발주수량'!AG:AG)&lt;0,ABS(SUMIF('Fixture 총 발주수량'!B:B,C27,'Fixture 총 발주수량'!AG:AG)),0)</f>
        <v>5039</v>
      </c>
      <c r="J27" s="230">
        <f t="shared" si="2"/>
        <v>0</v>
      </c>
      <c r="K27" s="230">
        <f t="shared" si="3"/>
        <v>0</v>
      </c>
      <c r="L27" s="239">
        <f t="shared" si="4"/>
        <v>1E-4</v>
      </c>
      <c r="M27" s="219"/>
      <c r="N27" s="220"/>
      <c r="O27" s="220"/>
      <c r="P27" s="220"/>
      <c r="Q27" s="220"/>
      <c r="R27" s="220"/>
      <c r="S27" s="220"/>
      <c r="T27" s="220"/>
      <c r="U27" s="220"/>
      <c r="V27" s="220"/>
      <c r="W27" s="220"/>
      <c r="X27" s="220"/>
      <c r="Y27" s="220"/>
      <c r="Z27" s="220"/>
      <c r="AA27" s="220"/>
      <c r="AB27" s="220"/>
      <c r="AC27" s="220"/>
      <c r="AD27" s="220"/>
      <c r="AE27" s="220"/>
      <c r="AF27" s="220"/>
      <c r="AG27" s="220"/>
      <c r="AH27" s="220"/>
      <c r="AI27" s="220"/>
      <c r="AJ27" s="220"/>
      <c r="AK27" s="220"/>
      <c r="AL27" s="220"/>
      <c r="AM27" s="220"/>
      <c r="AN27" s="220"/>
      <c r="AO27" s="220"/>
      <c r="AP27" s="220"/>
      <c r="AQ27" s="221"/>
    </row>
    <row r="28" spans="2:43" ht="24" customHeight="1" x14ac:dyDescent="0.3">
      <c r="B28" s="216"/>
      <c r="C28" s="209" t="s">
        <v>62</v>
      </c>
      <c r="D28" s="209" t="s">
        <v>185</v>
      </c>
      <c r="E28" s="217" t="s">
        <v>202</v>
      </c>
      <c r="F28" s="218">
        <v>0</v>
      </c>
      <c r="G28" s="215">
        <v>0</v>
      </c>
      <c r="H28" s="215">
        <v>0</v>
      </c>
      <c r="I28" s="215">
        <f>IF(SUMIF('Fixture 총 발주수량'!B:B,C28,'Fixture 총 발주수량'!AG:AG)&lt;0,ABS(SUMIF('Fixture 총 발주수량'!B:B,C28,'Fixture 총 발주수량'!AG:AG)),0)</f>
        <v>717</v>
      </c>
      <c r="J28" s="230">
        <f t="shared" si="2"/>
        <v>0</v>
      </c>
      <c r="K28" s="230">
        <f t="shared" si="3"/>
        <v>0</v>
      </c>
      <c r="L28" s="239">
        <f t="shared" si="4"/>
        <v>1E-4</v>
      </c>
      <c r="M28" s="219"/>
      <c r="N28" s="220"/>
      <c r="O28" s="220"/>
      <c r="P28" s="220"/>
      <c r="Q28" s="220"/>
      <c r="R28" s="220"/>
      <c r="S28" s="220"/>
      <c r="T28" s="220"/>
      <c r="U28" s="220"/>
      <c r="V28" s="220"/>
      <c r="W28" s="220"/>
      <c r="X28" s="220"/>
      <c r="Y28" s="220"/>
      <c r="Z28" s="220"/>
      <c r="AA28" s="220"/>
      <c r="AB28" s="220"/>
      <c r="AC28" s="220"/>
      <c r="AD28" s="220"/>
      <c r="AE28" s="220"/>
      <c r="AF28" s="220"/>
      <c r="AG28" s="220"/>
      <c r="AH28" s="220"/>
      <c r="AI28" s="220"/>
      <c r="AJ28" s="220"/>
      <c r="AK28" s="220"/>
      <c r="AL28" s="220"/>
      <c r="AM28" s="220"/>
      <c r="AN28" s="220"/>
      <c r="AO28" s="220"/>
      <c r="AP28" s="220"/>
      <c r="AQ28" s="221"/>
    </row>
    <row r="29" spans="2:43" ht="24" customHeight="1" x14ac:dyDescent="0.3">
      <c r="B29" s="216"/>
      <c r="C29" s="209" t="s">
        <v>64</v>
      </c>
      <c r="D29" s="209" t="s">
        <v>185</v>
      </c>
      <c r="E29" s="217" t="s">
        <v>204</v>
      </c>
      <c r="F29" s="218">
        <v>0</v>
      </c>
      <c r="G29" s="215">
        <v>476</v>
      </c>
      <c r="H29" s="215">
        <v>1884</v>
      </c>
      <c r="I29" s="215">
        <f>IF(SUMIF('Fixture 총 발주수량'!B:B,C29,'Fixture 총 발주수량'!AG:AG)&lt;0,ABS(SUMIF('Fixture 총 발주수량'!B:B,C29,'Fixture 총 발주수량'!AG:AG)),0)</f>
        <v>455</v>
      </c>
      <c r="J29" s="230">
        <f t="shared" si="2"/>
        <v>0</v>
      </c>
      <c r="K29" s="230">
        <f t="shared" si="3"/>
        <v>-476</v>
      </c>
      <c r="L29" s="243">
        <f t="shared" si="4"/>
        <v>1.19</v>
      </c>
      <c r="M29" s="219"/>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1"/>
    </row>
    <row r="30" spans="2:43" ht="24" customHeight="1" x14ac:dyDescent="0.3">
      <c r="B30" s="216"/>
      <c r="C30" s="209" t="s">
        <v>65</v>
      </c>
      <c r="D30" s="209" t="s">
        <v>185</v>
      </c>
      <c r="E30" s="217" t="s">
        <v>205</v>
      </c>
      <c r="F30" s="218">
        <v>0</v>
      </c>
      <c r="G30" s="215">
        <v>500</v>
      </c>
      <c r="H30" s="215">
        <v>3000</v>
      </c>
      <c r="I30" s="215">
        <f>IF(SUMIF('Fixture 총 발주수량'!B:B,C30,'Fixture 총 발주수량'!AG:AG)&lt;0,ABS(SUMIF('Fixture 총 발주수량'!B:B,C30,'Fixture 총 발주수량'!AG:AG)),0)</f>
        <v>1085</v>
      </c>
      <c r="J30" s="230">
        <f t="shared" si="2"/>
        <v>0</v>
      </c>
      <c r="K30" s="230">
        <f t="shared" si="3"/>
        <v>-500</v>
      </c>
      <c r="L30" s="243">
        <f t="shared" si="4"/>
        <v>1.25</v>
      </c>
      <c r="M30" s="219"/>
      <c r="N30" s="220"/>
      <c r="O30" s="220"/>
      <c r="P30" s="220"/>
      <c r="Q30" s="220"/>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c r="AP30" s="220"/>
      <c r="AQ30" s="221"/>
    </row>
    <row r="31" spans="2:43" ht="24" customHeight="1" x14ac:dyDescent="0.3">
      <c r="B31" s="216"/>
      <c r="C31" s="209" t="s">
        <v>66</v>
      </c>
      <c r="D31" s="209" t="s">
        <v>185</v>
      </c>
      <c r="E31" s="217" t="s">
        <v>206</v>
      </c>
      <c r="F31" s="218">
        <v>0</v>
      </c>
      <c r="G31" s="215">
        <v>0</v>
      </c>
      <c r="H31" s="215">
        <v>1426</v>
      </c>
      <c r="I31" s="215">
        <f>IF(SUMIF('Fixture 총 발주수량'!B:B,C31,'Fixture 총 발주수량'!AG:AG)&lt;0,ABS(SUMIF('Fixture 총 발주수량'!B:B,C31,'Fixture 총 발주수량'!AG:AG)),0)</f>
        <v>393</v>
      </c>
      <c r="J31" s="230">
        <f t="shared" si="2"/>
        <v>0</v>
      </c>
      <c r="K31" s="230">
        <f t="shared" si="3"/>
        <v>0</v>
      </c>
      <c r="L31" s="239">
        <f t="shared" si="4"/>
        <v>1E-4</v>
      </c>
      <c r="M31" s="219"/>
      <c r="N31" s="220"/>
      <c r="O31" s="220"/>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1"/>
    </row>
    <row r="32" spans="2:43" ht="24" customHeight="1" x14ac:dyDescent="0.3">
      <c r="B32" s="216"/>
      <c r="C32" s="209" t="s">
        <v>67</v>
      </c>
      <c r="D32" s="209" t="s">
        <v>185</v>
      </c>
      <c r="E32" s="217" t="s">
        <v>207</v>
      </c>
      <c r="F32" s="218">
        <v>0</v>
      </c>
      <c r="G32" s="215">
        <v>0</v>
      </c>
      <c r="H32" s="215">
        <v>0</v>
      </c>
      <c r="I32" s="215">
        <f>IF(SUMIF('Fixture 총 발주수량'!B:B,C32,'Fixture 총 발주수량'!AG:AG)&lt;0,ABS(SUMIF('Fixture 총 발주수량'!B:B,C32,'Fixture 총 발주수량'!AG:AG)),0)</f>
        <v>62</v>
      </c>
      <c r="J32" s="230">
        <f t="shared" si="2"/>
        <v>0</v>
      </c>
      <c r="K32" s="230">
        <f t="shared" si="3"/>
        <v>0</v>
      </c>
      <c r="L32" s="239">
        <f t="shared" si="4"/>
        <v>1E-4</v>
      </c>
      <c r="M32" s="219"/>
      <c r="N32" s="220"/>
      <c r="O32" s="220"/>
      <c r="P32" s="220"/>
      <c r="Q32" s="220"/>
      <c r="R32" s="220"/>
      <c r="S32" s="220"/>
      <c r="T32" s="220"/>
      <c r="U32" s="220"/>
      <c r="V32" s="220"/>
      <c r="W32" s="220"/>
      <c r="X32" s="220"/>
      <c r="Y32" s="220"/>
      <c r="Z32" s="220"/>
      <c r="AA32" s="220"/>
      <c r="AB32" s="220"/>
      <c r="AC32" s="220"/>
      <c r="AD32" s="220"/>
      <c r="AE32" s="220"/>
      <c r="AF32" s="220"/>
      <c r="AG32" s="220"/>
      <c r="AH32" s="220"/>
      <c r="AI32" s="220"/>
      <c r="AJ32" s="220"/>
      <c r="AK32" s="220"/>
      <c r="AL32" s="220"/>
      <c r="AM32" s="220"/>
      <c r="AN32" s="220"/>
      <c r="AO32" s="220"/>
      <c r="AP32" s="220"/>
      <c r="AQ32" s="221"/>
    </row>
    <row r="33" spans="2:43" ht="24" customHeight="1" x14ac:dyDescent="0.3">
      <c r="B33" s="216"/>
      <c r="C33" s="209" t="s">
        <v>55</v>
      </c>
      <c r="D33" s="209" t="s">
        <v>185</v>
      </c>
      <c r="E33" s="217" t="s">
        <v>195</v>
      </c>
      <c r="F33" s="218">
        <v>0</v>
      </c>
      <c r="G33" s="215">
        <v>0</v>
      </c>
      <c r="H33" s="215">
        <v>3212</v>
      </c>
      <c r="I33" s="215">
        <f>IF(SUMIF('Fixture 총 발주수량'!B:B,C33,'Fixture 총 발주수량'!AG:AG)&lt;0,ABS(SUMIF('Fixture 총 발주수량'!B:B,C33,'Fixture 총 발주수량'!AG:AG)),0)</f>
        <v>0</v>
      </c>
      <c r="J33" s="230">
        <f t="shared" si="2"/>
        <v>0</v>
      </c>
      <c r="K33" s="230">
        <f t="shared" si="3"/>
        <v>0</v>
      </c>
      <c r="L33" s="239">
        <f t="shared" si="4"/>
        <v>1E-4</v>
      </c>
      <c r="M33" s="219"/>
      <c r="N33" s="220"/>
      <c r="O33" s="220"/>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c r="AP33" s="220"/>
      <c r="AQ33" s="221"/>
    </row>
    <row r="34" spans="2:43" ht="24" customHeight="1" x14ac:dyDescent="0.3">
      <c r="B34" s="216"/>
      <c r="C34" s="209" t="s">
        <v>56</v>
      </c>
      <c r="D34" s="209" t="s">
        <v>185</v>
      </c>
      <c r="E34" s="217" t="s">
        <v>196</v>
      </c>
      <c r="F34" s="218">
        <v>0</v>
      </c>
      <c r="G34" s="215">
        <v>0</v>
      </c>
      <c r="H34" s="215">
        <v>124</v>
      </c>
      <c r="I34" s="215">
        <f>IF(SUMIF('Fixture 총 발주수량'!B:B,C34,'Fixture 총 발주수량'!AG:AG)&lt;0,ABS(SUMIF('Fixture 총 발주수량'!B:B,C34,'Fixture 총 발주수량'!AG:AG)),0)</f>
        <v>0</v>
      </c>
      <c r="J34" s="230">
        <f t="shared" si="2"/>
        <v>0</v>
      </c>
      <c r="K34" s="230">
        <f t="shared" si="3"/>
        <v>0</v>
      </c>
      <c r="L34" s="239">
        <f t="shared" si="4"/>
        <v>1E-4</v>
      </c>
      <c r="M34" s="219"/>
      <c r="N34" s="220"/>
      <c r="O34" s="220"/>
      <c r="P34" s="220"/>
      <c r="Q34" s="220"/>
      <c r="R34" s="220"/>
      <c r="S34" s="220"/>
      <c r="T34" s="220"/>
      <c r="U34" s="220"/>
      <c r="V34" s="220"/>
      <c r="W34" s="220"/>
      <c r="X34" s="220"/>
      <c r="Y34" s="220"/>
      <c r="Z34" s="220"/>
      <c r="AA34" s="220"/>
      <c r="AB34" s="220"/>
      <c r="AC34" s="220"/>
      <c r="AD34" s="220"/>
      <c r="AE34" s="220"/>
      <c r="AF34" s="220"/>
      <c r="AG34" s="220"/>
      <c r="AH34" s="220"/>
      <c r="AI34" s="220"/>
      <c r="AJ34" s="220"/>
      <c r="AK34" s="220"/>
      <c r="AL34" s="220"/>
      <c r="AM34" s="220"/>
      <c r="AN34" s="220"/>
      <c r="AO34" s="220"/>
      <c r="AP34" s="220"/>
      <c r="AQ34" s="221"/>
    </row>
    <row r="35" spans="2:43" ht="24" customHeight="1" x14ac:dyDescent="0.3">
      <c r="B35" s="216"/>
      <c r="C35" s="209" t="s">
        <v>48</v>
      </c>
      <c r="D35" s="209" t="s">
        <v>185</v>
      </c>
      <c r="E35" s="217" t="s">
        <v>193</v>
      </c>
      <c r="F35" s="218">
        <v>0</v>
      </c>
      <c r="G35" s="215">
        <v>0</v>
      </c>
      <c r="H35" s="215">
        <v>1730</v>
      </c>
      <c r="I35" s="215">
        <f>IF(SUMIF('Fixture 총 발주수량'!B:B,C35,'Fixture 총 발주수량'!AG:AG)&lt;0,ABS(SUMIF('Fixture 총 발주수량'!B:B,C35,'Fixture 총 발주수량'!AG:AG)),0)</f>
        <v>1286</v>
      </c>
      <c r="J35" s="230">
        <f t="shared" si="2"/>
        <v>0</v>
      </c>
      <c r="K35" s="230">
        <f t="shared" si="3"/>
        <v>0</v>
      </c>
      <c r="L35" s="243">
        <f t="shared" si="4"/>
        <v>1E-4</v>
      </c>
      <c r="M35" s="219"/>
      <c r="N35" s="220"/>
      <c r="O35" s="220"/>
      <c r="P35" s="220"/>
      <c r="Q35" s="220"/>
      <c r="R35" s="220"/>
      <c r="S35" s="220"/>
      <c r="T35" s="220"/>
      <c r="U35" s="220"/>
      <c r="V35" s="220"/>
      <c r="W35" s="220"/>
      <c r="X35" s="220"/>
      <c r="Y35" s="220"/>
      <c r="Z35" s="220"/>
      <c r="AA35" s="220"/>
      <c r="AB35" s="220"/>
      <c r="AC35" s="220"/>
      <c r="AD35" s="220"/>
      <c r="AE35" s="220"/>
      <c r="AF35" s="220"/>
      <c r="AG35" s="220"/>
      <c r="AH35" s="220"/>
      <c r="AI35" s="220"/>
      <c r="AJ35" s="220"/>
      <c r="AK35" s="220"/>
      <c r="AL35" s="220"/>
      <c r="AM35" s="220"/>
      <c r="AN35" s="220"/>
      <c r="AO35" s="220"/>
      <c r="AP35" s="220"/>
      <c r="AQ35" s="221"/>
    </row>
    <row r="36" spans="2:43" ht="24" customHeight="1" x14ac:dyDescent="0.3">
      <c r="B36" s="216"/>
      <c r="C36" s="209" t="s">
        <v>49</v>
      </c>
      <c r="D36" s="209" t="s">
        <v>185</v>
      </c>
      <c r="E36" s="217" t="s">
        <v>194</v>
      </c>
      <c r="F36" s="218">
        <v>0</v>
      </c>
      <c r="G36" s="215">
        <v>199</v>
      </c>
      <c r="H36" s="215">
        <v>5000</v>
      </c>
      <c r="I36" s="215">
        <f>IF(SUMIF('Fixture 총 발주수량'!B:B,C36,'Fixture 총 발주수량'!AG:AG)&lt;0,ABS(SUMIF('Fixture 총 발주수량'!B:B,C36,'Fixture 총 발주수량'!AG:AG)),0)</f>
        <v>3683</v>
      </c>
      <c r="J36" s="230">
        <f t="shared" si="2"/>
        <v>0</v>
      </c>
      <c r="K36" s="230">
        <f t="shared" si="3"/>
        <v>-199</v>
      </c>
      <c r="L36" s="243">
        <f t="shared" si="4"/>
        <v>0.4975</v>
      </c>
      <c r="M36" s="219"/>
      <c r="N36" s="220"/>
      <c r="O36" s="220"/>
      <c r="P36" s="220"/>
      <c r="Q36" s="220"/>
      <c r="R36" s="220"/>
      <c r="S36" s="220"/>
      <c r="T36" s="220"/>
      <c r="U36" s="220"/>
      <c r="V36" s="220"/>
      <c r="W36" s="220"/>
      <c r="X36" s="220"/>
      <c r="Y36" s="220"/>
      <c r="Z36" s="220"/>
      <c r="AA36" s="220"/>
      <c r="AB36" s="220"/>
      <c r="AC36" s="220"/>
      <c r="AD36" s="220"/>
      <c r="AE36" s="220"/>
      <c r="AF36" s="220"/>
      <c r="AG36" s="220"/>
      <c r="AH36" s="220"/>
      <c r="AI36" s="220"/>
      <c r="AJ36" s="220"/>
      <c r="AK36" s="220"/>
      <c r="AL36" s="220"/>
      <c r="AM36" s="220"/>
      <c r="AN36" s="220"/>
      <c r="AO36" s="220"/>
      <c r="AP36" s="220"/>
      <c r="AQ36" s="221"/>
    </row>
    <row r="37" spans="2:43" ht="24" customHeight="1" x14ac:dyDescent="0.3">
      <c r="B37" s="216"/>
      <c r="C37" s="209" t="s">
        <v>58</v>
      </c>
      <c r="D37" s="209" t="s">
        <v>185</v>
      </c>
      <c r="E37" s="217" t="s">
        <v>198</v>
      </c>
      <c r="F37" s="218">
        <v>0</v>
      </c>
      <c r="G37" s="215">
        <v>0</v>
      </c>
      <c r="H37" s="215">
        <v>985</v>
      </c>
      <c r="I37" s="215">
        <f>IF(SUMIF('Fixture 총 발주수량'!B:B,C37,'Fixture 총 발주수량'!AG:AG)&lt;0,ABS(SUMIF('Fixture 총 발주수량'!B:B,C37,'Fixture 총 발주수량'!AG:AG)),0)</f>
        <v>105</v>
      </c>
      <c r="J37" s="230">
        <f t="shared" si="2"/>
        <v>0</v>
      </c>
      <c r="K37" s="230">
        <f t="shared" si="3"/>
        <v>0</v>
      </c>
      <c r="L37" s="239">
        <f t="shared" si="4"/>
        <v>1E-4</v>
      </c>
      <c r="M37" s="219"/>
      <c r="N37" s="220"/>
      <c r="O37" s="220"/>
      <c r="P37" s="220"/>
      <c r="Q37" s="220"/>
      <c r="R37" s="220"/>
      <c r="S37" s="220"/>
      <c r="T37" s="220"/>
      <c r="U37" s="220"/>
      <c r="V37" s="220"/>
      <c r="W37" s="220"/>
      <c r="X37" s="220"/>
      <c r="Y37" s="220"/>
      <c r="Z37" s="220"/>
      <c r="AA37" s="220"/>
      <c r="AB37" s="220"/>
      <c r="AC37" s="220"/>
      <c r="AD37" s="220"/>
      <c r="AE37" s="220"/>
      <c r="AF37" s="220"/>
      <c r="AG37" s="220"/>
      <c r="AH37" s="220"/>
      <c r="AI37" s="220"/>
      <c r="AJ37" s="220"/>
      <c r="AK37" s="220"/>
      <c r="AL37" s="220"/>
      <c r="AM37" s="220"/>
      <c r="AN37" s="220"/>
      <c r="AO37" s="220"/>
      <c r="AP37" s="220"/>
      <c r="AQ37" s="221"/>
    </row>
    <row r="38" spans="2:43" ht="24" customHeight="1" x14ac:dyDescent="0.3">
      <c r="B38" s="216"/>
      <c r="C38" s="209" t="s">
        <v>60</v>
      </c>
      <c r="D38" s="209" t="s">
        <v>185</v>
      </c>
      <c r="E38" s="217" t="s">
        <v>200</v>
      </c>
      <c r="F38" s="218">
        <v>1414</v>
      </c>
      <c r="G38" s="215">
        <v>1338</v>
      </c>
      <c r="H38" s="215">
        <v>14000</v>
      </c>
      <c r="I38" s="215">
        <f>IF(SUMIF('Fixture 총 발주수량'!B:B,C38,'Fixture 총 발주수량'!AG:AG)&lt;0,ABS(SUMIF('Fixture 총 발주수량'!B:B,C38,'Fixture 총 발주수량'!AG:AG)),0)</f>
        <v>7994</v>
      </c>
      <c r="J38" s="230">
        <f t="shared" si="2"/>
        <v>0</v>
      </c>
      <c r="K38" s="230">
        <f t="shared" si="3"/>
        <v>-2752</v>
      </c>
      <c r="L38" s="243">
        <f t="shared" si="4"/>
        <v>6.88</v>
      </c>
      <c r="M38" s="219"/>
      <c r="N38" s="220"/>
      <c r="O38" s="220"/>
      <c r="P38" s="220"/>
      <c r="Q38" s="220"/>
      <c r="R38" s="220"/>
      <c r="S38" s="220"/>
      <c r="T38" s="220"/>
      <c r="U38" s="220"/>
      <c r="V38" s="220"/>
      <c r="W38" s="220"/>
      <c r="X38" s="220"/>
      <c r="Y38" s="220"/>
      <c r="Z38" s="220"/>
      <c r="AA38" s="220"/>
      <c r="AB38" s="220"/>
      <c r="AC38" s="220"/>
      <c r="AD38" s="220"/>
      <c r="AE38" s="220"/>
      <c r="AF38" s="220"/>
      <c r="AG38" s="220"/>
      <c r="AH38" s="220"/>
      <c r="AI38" s="220"/>
      <c r="AJ38" s="220"/>
      <c r="AK38" s="220"/>
      <c r="AL38" s="220"/>
      <c r="AM38" s="220"/>
      <c r="AN38" s="220"/>
      <c r="AO38" s="220"/>
      <c r="AP38" s="220"/>
      <c r="AQ38" s="221"/>
    </row>
    <row r="39" spans="2:43" ht="24" customHeight="1" x14ac:dyDescent="0.3">
      <c r="B39" s="216"/>
      <c r="C39" s="209" t="s">
        <v>53</v>
      </c>
      <c r="D39" s="209" t="s">
        <v>185</v>
      </c>
      <c r="E39" s="217" t="s">
        <v>193</v>
      </c>
      <c r="F39" s="218">
        <v>0</v>
      </c>
      <c r="G39" s="215">
        <v>0</v>
      </c>
      <c r="H39" s="215">
        <v>2900</v>
      </c>
      <c r="I39" s="215">
        <f>IF(SUMIF('Fixture 총 발주수량'!B:B,C39,'Fixture 총 발주수량'!AG:AG)&lt;0,ABS(SUMIF('Fixture 총 발주수량'!B:B,C39,'Fixture 총 발주수량'!AG:AG)),0)</f>
        <v>2937</v>
      </c>
      <c r="J39" s="230">
        <f t="shared" si="2"/>
        <v>0</v>
      </c>
      <c r="K39" s="230">
        <f t="shared" si="3"/>
        <v>0</v>
      </c>
      <c r="L39" s="239">
        <f t="shared" si="4"/>
        <v>1E-4</v>
      </c>
      <c r="M39" s="219"/>
      <c r="N39" s="220"/>
      <c r="O39" s="220"/>
      <c r="P39" s="220"/>
      <c r="Q39" s="220"/>
      <c r="R39" s="220"/>
      <c r="S39" s="220"/>
      <c r="T39" s="220"/>
      <c r="U39" s="220"/>
      <c r="V39" s="220"/>
      <c r="W39" s="220"/>
      <c r="X39" s="220"/>
      <c r="Y39" s="220"/>
      <c r="Z39" s="220"/>
      <c r="AA39" s="220"/>
      <c r="AB39" s="220"/>
      <c r="AC39" s="220"/>
      <c r="AD39" s="220"/>
      <c r="AE39" s="220"/>
      <c r="AF39" s="220"/>
      <c r="AG39" s="220"/>
      <c r="AH39" s="220"/>
      <c r="AI39" s="220"/>
      <c r="AJ39" s="220"/>
      <c r="AK39" s="220"/>
      <c r="AL39" s="220"/>
      <c r="AM39" s="220"/>
      <c r="AN39" s="220"/>
      <c r="AO39" s="220"/>
      <c r="AP39" s="220"/>
      <c r="AQ39" s="221"/>
    </row>
    <row r="40" spans="2:43" ht="24" customHeight="1" x14ac:dyDescent="0.3">
      <c r="B40" s="216"/>
      <c r="C40" s="209" t="s">
        <v>54</v>
      </c>
      <c r="D40" s="209" t="s">
        <v>185</v>
      </c>
      <c r="E40" s="217" t="s">
        <v>194</v>
      </c>
      <c r="F40" s="218">
        <v>0</v>
      </c>
      <c r="G40" s="215">
        <v>0</v>
      </c>
      <c r="H40" s="215">
        <v>2416</v>
      </c>
      <c r="I40" s="215">
        <f>IF(SUMIF('Fixture 총 발주수량'!B:B,C40,'Fixture 총 발주수량'!AG:AG)&lt;0,ABS(SUMIF('Fixture 총 발주수량'!B:B,C40,'Fixture 총 발주수량'!AG:AG)),0)</f>
        <v>0</v>
      </c>
      <c r="J40" s="230">
        <f t="shared" si="2"/>
        <v>0</v>
      </c>
      <c r="K40" s="230">
        <f t="shared" si="3"/>
        <v>0</v>
      </c>
      <c r="L40" s="239">
        <f t="shared" si="4"/>
        <v>1E-4</v>
      </c>
      <c r="M40" s="219"/>
      <c r="N40" s="220"/>
      <c r="O40" s="220"/>
      <c r="P40" s="220"/>
      <c r="Q40" s="220"/>
      <c r="R40" s="220"/>
      <c r="S40" s="220"/>
      <c r="T40" s="220"/>
      <c r="U40" s="220"/>
      <c r="V40" s="220"/>
      <c r="W40" s="220"/>
      <c r="X40" s="220"/>
      <c r="Y40" s="220"/>
      <c r="Z40" s="220"/>
      <c r="AA40" s="220"/>
      <c r="AB40" s="220"/>
      <c r="AC40" s="220"/>
      <c r="AD40" s="220"/>
      <c r="AE40" s="220"/>
      <c r="AF40" s="220"/>
      <c r="AG40" s="220"/>
      <c r="AH40" s="220"/>
      <c r="AI40" s="220"/>
      <c r="AJ40" s="220"/>
      <c r="AK40" s="220"/>
      <c r="AL40" s="220"/>
      <c r="AM40" s="220"/>
      <c r="AN40" s="220"/>
      <c r="AO40" s="220"/>
      <c r="AP40" s="220"/>
      <c r="AQ40" s="221"/>
    </row>
    <row r="41" spans="2:43" ht="24" customHeight="1" x14ac:dyDescent="0.3">
      <c r="B41" s="216"/>
      <c r="C41" s="209" t="s">
        <v>57</v>
      </c>
      <c r="D41" s="209" t="s">
        <v>185</v>
      </c>
      <c r="E41" s="217" t="s">
        <v>197</v>
      </c>
      <c r="F41" s="218">
        <v>0</v>
      </c>
      <c r="G41" s="215">
        <v>0</v>
      </c>
      <c r="H41" s="215">
        <v>2158</v>
      </c>
      <c r="I41" s="215">
        <f>IF(SUMIF('Fixture 총 발주수량'!B:B,C41,'Fixture 총 발주수량'!AG:AG)&lt;0,ABS(SUMIF('Fixture 총 발주수량'!B:B,C41,'Fixture 총 발주수량'!AG:AG)),0)</f>
        <v>0</v>
      </c>
      <c r="J41" s="230">
        <f t="shared" si="2"/>
        <v>0</v>
      </c>
      <c r="K41" s="230">
        <f t="shared" si="3"/>
        <v>0</v>
      </c>
      <c r="L41" s="239">
        <f t="shared" si="4"/>
        <v>1E-4</v>
      </c>
      <c r="M41" s="219"/>
      <c r="N41" s="220"/>
      <c r="O41" s="220"/>
      <c r="P41" s="220"/>
      <c r="Q41" s="220"/>
      <c r="R41" s="220"/>
      <c r="S41" s="220"/>
      <c r="T41" s="220"/>
      <c r="U41" s="220"/>
      <c r="V41" s="220"/>
      <c r="W41" s="220"/>
      <c r="X41" s="220"/>
      <c r="Y41" s="220"/>
      <c r="Z41" s="220"/>
      <c r="AA41" s="220"/>
      <c r="AB41" s="220"/>
      <c r="AC41" s="220"/>
      <c r="AD41" s="220"/>
      <c r="AE41" s="220"/>
      <c r="AF41" s="220"/>
      <c r="AG41" s="220"/>
      <c r="AH41" s="220"/>
      <c r="AI41" s="220"/>
      <c r="AJ41" s="220"/>
      <c r="AK41" s="220"/>
      <c r="AL41" s="220"/>
      <c r="AM41" s="220"/>
      <c r="AN41" s="220"/>
      <c r="AO41" s="220"/>
      <c r="AP41" s="220"/>
      <c r="AQ41" s="221"/>
    </row>
    <row r="42" spans="2:43" ht="24" customHeight="1" x14ac:dyDescent="0.3">
      <c r="B42" s="216"/>
      <c r="C42" s="209" t="s">
        <v>50</v>
      </c>
      <c r="D42" s="209" t="s">
        <v>185</v>
      </c>
      <c r="E42" s="217" t="s">
        <v>195</v>
      </c>
      <c r="F42" s="218">
        <v>0</v>
      </c>
      <c r="G42" s="215">
        <v>566</v>
      </c>
      <c r="H42" s="215">
        <v>20000</v>
      </c>
      <c r="I42" s="215">
        <f>IF(SUMIF('Fixture 총 발주수량'!B:B,C42,'Fixture 총 발주수량'!AG:AG)&lt;0,ABS(SUMIF('Fixture 총 발주수량'!B:B,C42,'Fixture 총 발주수량'!AG:AG)),0)</f>
        <v>9781</v>
      </c>
      <c r="J42" s="230">
        <f t="shared" si="2"/>
        <v>0</v>
      </c>
      <c r="K42" s="230">
        <f t="shared" si="3"/>
        <v>-566</v>
      </c>
      <c r="L42" s="243">
        <f t="shared" si="4"/>
        <v>1.415</v>
      </c>
      <c r="M42" s="219"/>
      <c r="N42" s="220"/>
      <c r="O42" s="220"/>
      <c r="P42" s="220"/>
      <c r="Q42" s="220"/>
      <c r="R42" s="220"/>
      <c r="S42" s="220"/>
      <c r="T42" s="220"/>
      <c r="U42" s="220"/>
      <c r="V42" s="220"/>
      <c r="W42" s="220"/>
      <c r="X42" s="220"/>
      <c r="Y42" s="220"/>
      <c r="Z42" s="220"/>
      <c r="AA42" s="220"/>
      <c r="AB42" s="220"/>
      <c r="AC42" s="220"/>
      <c r="AD42" s="220"/>
      <c r="AE42" s="220"/>
      <c r="AF42" s="220"/>
      <c r="AG42" s="220"/>
      <c r="AH42" s="220"/>
      <c r="AI42" s="220"/>
      <c r="AJ42" s="220"/>
      <c r="AK42" s="220"/>
      <c r="AL42" s="220"/>
      <c r="AM42" s="220"/>
      <c r="AN42" s="220"/>
      <c r="AO42" s="220"/>
      <c r="AP42" s="220"/>
      <c r="AQ42" s="221"/>
    </row>
    <row r="43" spans="2:43" ht="24" customHeight="1" x14ac:dyDescent="0.3">
      <c r="B43" s="216"/>
      <c r="C43" s="209" t="s">
        <v>51</v>
      </c>
      <c r="D43" s="209" t="s">
        <v>185</v>
      </c>
      <c r="E43" s="217" t="s">
        <v>196</v>
      </c>
      <c r="F43" s="218">
        <v>0</v>
      </c>
      <c r="G43" s="215">
        <v>1690</v>
      </c>
      <c r="H43" s="215">
        <v>10000</v>
      </c>
      <c r="I43" s="215">
        <f>IF(SUMIF('Fixture 총 발주수량'!B:B,C43,'Fixture 총 발주수량'!AG:AG)&lt;0,ABS(SUMIF('Fixture 총 발주수량'!B:B,C43,'Fixture 총 발주수량'!AG:AG)),0)</f>
        <v>6146</v>
      </c>
      <c r="J43" s="230">
        <f t="shared" si="2"/>
        <v>0</v>
      </c>
      <c r="K43" s="230">
        <f t="shared" si="3"/>
        <v>-1690</v>
      </c>
      <c r="L43" s="243">
        <f t="shared" si="4"/>
        <v>4.2249999999999996</v>
      </c>
      <c r="M43" s="219"/>
      <c r="N43" s="220"/>
      <c r="O43" s="220"/>
      <c r="P43" s="220"/>
      <c r="Q43" s="220"/>
      <c r="R43" s="220"/>
      <c r="S43" s="220"/>
      <c r="T43" s="220"/>
      <c r="U43" s="220"/>
      <c r="V43" s="220"/>
      <c r="W43" s="220"/>
      <c r="X43" s="220"/>
      <c r="Y43" s="220"/>
      <c r="Z43" s="220"/>
      <c r="AA43" s="220"/>
      <c r="AB43" s="220"/>
      <c r="AC43" s="220"/>
      <c r="AD43" s="220"/>
      <c r="AE43" s="220"/>
      <c r="AF43" s="220"/>
      <c r="AG43" s="220"/>
      <c r="AH43" s="220"/>
      <c r="AI43" s="220"/>
      <c r="AJ43" s="220"/>
      <c r="AK43" s="220"/>
      <c r="AL43" s="220"/>
      <c r="AM43" s="220"/>
      <c r="AN43" s="220"/>
      <c r="AO43" s="220"/>
      <c r="AP43" s="220"/>
      <c r="AQ43" s="221"/>
    </row>
    <row r="44" spans="2:43" ht="24" customHeight="1" x14ac:dyDescent="0.3">
      <c r="B44" s="216"/>
      <c r="C44" s="209" t="s">
        <v>52</v>
      </c>
      <c r="D44" s="209" t="s">
        <v>185</v>
      </c>
      <c r="E44" s="217" t="s">
        <v>197</v>
      </c>
      <c r="F44" s="218">
        <v>0</v>
      </c>
      <c r="G44" s="215">
        <v>0</v>
      </c>
      <c r="H44" s="215">
        <v>435</v>
      </c>
      <c r="I44" s="215">
        <f>IF(SUMIF('Fixture 총 발주수량'!B:B,C44,'Fixture 총 발주수량'!AG:AG)&lt;0,ABS(SUMIF('Fixture 총 발주수량'!B:B,C44,'Fixture 총 발주수량'!AG:AG)),0)</f>
        <v>1440</v>
      </c>
      <c r="J44" s="230">
        <f t="shared" si="2"/>
        <v>0</v>
      </c>
      <c r="K44" s="230">
        <f t="shared" si="3"/>
        <v>0</v>
      </c>
      <c r="L44" s="239">
        <f t="shared" si="4"/>
        <v>1E-4</v>
      </c>
      <c r="M44" s="219"/>
      <c r="N44" s="220"/>
      <c r="O44" s="220"/>
      <c r="P44" s="220"/>
      <c r="Q44" s="220"/>
      <c r="R44" s="220"/>
      <c r="S44" s="220"/>
      <c r="T44" s="220"/>
      <c r="U44" s="220"/>
      <c r="V44" s="220"/>
      <c r="W44" s="220"/>
      <c r="X44" s="220"/>
      <c r="Y44" s="220"/>
      <c r="Z44" s="220"/>
      <c r="AA44" s="220"/>
      <c r="AB44" s="220"/>
      <c r="AC44" s="220"/>
      <c r="AD44" s="220"/>
      <c r="AE44" s="220"/>
      <c r="AF44" s="220"/>
      <c r="AG44" s="220"/>
      <c r="AH44" s="220"/>
      <c r="AI44" s="220"/>
      <c r="AJ44" s="220"/>
      <c r="AK44" s="220"/>
      <c r="AL44" s="220"/>
      <c r="AM44" s="220"/>
      <c r="AN44" s="220"/>
      <c r="AO44" s="220"/>
      <c r="AP44" s="220"/>
      <c r="AQ44" s="221"/>
    </row>
    <row r="45" spans="2:43" ht="24" customHeight="1" x14ac:dyDescent="0.3">
      <c r="B45" s="231"/>
      <c r="C45" s="232" t="s">
        <v>63</v>
      </c>
      <c r="D45" s="232" t="s">
        <v>185</v>
      </c>
      <c r="E45" s="233" t="s">
        <v>203</v>
      </c>
      <c r="F45" s="239">
        <v>0</v>
      </c>
      <c r="G45" s="234">
        <v>175</v>
      </c>
      <c r="H45" s="234">
        <v>66</v>
      </c>
      <c r="I45" s="234">
        <f>IF(SUMIF('Fixture 총 발주수량'!B:B,C45,'Fixture 총 발주수량'!AG:AG)&lt;0,ABS(SUMIF('Fixture 총 발주수량'!B:B,C45,'Fixture 총 발주수량'!AG:AG)),0)</f>
        <v>69</v>
      </c>
      <c r="J45" s="239">
        <f t="shared" si="2"/>
        <v>0</v>
      </c>
      <c r="K45" s="239">
        <f t="shared" si="3"/>
        <v>-175</v>
      </c>
      <c r="L45" s="243">
        <f t="shared" si="4"/>
        <v>0.4375</v>
      </c>
      <c r="M45" s="235"/>
      <c r="N45" s="236"/>
      <c r="O45" s="236"/>
      <c r="P45" s="236"/>
      <c r="Q45" s="236"/>
      <c r="R45" s="236"/>
      <c r="S45" s="236"/>
      <c r="T45" s="236"/>
      <c r="U45" s="236"/>
      <c r="V45" s="236"/>
      <c r="W45" s="236"/>
      <c r="X45" s="236"/>
      <c r="Y45" s="236"/>
      <c r="Z45" s="236"/>
      <c r="AA45" s="236"/>
      <c r="AB45" s="236"/>
      <c r="AC45" s="236"/>
      <c r="AD45" s="236"/>
      <c r="AE45" s="236"/>
      <c r="AF45" s="236"/>
      <c r="AG45" s="236"/>
      <c r="AH45" s="236"/>
      <c r="AI45" s="236"/>
      <c r="AJ45" s="236"/>
      <c r="AK45" s="236"/>
      <c r="AL45" s="236"/>
      <c r="AM45" s="236"/>
      <c r="AN45" s="236"/>
      <c r="AO45" s="236"/>
      <c r="AP45" s="236"/>
      <c r="AQ45" s="237"/>
    </row>
  </sheetData>
  <autoFilter ref="A4:AQ45" xr:uid="{BD8C7EFF-2230-4F58-BBD1-10594B39FD2B}">
    <sortState xmlns:xlrd2="http://schemas.microsoft.com/office/spreadsheetml/2017/richdata2" ref="A5:AQ45">
      <sortCondition ref="B4:B45"/>
    </sortState>
  </autoFilter>
  <phoneticPr fontId="2" type="noConversion"/>
  <conditionalFormatting sqref="C1:C1048576">
    <cfRule type="duplicateValues" dxfId="96" priority="1"/>
  </conditionalFormatting>
  <conditionalFormatting sqref="K5:L45">
    <cfRule type="cellIs" dxfId="95" priority="2" operator="lessThan">
      <formula>0</formula>
    </cfRule>
  </conditionalFormatting>
  <conditionalFormatting sqref="M4:AQ4">
    <cfRule type="expression" dxfId="94" priority="5">
      <formula>WEEKDAY(M4)=7</formula>
    </cfRule>
    <cfRule type="expression" dxfId="93" priority="6">
      <formula>WEEKDAY(M4)=1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8C2C-F1E2-481F-A59A-E38FD46C0631}">
  <sheetPr>
    <pageSetUpPr fitToPage="1"/>
  </sheetPr>
  <dimension ref="B1:AW88"/>
  <sheetViews>
    <sheetView showGridLines="0" tabSelected="1" zoomScale="55" zoomScaleNormal="55" zoomScalePageLayoutView="40" workbookViewId="0">
      <pane ySplit="4" topLeftCell="A5" activePane="bottomLeft" state="frozen"/>
      <selection pane="bottomLeft" activeCell="F3" sqref="F3"/>
    </sheetView>
  </sheetViews>
  <sheetFormatPr defaultRowHeight="17.25" x14ac:dyDescent="0.3"/>
  <cols>
    <col min="1" max="1" width="1.625" style="291" customWidth="1"/>
    <col min="2" max="2" width="14" style="291" bestFit="1" customWidth="1"/>
    <col min="3" max="3" width="17" style="291" bestFit="1" customWidth="1"/>
    <col min="4" max="4" width="19.625" style="291" customWidth="1"/>
    <col min="5" max="5" width="19.625" style="291" bestFit="1" customWidth="1"/>
    <col min="6" max="6" width="17.125" style="291" customWidth="1"/>
    <col min="7" max="7" width="13.125" style="291" bestFit="1" customWidth="1"/>
    <col min="8" max="9" width="13" style="291" customWidth="1"/>
    <col min="10" max="10" width="9.125" style="291" hidden="1" customWidth="1"/>
    <col min="11" max="11" width="11" style="291" customWidth="1"/>
    <col min="12" max="13" width="9" style="291" hidden="1" customWidth="1"/>
    <col min="14" max="14" width="10.625" style="291" hidden="1" customWidth="1"/>
    <col min="15" max="16" width="10" style="291" hidden="1" customWidth="1"/>
    <col min="17" max="17" width="9.625" style="291" hidden="1" customWidth="1"/>
    <col min="18" max="18" width="12.75" style="291" customWidth="1"/>
    <col min="19" max="49" width="9.625" style="291" customWidth="1"/>
    <col min="50" max="16384" width="9" style="291"/>
  </cols>
  <sheetData>
    <row r="1" spans="2:49" ht="11.25" customHeight="1" x14ac:dyDescent="0.3">
      <c r="K1" s="291" t="s">
        <v>317</v>
      </c>
    </row>
    <row r="2" spans="2:49" ht="29.25" customHeight="1" x14ac:dyDescent="0.3">
      <c r="B2" s="293" t="s">
        <v>178</v>
      </c>
      <c r="C2" s="294">
        <v>46143</v>
      </c>
      <c r="D2" s="295" t="s">
        <v>179</v>
      </c>
      <c r="E2" s="296">
        <v>46169</v>
      </c>
      <c r="F2" s="297">
        <v>0.60972222222222228</v>
      </c>
      <c r="G2" s="298"/>
      <c r="H2" s="298"/>
      <c r="I2" s="298"/>
    </row>
    <row r="3" spans="2:49" ht="28.5" customHeight="1" x14ac:dyDescent="0.3">
      <c r="B3" s="299" t="s">
        <v>260</v>
      </c>
      <c r="C3" s="299"/>
      <c r="D3" s="299"/>
      <c r="E3" s="299"/>
      <c r="F3" s="299"/>
      <c r="G3" s="299"/>
      <c r="H3" s="299"/>
      <c r="I3" s="299"/>
      <c r="J3" s="299"/>
      <c r="K3" s="299"/>
      <c r="L3" s="299"/>
      <c r="M3" s="299"/>
      <c r="N3" s="299"/>
      <c r="O3" s="299"/>
      <c r="P3" s="299"/>
      <c r="Q3" s="299"/>
      <c r="R3" s="299"/>
      <c r="S3" s="330">
        <f>C2</f>
        <v>46143</v>
      </c>
      <c r="T3" s="300">
        <f t="shared" ref="T3:AW3" si="0">S3+1</f>
        <v>46144</v>
      </c>
      <c r="U3" s="300">
        <f t="shared" si="0"/>
        <v>46145</v>
      </c>
      <c r="V3" s="300">
        <f t="shared" si="0"/>
        <v>46146</v>
      </c>
      <c r="W3" s="300">
        <f t="shared" si="0"/>
        <v>46147</v>
      </c>
      <c r="X3" s="300">
        <f t="shared" si="0"/>
        <v>46148</v>
      </c>
      <c r="Y3" s="300">
        <f t="shared" si="0"/>
        <v>46149</v>
      </c>
      <c r="Z3" s="300">
        <f t="shared" si="0"/>
        <v>46150</v>
      </c>
      <c r="AA3" s="300">
        <f t="shared" si="0"/>
        <v>46151</v>
      </c>
      <c r="AB3" s="300">
        <f t="shared" si="0"/>
        <v>46152</v>
      </c>
      <c r="AC3" s="300">
        <f t="shared" si="0"/>
        <v>46153</v>
      </c>
      <c r="AD3" s="300">
        <f t="shared" si="0"/>
        <v>46154</v>
      </c>
      <c r="AE3" s="300">
        <f t="shared" si="0"/>
        <v>46155</v>
      </c>
      <c r="AF3" s="300">
        <f t="shared" si="0"/>
        <v>46156</v>
      </c>
      <c r="AG3" s="300">
        <f t="shared" si="0"/>
        <v>46157</v>
      </c>
      <c r="AH3" s="300">
        <f t="shared" si="0"/>
        <v>46158</v>
      </c>
      <c r="AI3" s="300">
        <f t="shared" si="0"/>
        <v>46159</v>
      </c>
      <c r="AJ3" s="300">
        <f t="shared" si="0"/>
        <v>46160</v>
      </c>
      <c r="AK3" s="300">
        <f t="shared" si="0"/>
        <v>46161</v>
      </c>
      <c r="AL3" s="300">
        <f t="shared" si="0"/>
        <v>46162</v>
      </c>
      <c r="AM3" s="300">
        <f t="shared" si="0"/>
        <v>46163</v>
      </c>
      <c r="AN3" s="300">
        <f t="shared" si="0"/>
        <v>46164</v>
      </c>
      <c r="AO3" s="300">
        <f t="shared" si="0"/>
        <v>46165</v>
      </c>
      <c r="AP3" s="300">
        <f t="shared" si="0"/>
        <v>46166</v>
      </c>
      <c r="AQ3" s="300">
        <f t="shared" si="0"/>
        <v>46167</v>
      </c>
      <c r="AR3" s="300">
        <f t="shared" si="0"/>
        <v>46168</v>
      </c>
      <c r="AS3" s="300">
        <f t="shared" si="0"/>
        <v>46169</v>
      </c>
      <c r="AT3" s="300">
        <f t="shared" si="0"/>
        <v>46170</v>
      </c>
      <c r="AU3" s="300">
        <f t="shared" si="0"/>
        <v>46171</v>
      </c>
      <c r="AV3" s="300">
        <f t="shared" si="0"/>
        <v>46172</v>
      </c>
      <c r="AW3" s="300">
        <f t="shared" si="0"/>
        <v>46173</v>
      </c>
    </row>
    <row r="4" spans="2:49" s="317" customFormat="1" ht="20.25" customHeight="1" x14ac:dyDescent="0.3">
      <c r="B4" s="301" t="s">
        <v>173</v>
      </c>
      <c r="C4" s="301" t="s">
        <v>181</v>
      </c>
      <c r="D4" s="301" t="s">
        <v>182</v>
      </c>
      <c r="E4" s="302" t="s">
        <v>261</v>
      </c>
      <c r="F4" s="301" t="s">
        <v>269</v>
      </c>
      <c r="G4" s="301" t="s">
        <v>259</v>
      </c>
      <c r="H4" s="301" t="s">
        <v>267</v>
      </c>
      <c r="I4" s="301" t="s">
        <v>318</v>
      </c>
      <c r="J4" s="301" t="s">
        <v>366</v>
      </c>
      <c r="K4" s="301" t="s">
        <v>257</v>
      </c>
      <c r="L4" s="301" t="s">
        <v>256</v>
      </c>
      <c r="M4" s="301" t="s">
        <v>255</v>
      </c>
      <c r="N4" s="301" t="s">
        <v>254</v>
      </c>
      <c r="O4" s="301" t="s">
        <v>253</v>
      </c>
      <c r="P4" s="301" t="s">
        <v>252</v>
      </c>
      <c r="Q4" s="301" t="s">
        <v>251</v>
      </c>
      <c r="R4" s="301" t="s">
        <v>268</v>
      </c>
      <c r="S4" s="303">
        <f t="shared" ref="S4:AW4" si="1">S3</f>
        <v>46143</v>
      </c>
      <c r="T4" s="304">
        <f t="shared" si="1"/>
        <v>46144</v>
      </c>
      <c r="U4" s="304">
        <f t="shared" si="1"/>
        <v>46145</v>
      </c>
      <c r="V4" s="304">
        <f t="shared" si="1"/>
        <v>46146</v>
      </c>
      <c r="W4" s="304">
        <f t="shared" si="1"/>
        <v>46147</v>
      </c>
      <c r="X4" s="304">
        <f t="shared" si="1"/>
        <v>46148</v>
      </c>
      <c r="Y4" s="304">
        <f t="shared" si="1"/>
        <v>46149</v>
      </c>
      <c r="Z4" s="304">
        <f t="shared" si="1"/>
        <v>46150</v>
      </c>
      <c r="AA4" s="304">
        <f t="shared" si="1"/>
        <v>46151</v>
      </c>
      <c r="AB4" s="304">
        <f t="shared" si="1"/>
        <v>46152</v>
      </c>
      <c r="AC4" s="304">
        <f t="shared" si="1"/>
        <v>46153</v>
      </c>
      <c r="AD4" s="304">
        <f t="shared" si="1"/>
        <v>46154</v>
      </c>
      <c r="AE4" s="304">
        <f t="shared" si="1"/>
        <v>46155</v>
      </c>
      <c r="AF4" s="304">
        <f t="shared" si="1"/>
        <v>46156</v>
      </c>
      <c r="AG4" s="304">
        <f t="shared" si="1"/>
        <v>46157</v>
      </c>
      <c r="AH4" s="304">
        <f t="shared" si="1"/>
        <v>46158</v>
      </c>
      <c r="AI4" s="304">
        <f t="shared" si="1"/>
        <v>46159</v>
      </c>
      <c r="AJ4" s="304">
        <f t="shared" si="1"/>
        <v>46160</v>
      </c>
      <c r="AK4" s="304">
        <f t="shared" si="1"/>
        <v>46161</v>
      </c>
      <c r="AL4" s="304">
        <f t="shared" si="1"/>
        <v>46162</v>
      </c>
      <c r="AM4" s="304">
        <f t="shared" si="1"/>
        <v>46163</v>
      </c>
      <c r="AN4" s="304">
        <f t="shared" si="1"/>
        <v>46164</v>
      </c>
      <c r="AO4" s="304">
        <f t="shared" si="1"/>
        <v>46165</v>
      </c>
      <c r="AP4" s="304">
        <f t="shared" si="1"/>
        <v>46166</v>
      </c>
      <c r="AQ4" s="304">
        <f t="shared" si="1"/>
        <v>46167</v>
      </c>
      <c r="AR4" s="304">
        <f t="shared" si="1"/>
        <v>46168</v>
      </c>
      <c r="AS4" s="304">
        <f t="shared" si="1"/>
        <v>46169</v>
      </c>
      <c r="AT4" s="304">
        <f t="shared" si="1"/>
        <v>46170</v>
      </c>
      <c r="AU4" s="304">
        <f t="shared" si="1"/>
        <v>46171</v>
      </c>
      <c r="AV4" s="304">
        <f t="shared" si="1"/>
        <v>46172</v>
      </c>
      <c r="AW4" s="304">
        <f t="shared" si="1"/>
        <v>46173</v>
      </c>
    </row>
    <row r="5" spans="2:49" ht="32.1" customHeight="1" x14ac:dyDescent="0.3">
      <c r="B5" s="444" t="s">
        <v>33</v>
      </c>
      <c r="C5" s="444" t="s">
        <v>319</v>
      </c>
      <c r="D5" s="444" t="s">
        <v>250</v>
      </c>
      <c r="E5" s="438">
        <f>ABS(SUMIFS('Fixture 총 발주수량'!AH:AH,'Fixture 총 발주수량'!B:B,생산계획!B5,'Fixture 총 발주수량'!AH:AH,"&lt;0"))</f>
        <v>596</v>
      </c>
      <c r="F5" s="431">
        <f>G5-E5</f>
        <v>304</v>
      </c>
      <c r="G5" s="437">
        <f>SUMIF(S5:AW5, "&gt;0")</f>
        <v>900</v>
      </c>
      <c r="H5" s="437">
        <f>SUMIF(S6:AW6, "&gt;0")</f>
        <v>0</v>
      </c>
      <c r="I5" s="442">
        <f>IFERROR(H5/G5,)</f>
        <v>0</v>
      </c>
      <c r="J5" s="438">
        <f>ROUNDUP(E5/300,)</f>
        <v>2</v>
      </c>
      <c r="K5" s="444" t="s">
        <v>249</v>
      </c>
      <c r="L5" s="438">
        <f>N5</f>
        <v>2</v>
      </c>
      <c r="M5" s="438">
        <f>L5+J5</f>
        <v>4</v>
      </c>
      <c r="N5" s="438">
        <f>J5</f>
        <v>2</v>
      </c>
      <c r="O5" s="440">
        <v>0</v>
      </c>
      <c r="P5" s="440">
        <v>0</v>
      </c>
      <c r="Q5" s="440">
        <v>0</v>
      </c>
      <c r="R5" s="306" t="s">
        <v>265</v>
      </c>
      <c r="S5" s="307"/>
      <c r="T5" s="308"/>
      <c r="U5" s="308"/>
      <c r="V5" s="308"/>
      <c r="W5" s="308"/>
      <c r="X5" s="308"/>
      <c r="Y5" s="308"/>
      <c r="Z5" s="308"/>
      <c r="AA5" s="308"/>
      <c r="AB5" s="308"/>
      <c r="AC5" s="308"/>
      <c r="AD5" s="308"/>
      <c r="AE5" s="308"/>
      <c r="AF5" s="308"/>
      <c r="AG5" s="308"/>
      <c r="AH5" s="308"/>
      <c r="AI5" s="308"/>
      <c r="AJ5" s="308"/>
      <c r="AK5" s="308"/>
      <c r="AL5" s="308"/>
      <c r="AM5" s="308"/>
      <c r="AN5" s="308"/>
      <c r="AO5" s="308"/>
      <c r="AP5" s="308"/>
      <c r="AQ5" s="308">
        <v>300</v>
      </c>
      <c r="AR5" s="308">
        <v>300</v>
      </c>
      <c r="AS5" s="308">
        <v>300</v>
      </c>
      <c r="AT5" s="308"/>
      <c r="AU5" s="308"/>
      <c r="AV5" s="308"/>
      <c r="AW5" s="309"/>
    </row>
    <row r="6" spans="2:49" ht="32.1" customHeight="1" x14ac:dyDescent="0.3">
      <c r="B6" s="445"/>
      <c r="C6" s="445"/>
      <c r="D6" s="445"/>
      <c r="E6" s="439"/>
      <c r="F6" s="432"/>
      <c r="G6" s="436"/>
      <c r="H6" s="436"/>
      <c r="I6" s="443"/>
      <c r="J6" s="439"/>
      <c r="K6" s="445"/>
      <c r="L6" s="439"/>
      <c r="M6" s="439"/>
      <c r="N6" s="439"/>
      <c r="O6" s="441"/>
      <c r="P6" s="441"/>
      <c r="Q6" s="441"/>
      <c r="R6" s="306" t="s">
        <v>267</v>
      </c>
      <c r="S6" s="310">
        <f>INDEX('생산수량Back-Data'!$B$5:$AAA$10041,
       MATCH($B5,'생산수량Back-Data'!$B$5:$B$10041,0),
       MATCH(S$3,'생산수량Back-Data'!$B$3:$AAA$3,0))</f>
        <v>0</v>
      </c>
      <c r="T6" s="310">
        <f>INDEX('생산수량Back-Data'!$B$5:$AAA$10041,
       MATCH($B5,'생산수량Back-Data'!$B$5:$B$10041,0),
       MATCH(T$3,'생산수량Back-Data'!$B$3:$AAA$3,0))</f>
        <v>0</v>
      </c>
      <c r="U6" s="310">
        <f>INDEX('생산수량Back-Data'!$B$5:$AAA$10041,
       MATCH($B5,'생산수량Back-Data'!$B$5:$B$10041,0),
       MATCH(U$3,'생산수량Back-Data'!$B$3:$AAA$3,0))</f>
        <v>0</v>
      </c>
      <c r="V6" s="310">
        <f>INDEX('생산수량Back-Data'!$B$5:$AAA$10041,
       MATCH($B5,'생산수량Back-Data'!$B$5:$B$10041,0),
       MATCH(V$3,'생산수량Back-Data'!$B$3:$AAA$3,0))</f>
        <v>0</v>
      </c>
      <c r="W6" s="310">
        <f>INDEX('생산수량Back-Data'!$B$5:$AAA$10041,
       MATCH($B5,'생산수량Back-Data'!$B$5:$B$10041,0),
       MATCH(W$3,'생산수량Back-Data'!$B$3:$AAA$3,0))</f>
        <v>0</v>
      </c>
      <c r="X6" s="310">
        <f>INDEX('생산수량Back-Data'!$B$5:$AAA$10041,
       MATCH($B5,'생산수량Back-Data'!$B$5:$B$10041,0),
       MATCH(X$3,'생산수량Back-Data'!$B$3:$AAA$3,0))</f>
        <v>0</v>
      </c>
      <c r="Y6" s="310">
        <f>INDEX('생산수량Back-Data'!$B$5:$AAA$10041,
       MATCH($B5,'생산수량Back-Data'!$B$5:$B$10041,0),
       MATCH(Y$3,'생산수량Back-Data'!$B$3:$AAA$3,0))</f>
        <v>0</v>
      </c>
      <c r="Z6" s="310">
        <f>INDEX('생산수량Back-Data'!$B$5:$AAA$10041,
       MATCH($B5,'생산수량Back-Data'!$B$5:$B$10041,0),
       MATCH(Z$3,'생산수량Back-Data'!$B$3:$AAA$3,0))</f>
        <v>0</v>
      </c>
      <c r="AA6" s="310">
        <f>INDEX('생산수량Back-Data'!$B$5:$AAA$10041,
       MATCH($B5,'생산수량Back-Data'!$B$5:$B$10041,0),
       MATCH(AA$3,'생산수량Back-Data'!$B$3:$AAA$3,0))</f>
        <v>0</v>
      </c>
      <c r="AB6" s="310">
        <f>INDEX('생산수량Back-Data'!$B$5:$AAA$10041,
       MATCH($B5,'생산수량Back-Data'!$B$5:$B$10041,0),
       MATCH(AB$3,'생산수량Back-Data'!$B$3:$AAA$3,0))</f>
        <v>0</v>
      </c>
      <c r="AC6" s="310">
        <f>INDEX('생산수량Back-Data'!$B$5:$AAA$10041,
       MATCH($B5,'생산수량Back-Data'!$B$5:$B$10041,0),
       MATCH(AC$3,'생산수량Back-Data'!$B$3:$AAA$3,0))</f>
        <v>0</v>
      </c>
      <c r="AD6" s="310">
        <f>INDEX('생산수량Back-Data'!$B$5:$AAA$10041,
       MATCH($B5,'생산수량Back-Data'!$B$5:$B$10041,0),
       MATCH(AD$3,'생산수량Back-Data'!$B$3:$AAA$3,0))</f>
        <v>0</v>
      </c>
      <c r="AE6" s="310">
        <f>INDEX('생산수량Back-Data'!$B$5:$AAA$10041,
       MATCH($B5,'생산수량Back-Data'!$B$5:$B$10041,0),
       MATCH(AE$3,'생산수량Back-Data'!$B$3:$AAA$3,0))</f>
        <v>0</v>
      </c>
      <c r="AF6" s="310">
        <f>INDEX('생산수량Back-Data'!$B$5:$AAA$10041,
       MATCH($B5,'생산수량Back-Data'!$B$5:$B$10041,0),
       MATCH(AF$3,'생산수량Back-Data'!$B$3:$AAA$3,0))</f>
        <v>0</v>
      </c>
      <c r="AG6" s="310">
        <f>INDEX('생산수량Back-Data'!$B$5:$AAA$10041,
       MATCH($B5,'생산수량Back-Data'!$B$5:$B$10041,0),
       MATCH(AG$3,'생산수량Back-Data'!$B$3:$AAA$3,0))</f>
        <v>0</v>
      </c>
      <c r="AH6" s="310">
        <f>INDEX('생산수량Back-Data'!$B$5:$AAA$10041,
       MATCH($B5,'생산수량Back-Data'!$B$5:$B$10041,0),
       MATCH(AH$3,'생산수량Back-Data'!$B$3:$AAA$3,0))</f>
        <v>0</v>
      </c>
      <c r="AI6" s="310">
        <f>INDEX('생산수량Back-Data'!$B$5:$AAA$10041,
       MATCH($B5,'생산수량Back-Data'!$B$5:$B$10041,0),
       MATCH(AI$3,'생산수량Back-Data'!$B$3:$AAA$3,0))</f>
        <v>0</v>
      </c>
      <c r="AJ6" s="310">
        <f>INDEX('생산수량Back-Data'!$B$5:$AAA$10041,
       MATCH($B5,'생산수량Back-Data'!$B$5:$B$10041,0),
       MATCH(AJ$3,'생산수량Back-Data'!$B$3:$AAA$3,0))</f>
        <v>0</v>
      </c>
      <c r="AK6" s="310">
        <f>INDEX('생산수량Back-Data'!$B$5:$AAA$10041,
       MATCH($B5,'생산수량Back-Data'!$B$5:$B$10041,0),
       MATCH(AK$3,'생산수량Back-Data'!$B$3:$AAA$3,0))</f>
        <v>0</v>
      </c>
      <c r="AL6" s="310">
        <f>INDEX('생산수량Back-Data'!$B$5:$AAA$10041,
       MATCH($B5,'생산수량Back-Data'!$B$5:$B$10041,0),
       MATCH(AL$3,'생산수량Back-Data'!$B$3:$AAA$3,0))</f>
        <v>0</v>
      </c>
      <c r="AM6" s="310">
        <f>INDEX('생산수량Back-Data'!$B$5:$AAA$10041,
       MATCH($B5,'생산수량Back-Data'!$B$5:$B$10041,0),
       MATCH(AM$3,'생산수량Back-Data'!$B$3:$AAA$3,0))</f>
        <v>0</v>
      </c>
      <c r="AN6" s="310">
        <f>INDEX('생산수량Back-Data'!$B$5:$AAA$10041,
       MATCH($B5,'생산수량Back-Data'!$B$5:$B$10041,0),
       MATCH(AN$3,'생산수량Back-Data'!$B$3:$AAA$3,0))</f>
        <v>0</v>
      </c>
      <c r="AO6" s="310">
        <f>INDEX('생산수량Back-Data'!$B$5:$AAA$10041,
       MATCH($B5,'생산수량Back-Data'!$B$5:$B$10041,0),
       MATCH(AO$3,'생산수량Back-Data'!$B$3:$AAA$3,0))</f>
        <v>0</v>
      </c>
      <c r="AP6" s="310">
        <f>INDEX('생산수량Back-Data'!$B$5:$AAA$10041,
       MATCH($B5,'생산수량Back-Data'!$B$5:$B$10041,0),
       MATCH(AP$3,'생산수량Back-Data'!$B$3:$AAA$3,0))</f>
        <v>0</v>
      </c>
      <c r="AQ6" s="310">
        <f>INDEX('생산수량Back-Data'!$B$5:$AAA$10041,
       MATCH($B5,'생산수량Back-Data'!$B$5:$B$10041,0),
       MATCH(AQ$3,'생산수량Back-Data'!$B$3:$AAA$3,0))</f>
        <v>0</v>
      </c>
      <c r="AR6" s="310">
        <f>INDEX('생산수량Back-Data'!$B$5:$AAA$10041,
       MATCH($B5,'생산수량Back-Data'!$B$5:$B$10041,0),
       MATCH(AR$3,'생산수량Back-Data'!$B$3:$AAA$3,0))</f>
        <v>0</v>
      </c>
      <c r="AS6" s="310">
        <f>INDEX('생산수량Back-Data'!$B$5:$AAA$10041,
       MATCH($B5,'생산수량Back-Data'!$B$5:$B$10041,0),
       MATCH(AS$3,'생산수량Back-Data'!$B$3:$AAA$3,0))</f>
        <v>0</v>
      </c>
      <c r="AT6" s="310">
        <f>INDEX('생산수량Back-Data'!$B$5:$AAA$10041,
       MATCH($B5,'생산수량Back-Data'!$B$5:$B$10041,0),
       MATCH(AT$3,'생산수량Back-Data'!$B$3:$AAA$3,0))</f>
        <v>0</v>
      </c>
      <c r="AU6" s="310">
        <f>INDEX('생산수량Back-Data'!$B$5:$AAA$10041,
       MATCH($B5,'생산수량Back-Data'!$B$5:$B$10041,0),
       MATCH(AU$3,'생산수량Back-Data'!$B$3:$AAA$3,0))</f>
        <v>0</v>
      </c>
      <c r="AV6" s="310">
        <f>INDEX('생산수량Back-Data'!$B$5:$AAA$10041,
       MATCH($B5,'생산수량Back-Data'!$B$5:$B$10041,0),
       MATCH(AV$3,'생산수량Back-Data'!$B$3:$AAA$3,0))</f>
        <v>0</v>
      </c>
      <c r="AW6" s="310">
        <f>INDEX('생산수량Back-Data'!$B$5:$AAA$10041,
       MATCH($B5,'생산수량Back-Data'!$B$5:$B$10041,0),
       MATCH(AW$3,'생산수량Back-Data'!$B$3:$AAA$3,0))</f>
        <v>0</v>
      </c>
    </row>
    <row r="7" spans="2:49" ht="32.1" customHeight="1" x14ac:dyDescent="0.3">
      <c r="B7" s="444" t="s">
        <v>35</v>
      </c>
      <c r="C7" s="444" t="s">
        <v>185</v>
      </c>
      <c r="D7" s="444" t="s">
        <v>186</v>
      </c>
      <c r="E7" s="438">
        <f>ABS(SUMIFS('Fixture 총 발주수량'!AH:AH,'Fixture 총 발주수량'!B:B,생산계획!B7,'Fixture 총 발주수량'!AH:AH,"&lt;0"))</f>
        <v>253</v>
      </c>
      <c r="F7" s="431">
        <f>G7-E7</f>
        <v>2747</v>
      </c>
      <c r="G7" s="437">
        <f>SUMIF(S7:AW7, "&gt;0")</f>
        <v>3000</v>
      </c>
      <c r="H7" s="437">
        <f>SUMIF(S8:AW8, "&gt;0")</f>
        <v>2900</v>
      </c>
      <c r="I7" s="442">
        <f>IFERROR(H7/G7,)</f>
        <v>0.96666666666666667</v>
      </c>
      <c r="J7" s="438">
        <f>ROUNDUP(E7/300,)</f>
        <v>1</v>
      </c>
      <c r="K7" s="444" t="s">
        <v>249</v>
      </c>
      <c r="L7" s="438">
        <f>L5+J7</f>
        <v>3</v>
      </c>
      <c r="M7" s="438">
        <f>L7+J7</f>
        <v>4</v>
      </c>
      <c r="N7" s="438">
        <f>N5+J7</f>
        <v>3</v>
      </c>
      <c r="O7" s="440">
        <v>0</v>
      </c>
      <c r="P7" s="440">
        <v>0</v>
      </c>
      <c r="Q7" s="440">
        <v>0</v>
      </c>
      <c r="R7" s="306" t="s">
        <v>264</v>
      </c>
      <c r="S7" s="311"/>
      <c r="T7" s="312"/>
      <c r="U7" s="312"/>
      <c r="V7" s="312"/>
      <c r="W7" s="312"/>
      <c r="X7" s="312"/>
      <c r="Y7" s="312"/>
      <c r="Z7" s="312"/>
      <c r="AA7" s="312">
        <v>300</v>
      </c>
      <c r="AB7" s="312">
        <v>300</v>
      </c>
      <c r="AC7" s="312">
        <v>300</v>
      </c>
      <c r="AD7" s="312">
        <v>300</v>
      </c>
      <c r="AE7" s="312">
        <v>300</v>
      </c>
      <c r="AF7" s="312">
        <v>300</v>
      </c>
      <c r="AG7" s="312">
        <v>300</v>
      </c>
      <c r="AH7" s="312">
        <v>300</v>
      </c>
      <c r="AI7" s="312">
        <v>300</v>
      </c>
      <c r="AJ7" s="312">
        <v>300</v>
      </c>
      <c r="AK7" s="312"/>
      <c r="AL7" s="312"/>
      <c r="AM7" s="312"/>
      <c r="AN7" s="312"/>
      <c r="AO7" s="312"/>
      <c r="AP7" s="312"/>
      <c r="AQ7" s="312"/>
      <c r="AR7" s="312"/>
      <c r="AS7" s="312"/>
      <c r="AT7" s="312"/>
      <c r="AU7" s="312"/>
      <c r="AV7" s="312"/>
      <c r="AW7" s="313"/>
    </row>
    <row r="8" spans="2:49" ht="32.1" customHeight="1" x14ac:dyDescent="0.3">
      <c r="B8" s="445"/>
      <c r="C8" s="445"/>
      <c r="D8" s="445"/>
      <c r="E8" s="439"/>
      <c r="F8" s="432"/>
      <c r="G8" s="436"/>
      <c r="H8" s="436"/>
      <c r="I8" s="443"/>
      <c r="J8" s="439"/>
      <c r="K8" s="445"/>
      <c r="L8" s="439"/>
      <c r="M8" s="439"/>
      <c r="N8" s="439"/>
      <c r="O8" s="441"/>
      <c r="P8" s="441"/>
      <c r="Q8" s="441"/>
      <c r="R8" s="306" t="s">
        <v>266</v>
      </c>
      <c r="S8" s="310">
        <f>INDEX('생산수량Back-Data'!$B$5:$AAA$10041,
       MATCH($B7,'생산수량Back-Data'!$B$5:$B$10041,0),
       MATCH(S$3,'생산수량Back-Data'!$B$3:$AAA$3,0))</f>
        <v>0</v>
      </c>
      <c r="T8" s="331">
        <f>INDEX('생산수량Back-Data'!$B$5:$AAA$10041,
       MATCH($B7,'생산수량Back-Data'!$B$5:$B$10041,0),
       MATCH(T$3,'생산수량Back-Data'!$B$3:$AAA$3,0))</f>
        <v>0</v>
      </c>
      <c r="U8" s="331">
        <f>INDEX('생산수량Back-Data'!$B$5:$AAA$10041,
       MATCH($B7,'생산수량Back-Data'!$B$5:$B$10041,0),
       MATCH(U$3,'생산수량Back-Data'!$B$3:$AAA$3,0))</f>
        <v>0</v>
      </c>
      <c r="V8" s="331">
        <f>INDEX('생산수량Back-Data'!$B$5:$AAA$10041,
       MATCH($B7,'생산수량Back-Data'!$B$5:$B$10041,0),
       MATCH(V$3,'생산수량Back-Data'!$B$3:$AAA$3,0))</f>
        <v>0</v>
      </c>
      <c r="W8" s="331">
        <f>INDEX('생산수량Back-Data'!$B$5:$AAA$10041,
       MATCH($B7,'생산수량Back-Data'!$B$5:$B$10041,0),
       MATCH(W$3,'생산수량Back-Data'!$B$3:$AAA$3,0))</f>
        <v>0</v>
      </c>
      <c r="X8" s="331">
        <f>INDEX('생산수량Back-Data'!$B$5:$AAA$10041,
       MATCH($B7,'생산수량Back-Data'!$B$5:$B$10041,0),
       MATCH(X$3,'생산수량Back-Data'!$B$3:$AAA$3,0))</f>
        <v>0</v>
      </c>
      <c r="Y8" s="331">
        <f>INDEX('생산수량Back-Data'!$B$5:$AAA$10041,
       MATCH($B7,'생산수량Back-Data'!$B$5:$B$10041,0),
       MATCH(Y$3,'생산수량Back-Data'!$B$3:$AAA$3,0))</f>
        <v>0</v>
      </c>
      <c r="Z8" s="331">
        <f>INDEX('생산수량Back-Data'!$B$5:$AAA$10041,
       MATCH($B7,'생산수량Back-Data'!$B$5:$B$10041,0),
       MATCH(Z$3,'생산수량Back-Data'!$B$3:$AAA$3,0))</f>
        <v>0</v>
      </c>
      <c r="AA8" s="331">
        <f>INDEX('생산수량Back-Data'!$B$5:$AAA$10041,
       MATCH($B7,'생산수량Back-Data'!$B$5:$B$10041,0),
       MATCH(AA$3,'생산수량Back-Data'!$B$3:$AAA$3,0))</f>
        <v>300</v>
      </c>
      <c r="AB8" s="331">
        <f>INDEX('생산수량Back-Data'!$B$5:$AAA$10041,
       MATCH($B7,'생산수량Back-Data'!$B$5:$B$10041,0),
       MATCH(AB$3,'생산수량Back-Data'!$B$3:$AAA$3,0))</f>
        <v>300</v>
      </c>
      <c r="AC8" s="331">
        <f>INDEX('생산수량Back-Data'!$B$5:$AAA$10041,
       MATCH($B7,'생산수량Back-Data'!$B$5:$B$10041,0),
       MATCH(AC$3,'생산수량Back-Data'!$B$3:$AAA$3,0))</f>
        <v>300</v>
      </c>
      <c r="AD8" s="331">
        <f>INDEX('생산수량Back-Data'!$B$5:$AAA$10041,
       MATCH($B7,'생산수량Back-Data'!$B$5:$B$10041,0),
       MATCH(AD$3,'생산수량Back-Data'!$B$3:$AAA$3,0))</f>
        <v>200</v>
      </c>
      <c r="AE8" s="331">
        <f>INDEX('생산수량Back-Data'!$B$5:$AAA$10041,
       MATCH($B7,'생산수량Back-Data'!$B$5:$B$10041,0),
       MATCH(AE$3,'생산수량Back-Data'!$B$3:$AAA$3,0))</f>
        <v>300</v>
      </c>
      <c r="AF8" s="331">
        <f>INDEX('생산수량Back-Data'!$B$5:$AAA$10041,
       MATCH($B7,'생산수량Back-Data'!$B$5:$B$10041,0),
       MATCH(AF$3,'생산수량Back-Data'!$B$3:$AAA$3,0))</f>
        <v>300</v>
      </c>
      <c r="AG8" s="331">
        <f>INDEX('생산수량Back-Data'!$B$5:$AAA$10041,
       MATCH($B7,'생산수량Back-Data'!$B$5:$B$10041,0),
       MATCH(AG$3,'생산수량Back-Data'!$B$3:$AAA$3,0))</f>
        <v>300</v>
      </c>
      <c r="AH8" s="331">
        <f>INDEX('생산수량Back-Data'!$B$5:$AAA$10041,
       MATCH($B7,'생산수량Back-Data'!$B$5:$B$10041,0),
       MATCH(AH$3,'생산수량Back-Data'!$B$3:$AAA$3,0))</f>
        <v>300</v>
      </c>
      <c r="AI8" s="331">
        <f>INDEX('생산수량Back-Data'!$B$5:$AAA$10041,
       MATCH($B7,'생산수량Back-Data'!$B$5:$B$10041,0),
       MATCH(AI$3,'생산수량Back-Data'!$B$3:$AAA$3,0))</f>
        <v>300</v>
      </c>
      <c r="AJ8" s="331">
        <f>INDEX('생산수량Back-Data'!$B$5:$AAA$10041,
       MATCH($B7,'생산수량Back-Data'!$B$5:$B$10041,0),
       MATCH(AJ$3,'생산수량Back-Data'!$B$3:$AAA$3,0))</f>
        <v>300</v>
      </c>
      <c r="AK8" s="331">
        <f>INDEX('생산수량Back-Data'!$B$5:$AAA$10041,
       MATCH($B7,'생산수량Back-Data'!$B$5:$B$10041,0),
       MATCH(AK$3,'생산수량Back-Data'!$B$3:$AAA$3,0))</f>
        <v>0</v>
      </c>
      <c r="AL8" s="331">
        <f>INDEX('생산수량Back-Data'!$B$5:$AAA$10041,
       MATCH($B7,'생산수량Back-Data'!$B$5:$B$10041,0),
       MATCH(AL$3,'생산수량Back-Data'!$B$3:$AAA$3,0))</f>
        <v>0</v>
      </c>
      <c r="AM8" s="331">
        <f>INDEX('생산수량Back-Data'!$B$5:$AAA$10041,
       MATCH($B7,'생산수량Back-Data'!$B$5:$B$10041,0),
       MATCH(AM$3,'생산수량Back-Data'!$B$3:$AAA$3,0))</f>
        <v>0</v>
      </c>
      <c r="AN8" s="331">
        <f>INDEX('생산수량Back-Data'!$B$5:$AAA$10041,
       MATCH($B7,'생산수량Back-Data'!$B$5:$B$10041,0),
       MATCH(AN$3,'생산수량Back-Data'!$B$3:$AAA$3,0))</f>
        <v>0</v>
      </c>
      <c r="AO8" s="331">
        <f>INDEX('생산수량Back-Data'!$B$5:$AAA$10041,
       MATCH($B7,'생산수량Back-Data'!$B$5:$B$10041,0),
       MATCH(AO$3,'생산수량Back-Data'!$B$3:$AAA$3,0))</f>
        <v>0</v>
      </c>
      <c r="AP8" s="331">
        <f>INDEX('생산수량Back-Data'!$B$5:$AAA$10041,
       MATCH($B7,'생산수량Back-Data'!$B$5:$B$10041,0),
       MATCH(AP$3,'생산수량Back-Data'!$B$3:$AAA$3,0))</f>
        <v>0</v>
      </c>
      <c r="AQ8" s="331">
        <f>INDEX('생산수량Back-Data'!$B$5:$AAA$10041,
       MATCH($B7,'생산수량Back-Data'!$B$5:$B$10041,0),
       MATCH(AQ$3,'생산수량Back-Data'!$B$3:$AAA$3,0))</f>
        <v>0</v>
      </c>
      <c r="AR8" s="331">
        <f>INDEX('생산수량Back-Data'!$B$5:$AAA$10041,
       MATCH($B7,'생산수량Back-Data'!$B$5:$B$10041,0),
       MATCH(AR$3,'생산수량Back-Data'!$B$3:$AAA$3,0))</f>
        <v>0</v>
      </c>
      <c r="AS8" s="331">
        <f>INDEX('생산수량Back-Data'!$B$5:$AAA$10041,
       MATCH($B7,'생산수량Back-Data'!$B$5:$B$10041,0),
       MATCH(AS$3,'생산수량Back-Data'!$B$3:$AAA$3,0))</f>
        <v>0</v>
      </c>
      <c r="AT8" s="331">
        <f>INDEX('생산수량Back-Data'!$B$5:$AAA$10041,
       MATCH($B7,'생산수량Back-Data'!$B$5:$B$10041,0),
       MATCH(AT$3,'생산수량Back-Data'!$B$3:$AAA$3,0))</f>
        <v>0</v>
      </c>
      <c r="AU8" s="331">
        <f>INDEX('생산수량Back-Data'!$B$5:$AAA$10041,
       MATCH($B7,'생산수량Back-Data'!$B$5:$B$10041,0),
       MATCH(AU$3,'생산수량Back-Data'!$B$3:$AAA$3,0))</f>
        <v>0</v>
      </c>
      <c r="AV8" s="331">
        <f>INDEX('생산수량Back-Data'!$B$5:$AAA$10041,
       MATCH($B7,'생산수량Back-Data'!$B$5:$B$10041,0),
       MATCH(AV$3,'생산수량Back-Data'!$B$3:$AAA$3,0))</f>
        <v>0</v>
      </c>
      <c r="AW8" s="332">
        <f>INDEX('생산수량Back-Data'!$B$5:$AAA$10041,
       MATCH($B7,'생산수량Back-Data'!$B$5:$B$10041,0),
       MATCH(AW$3,'생산수량Back-Data'!$B$3:$AAA$3,0))</f>
        <v>0</v>
      </c>
    </row>
    <row r="9" spans="2:49" ht="32.1" customHeight="1" x14ac:dyDescent="0.3">
      <c r="B9" s="444" t="s">
        <v>37</v>
      </c>
      <c r="C9" s="444" t="s">
        <v>185</v>
      </c>
      <c r="D9" s="444" t="s">
        <v>187</v>
      </c>
      <c r="E9" s="438">
        <f>ABS(SUMIFS('Fixture 총 발주수량'!AH:AH,'Fixture 총 발주수량'!B:B,생산계획!B9,'Fixture 총 발주수량'!AH:AH,"&lt;0"))</f>
        <v>903</v>
      </c>
      <c r="F9" s="431">
        <f>G9-E9</f>
        <v>-3</v>
      </c>
      <c r="G9" s="437">
        <f>SUMIF(S9:AW9, "&gt;0")</f>
        <v>900</v>
      </c>
      <c r="H9" s="437">
        <f>SUMIF(S10:AW10, "&gt;0")</f>
        <v>900</v>
      </c>
      <c r="I9" s="442">
        <f>IFERROR(H9/G9,)</f>
        <v>1</v>
      </c>
      <c r="J9" s="438">
        <f>ROUNDUP(E9/300,)</f>
        <v>4</v>
      </c>
      <c r="K9" s="444" t="s">
        <v>249</v>
      </c>
      <c r="L9" s="438">
        <f>L7+J9</f>
        <v>7</v>
      </c>
      <c r="M9" s="438">
        <f>L9+J9</f>
        <v>11</v>
      </c>
      <c r="N9" s="438">
        <f>N7+J9</f>
        <v>7</v>
      </c>
      <c r="O9" s="440">
        <v>0</v>
      </c>
      <c r="P9" s="440">
        <v>0</v>
      </c>
      <c r="Q9" s="440">
        <v>0</v>
      </c>
      <c r="R9" s="306" t="s">
        <v>264</v>
      </c>
      <c r="S9" s="311"/>
      <c r="T9" s="312"/>
      <c r="U9" s="312"/>
      <c r="V9" s="312"/>
      <c r="W9" s="312"/>
      <c r="X9" s="312"/>
      <c r="Y9" s="312"/>
      <c r="Z9" s="312"/>
      <c r="AA9" s="312"/>
      <c r="AB9" s="312"/>
      <c r="AC9" s="312"/>
      <c r="AD9" s="312"/>
      <c r="AE9" s="312"/>
      <c r="AF9" s="312"/>
      <c r="AG9" s="312"/>
      <c r="AH9" s="312"/>
      <c r="AI9" s="312"/>
      <c r="AJ9" s="312"/>
      <c r="AK9" s="312"/>
      <c r="AL9" s="312"/>
      <c r="AM9" s="312"/>
      <c r="AN9" s="312">
        <v>300</v>
      </c>
      <c r="AO9" s="312">
        <v>300</v>
      </c>
      <c r="AP9" s="312">
        <v>300</v>
      </c>
      <c r="AQ9" s="312"/>
      <c r="AR9" s="312"/>
      <c r="AS9" s="312"/>
      <c r="AT9" s="312"/>
      <c r="AU9" s="312"/>
      <c r="AV9" s="312"/>
      <c r="AW9" s="313"/>
    </row>
    <row r="10" spans="2:49" ht="32.1" customHeight="1" x14ac:dyDescent="0.3">
      <c r="B10" s="445"/>
      <c r="C10" s="445"/>
      <c r="D10" s="445"/>
      <c r="E10" s="439"/>
      <c r="F10" s="432"/>
      <c r="G10" s="436"/>
      <c r="H10" s="436"/>
      <c r="I10" s="443"/>
      <c r="J10" s="439"/>
      <c r="K10" s="445"/>
      <c r="L10" s="439"/>
      <c r="M10" s="439"/>
      <c r="N10" s="439"/>
      <c r="O10" s="441"/>
      <c r="P10" s="441"/>
      <c r="Q10" s="441"/>
      <c r="R10" s="306" t="s">
        <v>266</v>
      </c>
      <c r="S10" s="310">
        <f>INDEX('생산수량Back-Data'!$B$5:$AAA$10041,
       MATCH($B9,'생산수량Back-Data'!$B$5:$B$10041,0),
       MATCH(S$3,'생산수량Back-Data'!$B$3:$AAA$3,0))</f>
        <v>0</v>
      </c>
      <c r="T10" s="331">
        <f>INDEX('생산수량Back-Data'!$B$5:$AAA$10041,
       MATCH($B9,'생산수량Back-Data'!$B$5:$B$10041,0),
       MATCH(T$3,'생산수량Back-Data'!$B$3:$AAA$3,0))</f>
        <v>0</v>
      </c>
      <c r="U10" s="331">
        <f>INDEX('생산수량Back-Data'!$B$5:$AAA$10041,
       MATCH($B9,'생산수량Back-Data'!$B$5:$B$10041,0),
       MATCH(U$3,'생산수량Back-Data'!$B$3:$AAA$3,0))</f>
        <v>0</v>
      </c>
      <c r="V10" s="331">
        <f>INDEX('생산수량Back-Data'!$B$5:$AAA$10041,
       MATCH($B9,'생산수량Back-Data'!$B$5:$B$10041,0),
       MATCH(V$3,'생산수량Back-Data'!$B$3:$AAA$3,0))</f>
        <v>0</v>
      </c>
      <c r="W10" s="331">
        <f>INDEX('생산수량Back-Data'!$B$5:$AAA$10041,
       MATCH($B9,'생산수량Back-Data'!$B$5:$B$10041,0),
       MATCH(W$3,'생산수량Back-Data'!$B$3:$AAA$3,0))</f>
        <v>0</v>
      </c>
      <c r="X10" s="331">
        <f>INDEX('생산수량Back-Data'!$B$5:$AAA$10041,
       MATCH($B9,'생산수량Back-Data'!$B$5:$B$10041,0),
       MATCH(X$3,'생산수량Back-Data'!$B$3:$AAA$3,0))</f>
        <v>0</v>
      </c>
      <c r="Y10" s="331">
        <f>INDEX('생산수량Back-Data'!$B$5:$AAA$10041,
       MATCH($B9,'생산수량Back-Data'!$B$5:$B$10041,0),
       MATCH(Y$3,'생산수량Back-Data'!$B$3:$AAA$3,0))</f>
        <v>0</v>
      </c>
      <c r="Z10" s="331">
        <f>INDEX('생산수량Back-Data'!$B$5:$AAA$10041,
       MATCH($B9,'생산수량Back-Data'!$B$5:$B$10041,0),
       MATCH(Z$3,'생산수량Back-Data'!$B$3:$AAA$3,0))</f>
        <v>0</v>
      </c>
      <c r="AA10" s="331">
        <f>INDEX('생산수량Back-Data'!$B$5:$AAA$10041,
       MATCH($B9,'생산수량Back-Data'!$B$5:$B$10041,0),
       MATCH(AA$3,'생산수량Back-Data'!$B$3:$AAA$3,0))</f>
        <v>0</v>
      </c>
      <c r="AB10" s="331">
        <f>INDEX('생산수량Back-Data'!$B$5:$AAA$10041,
       MATCH($B9,'생산수량Back-Data'!$B$5:$B$10041,0),
       MATCH(AB$3,'생산수량Back-Data'!$B$3:$AAA$3,0))</f>
        <v>0</v>
      </c>
      <c r="AC10" s="331">
        <f>INDEX('생산수량Back-Data'!$B$5:$AAA$10041,
       MATCH($B9,'생산수량Back-Data'!$B$5:$B$10041,0),
       MATCH(AC$3,'생산수량Back-Data'!$B$3:$AAA$3,0))</f>
        <v>0</v>
      </c>
      <c r="AD10" s="331">
        <f>INDEX('생산수량Back-Data'!$B$5:$AAA$10041,
       MATCH($B9,'생산수량Back-Data'!$B$5:$B$10041,0),
       MATCH(AD$3,'생산수량Back-Data'!$B$3:$AAA$3,0))</f>
        <v>0</v>
      </c>
      <c r="AE10" s="331">
        <f>INDEX('생산수량Back-Data'!$B$5:$AAA$10041,
       MATCH($B9,'생산수량Back-Data'!$B$5:$B$10041,0),
       MATCH(AE$3,'생산수량Back-Data'!$B$3:$AAA$3,0))</f>
        <v>0</v>
      </c>
      <c r="AF10" s="331">
        <f>INDEX('생산수량Back-Data'!$B$5:$AAA$10041,
       MATCH($B9,'생산수량Back-Data'!$B$5:$B$10041,0),
       MATCH(AF$3,'생산수량Back-Data'!$B$3:$AAA$3,0))</f>
        <v>0</v>
      </c>
      <c r="AG10" s="331">
        <f>INDEX('생산수량Back-Data'!$B$5:$AAA$10041,
       MATCH($B9,'생산수량Back-Data'!$B$5:$B$10041,0),
       MATCH(AG$3,'생산수량Back-Data'!$B$3:$AAA$3,0))</f>
        <v>0</v>
      </c>
      <c r="AH10" s="331">
        <f>INDEX('생산수량Back-Data'!$B$5:$AAA$10041,
       MATCH($B9,'생산수량Back-Data'!$B$5:$B$10041,0),
       MATCH(AH$3,'생산수량Back-Data'!$B$3:$AAA$3,0))</f>
        <v>0</v>
      </c>
      <c r="AI10" s="331">
        <f>INDEX('생산수량Back-Data'!$B$5:$AAA$10041,
       MATCH($B9,'생산수량Back-Data'!$B$5:$B$10041,0),
       MATCH(AI$3,'생산수량Back-Data'!$B$3:$AAA$3,0))</f>
        <v>0</v>
      </c>
      <c r="AJ10" s="331">
        <f>INDEX('생산수량Back-Data'!$B$5:$AAA$10041,
       MATCH($B9,'생산수량Back-Data'!$B$5:$B$10041,0),
       MATCH(AJ$3,'생산수량Back-Data'!$B$3:$AAA$3,0))</f>
        <v>0</v>
      </c>
      <c r="AK10" s="331">
        <f>INDEX('생산수량Back-Data'!$B$5:$AAA$10041,
       MATCH($B9,'생산수량Back-Data'!$B$5:$B$10041,0),
       MATCH(AK$3,'생산수량Back-Data'!$B$3:$AAA$3,0))</f>
        <v>0</v>
      </c>
      <c r="AL10" s="331">
        <f>INDEX('생산수량Back-Data'!$B$5:$AAA$10041,
       MATCH($B9,'생산수량Back-Data'!$B$5:$B$10041,0),
       MATCH(AL$3,'생산수량Back-Data'!$B$3:$AAA$3,0))</f>
        <v>0</v>
      </c>
      <c r="AM10" s="331">
        <f>INDEX('생산수량Back-Data'!$B$5:$AAA$10041,
       MATCH($B9,'생산수량Back-Data'!$B$5:$B$10041,0),
       MATCH(AM$3,'생산수량Back-Data'!$B$3:$AAA$3,0))</f>
        <v>0</v>
      </c>
      <c r="AN10" s="331">
        <f>INDEX('생산수량Back-Data'!$B$5:$AAA$10041,
       MATCH($B9,'생산수량Back-Data'!$B$5:$B$10041,0),
       MATCH(AN$3,'생산수량Back-Data'!$B$3:$AAA$3,0))</f>
        <v>300</v>
      </c>
      <c r="AO10" s="331">
        <f>INDEX('생산수량Back-Data'!$B$5:$AAA$10041,
       MATCH($B9,'생산수량Back-Data'!$B$5:$B$10041,0),
       MATCH(AO$3,'생산수량Back-Data'!$B$3:$AAA$3,0))</f>
        <v>300</v>
      </c>
      <c r="AP10" s="331">
        <f>INDEX('생산수량Back-Data'!$B$5:$AAA$10041,
       MATCH($B9,'생산수량Back-Data'!$B$5:$B$10041,0),
       MATCH(AP$3,'생산수량Back-Data'!$B$3:$AAA$3,0))</f>
        <v>300</v>
      </c>
      <c r="AQ10" s="331">
        <f>INDEX('생산수량Back-Data'!$B$5:$AAA$10041,
       MATCH($B9,'생산수량Back-Data'!$B$5:$B$10041,0),
       MATCH(AQ$3,'생산수량Back-Data'!$B$3:$AAA$3,0))</f>
        <v>0</v>
      </c>
      <c r="AR10" s="331">
        <f>INDEX('생산수량Back-Data'!$B$5:$AAA$10041,
       MATCH($B9,'생산수량Back-Data'!$B$5:$B$10041,0),
       MATCH(AR$3,'생산수량Back-Data'!$B$3:$AAA$3,0))</f>
        <v>0</v>
      </c>
      <c r="AS10" s="331">
        <f>INDEX('생산수량Back-Data'!$B$5:$AAA$10041,
       MATCH($B9,'생산수량Back-Data'!$B$5:$B$10041,0),
       MATCH(AS$3,'생산수량Back-Data'!$B$3:$AAA$3,0))</f>
        <v>0</v>
      </c>
      <c r="AT10" s="331">
        <f>INDEX('생산수량Back-Data'!$B$5:$AAA$10041,
       MATCH($B9,'생산수량Back-Data'!$B$5:$B$10041,0),
       MATCH(AT$3,'생산수량Back-Data'!$B$3:$AAA$3,0))</f>
        <v>0</v>
      </c>
      <c r="AU10" s="331">
        <f>INDEX('생산수량Back-Data'!$B$5:$AAA$10041,
       MATCH($B9,'생산수량Back-Data'!$B$5:$B$10041,0),
       MATCH(AU$3,'생산수량Back-Data'!$B$3:$AAA$3,0))</f>
        <v>0</v>
      </c>
      <c r="AV10" s="331">
        <f>INDEX('생산수량Back-Data'!$B$5:$AAA$10041,
       MATCH($B9,'생산수량Back-Data'!$B$5:$B$10041,0),
       MATCH(AV$3,'생산수량Back-Data'!$B$3:$AAA$3,0))</f>
        <v>0</v>
      </c>
      <c r="AW10" s="332">
        <f>INDEX('생산수량Back-Data'!$B$5:$AAA$10041,
       MATCH($B9,'생산수량Back-Data'!$B$5:$B$10041,0),
       MATCH(AW$3,'생산수량Back-Data'!$B$3:$AAA$3,0))</f>
        <v>0</v>
      </c>
    </row>
    <row r="11" spans="2:49" ht="32.1" customHeight="1" x14ac:dyDescent="0.3">
      <c r="B11" s="444" t="s">
        <v>39</v>
      </c>
      <c r="C11" s="444" t="s">
        <v>185</v>
      </c>
      <c r="D11" s="444" t="s">
        <v>188</v>
      </c>
      <c r="E11" s="438">
        <f>ABS(SUMIFS('Fixture 총 발주수량'!AH:AH,'Fixture 총 발주수량'!B:B,생산계획!B11,'Fixture 총 발주수량'!AH:AH,"&lt;0"))</f>
        <v>485</v>
      </c>
      <c r="F11" s="431">
        <f>G11-E11</f>
        <v>415</v>
      </c>
      <c r="G11" s="437">
        <f>SUMIF(S11:AW11, "&gt;0")</f>
        <v>900</v>
      </c>
      <c r="H11" s="437">
        <f>SUMIF(S12:AW12, "&gt;0")</f>
        <v>900</v>
      </c>
      <c r="I11" s="442">
        <f>IFERROR(H11/G11,)</f>
        <v>1</v>
      </c>
      <c r="J11" s="438">
        <f>ROUNDUP(E11/300,)</f>
        <v>2</v>
      </c>
      <c r="K11" s="444" t="s">
        <v>249</v>
      </c>
      <c r="L11" s="438">
        <f>L9+J11</f>
        <v>9</v>
      </c>
      <c r="M11" s="438">
        <f>L11+J11</f>
        <v>11</v>
      </c>
      <c r="N11" s="438">
        <f>N9+J11</f>
        <v>9</v>
      </c>
      <c r="O11" s="440">
        <v>0</v>
      </c>
      <c r="P11" s="440">
        <v>0</v>
      </c>
      <c r="Q11" s="440">
        <v>0</v>
      </c>
      <c r="R11" s="306" t="s">
        <v>264</v>
      </c>
      <c r="S11" s="311"/>
      <c r="T11" s="312"/>
      <c r="U11" s="312"/>
      <c r="V11" s="312"/>
      <c r="W11" s="312"/>
      <c r="X11" s="312"/>
      <c r="Y11" s="312"/>
      <c r="Z11" s="312"/>
      <c r="AA11" s="312"/>
      <c r="AB11" s="312"/>
      <c r="AC11" s="312"/>
      <c r="AD11" s="312"/>
      <c r="AE11" s="312"/>
      <c r="AF11" s="312"/>
      <c r="AG11" s="312"/>
      <c r="AH11" s="312"/>
      <c r="AI11" s="312"/>
      <c r="AJ11" s="312"/>
      <c r="AK11" s="312">
        <v>300</v>
      </c>
      <c r="AL11" s="312">
        <v>300</v>
      </c>
      <c r="AM11" s="312">
        <v>300</v>
      </c>
      <c r="AN11" s="312"/>
      <c r="AO11" s="312"/>
      <c r="AP11" s="312"/>
      <c r="AQ11" s="312"/>
      <c r="AR11" s="312"/>
      <c r="AS11" s="312"/>
      <c r="AT11" s="312"/>
      <c r="AU11" s="312"/>
      <c r="AV11" s="312"/>
      <c r="AW11" s="313"/>
    </row>
    <row r="12" spans="2:49" ht="32.1" customHeight="1" thickBot="1" x14ac:dyDescent="0.35">
      <c r="B12" s="454"/>
      <c r="C12" s="454"/>
      <c r="D12" s="454"/>
      <c r="E12" s="450"/>
      <c r="F12" s="433"/>
      <c r="G12" s="452"/>
      <c r="H12" s="452"/>
      <c r="I12" s="453"/>
      <c r="J12" s="450"/>
      <c r="K12" s="454"/>
      <c r="L12" s="450"/>
      <c r="M12" s="450"/>
      <c r="N12" s="450"/>
      <c r="O12" s="451"/>
      <c r="P12" s="451"/>
      <c r="Q12" s="451"/>
      <c r="R12" s="305" t="s">
        <v>266</v>
      </c>
      <c r="S12" s="310">
        <f>INDEX('생산수량Back-Data'!$B$5:$AAA$10041,
       MATCH($B11,'생산수량Back-Data'!$B$5:$B$10041,0),
       MATCH(S$3,'생산수량Back-Data'!$B$3:$AAA$3,0))</f>
        <v>0</v>
      </c>
      <c r="T12" s="331">
        <f>INDEX('생산수량Back-Data'!$B$5:$AAA$10041,
       MATCH($B11,'생산수량Back-Data'!$B$5:$B$10041,0),
       MATCH(T$3,'생산수량Back-Data'!$B$3:$AAA$3,0))</f>
        <v>0</v>
      </c>
      <c r="U12" s="331">
        <f>INDEX('생산수량Back-Data'!$B$5:$AAA$10041,
       MATCH($B11,'생산수량Back-Data'!$B$5:$B$10041,0),
       MATCH(U$3,'생산수량Back-Data'!$B$3:$AAA$3,0))</f>
        <v>0</v>
      </c>
      <c r="V12" s="331">
        <f>INDEX('생산수량Back-Data'!$B$5:$AAA$10041,
       MATCH($B11,'생산수량Back-Data'!$B$5:$B$10041,0),
       MATCH(V$3,'생산수량Back-Data'!$B$3:$AAA$3,0))</f>
        <v>0</v>
      </c>
      <c r="W12" s="331">
        <f>INDEX('생산수량Back-Data'!$B$5:$AAA$10041,
       MATCH($B11,'생산수량Back-Data'!$B$5:$B$10041,0),
       MATCH(W$3,'생산수량Back-Data'!$B$3:$AAA$3,0))</f>
        <v>0</v>
      </c>
      <c r="X12" s="331">
        <f>INDEX('생산수량Back-Data'!$B$5:$AAA$10041,
       MATCH($B11,'생산수량Back-Data'!$B$5:$B$10041,0),
       MATCH(X$3,'생산수량Back-Data'!$B$3:$AAA$3,0))</f>
        <v>0</v>
      </c>
      <c r="Y12" s="331">
        <f>INDEX('생산수량Back-Data'!$B$5:$AAA$10041,
       MATCH($B11,'생산수량Back-Data'!$B$5:$B$10041,0),
       MATCH(Y$3,'생산수량Back-Data'!$B$3:$AAA$3,0))</f>
        <v>0</v>
      </c>
      <c r="Z12" s="331">
        <f>INDEX('생산수량Back-Data'!$B$5:$AAA$10041,
       MATCH($B11,'생산수량Back-Data'!$B$5:$B$10041,0),
       MATCH(Z$3,'생산수량Back-Data'!$B$3:$AAA$3,0))</f>
        <v>0</v>
      </c>
      <c r="AA12" s="331">
        <f>INDEX('생산수량Back-Data'!$B$5:$AAA$10041,
       MATCH($B11,'생산수량Back-Data'!$B$5:$B$10041,0),
       MATCH(AA$3,'생산수량Back-Data'!$B$3:$AAA$3,0))</f>
        <v>0</v>
      </c>
      <c r="AB12" s="331">
        <f>INDEX('생산수량Back-Data'!$B$5:$AAA$10041,
       MATCH($B11,'생산수량Back-Data'!$B$5:$B$10041,0),
       MATCH(AB$3,'생산수량Back-Data'!$B$3:$AAA$3,0))</f>
        <v>0</v>
      </c>
      <c r="AC12" s="331">
        <f>INDEX('생산수량Back-Data'!$B$5:$AAA$10041,
       MATCH($B11,'생산수량Back-Data'!$B$5:$B$10041,0),
       MATCH(AC$3,'생산수량Back-Data'!$B$3:$AAA$3,0))</f>
        <v>0</v>
      </c>
      <c r="AD12" s="331">
        <f>INDEX('생산수량Back-Data'!$B$5:$AAA$10041,
       MATCH($B11,'생산수량Back-Data'!$B$5:$B$10041,0),
       MATCH(AD$3,'생산수량Back-Data'!$B$3:$AAA$3,0))</f>
        <v>0</v>
      </c>
      <c r="AE12" s="331">
        <f>INDEX('생산수량Back-Data'!$B$5:$AAA$10041,
       MATCH($B11,'생산수량Back-Data'!$B$5:$B$10041,0),
       MATCH(AE$3,'생산수량Back-Data'!$B$3:$AAA$3,0))</f>
        <v>0</v>
      </c>
      <c r="AF12" s="331">
        <f>INDEX('생산수량Back-Data'!$B$5:$AAA$10041,
       MATCH($B11,'생산수량Back-Data'!$B$5:$B$10041,0),
       MATCH(AF$3,'생산수량Back-Data'!$B$3:$AAA$3,0))</f>
        <v>0</v>
      </c>
      <c r="AG12" s="331">
        <f>INDEX('생산수량Back-Data'!$B$5:$AAA$10041,
       MATCH($B11,'생산수량Back-Data'!$B$5:$B$10041,0),
       MATCH(AG$3,'생산수량Back-Data'!$B$3:$AAA$3,0))</f>
        <v>0</v>
      </c>
      <c r="AH12" s="331">
        <f>INDEX('생산수량Back-Data'!$B$5:$AAA$10041,
       MATCH($B11,'생산수량Back-Data'!$B$5:$B$10041,0),
       MATCH(AH$3,'생산수량Back-Data'!$B$3:$AAA$3,0))</f>
        <v>0</v>
      </c>
      <c r="AI12" s="331">
        <f>INDEX('생산수량Back-Data'!$B$5:$AAA$10041,
       MATCH($B11,'생산수량Back-Data'!$B$5:$B$10041,0),
       MATCH(AI$3,'생산수량Back-Data'!$B$3:$AAA$3,0))</f>
        <v>0</v>
      </c>
      <c r="AJ12" s="331">
        <f>INDEX('생산수량Back-Data'!$B$5:$AAA$10041,
       MATCH($B11,'생산수량Back-Data'!$B$5:$B$10041,0),
       MATCH(AJ$3,'생산수량Back-Data'!$B$3:$AAA$3,0))</f>
        <v>0</v>
      </c>
      <c r="AK12" s="331">
        <f>INDEX('생산수량Back-Data'!$B$5:$AAA$10041,
       MATCH($B11,'생산수량Back-Data'!$B$5:$B$10041,0),
       MATCH(AK$3,'생산수량Back-Data'!$B$3:$AAA$3,0))</f>
        <v>300</v>
      </c>
      <c r="AL12" s="331">
        <f>INDEX('생산수량Back-Data'!$B$5:$AAA$10041,
       MATCH($B11,'생산수량Back-Data'!$B$5:$B$10041,0),
       MATCH(AL$3,'생산수량Back-Data'!$B$3:$AAA$3,0))</f>
        <v>300</v>
      </c>
      <c r="AM12" s="331">
        <f>INDEX('생산수량Back-Data'!$B$5:$AAA$10041,
       MATCH($B11,'생산수량Back-Data'!$B$5:$B$10041,0),
       MATCH(AM$3,'생산수량Back-Data'!$B$3:$AAA$3,0))</f>
        <v>300</v>
      </c>
      <c r="AN12" s="331">
        <f>INDEX('생산수량Back-Data'!$B$5:$AAA$10041,
       MATCH($B11,'생산수량Back-Data'!$B$5:$B$10041,0),
       MATCH(AN$3,'생산수량Back-Data'!$B$3:$AAA$3,0))</f>
        <v>0</v>
      </c>
      <c r="AO12" s="331">
        <f>INDEX('생산수량Back-Data'!$B$5:$AAA$10041,
       MATCH($B11,'생산수량Back-Data'!$B$5:$B$10041,0),
       MATCH(AO$3,'생산수량Back-Data'!$B$3:$AAA$3,0))</f>
        <v>0</v>
      </c>
      <c r="AP12" s="331">
        <f>INDEX('생산수량Back-Data'!$B$5:$AAA$10041,
       MATCH($B11,'생산수량Back-Data'!$B$5:$B$10041,0),
       MATCH(AP$3,'생산수량Back-Data'!$B$3:$AAA$3,0))</f>
        <v>0</v>
      </c>
      <c r="AQ12" s="331">
        <f>INDEX('생산수량Back-Data'!$B$5:$AAA$10041,
       MATCH($B11,'생산수량Back-Data'!$B$5:$B$10041,0),
       MATCH(AQ$3,'생산수량Back-Data'!$B$3:$AAA$3,0))</f>
        <v>0</v>
      </c>
      <c r="AR12" s="331">
        <f>INDEX('생산수량Back-Data'!$B$5:$AAA$10041,
       MATCH($B11,'생산수량Back-Data'!$B$5:$B$10041,0),
       MATCH(AR$3,'생산수량Back-Data'!$B$3:$AAA$3,0))</f>
        <v>0</v>
      </c>
      <c r="AS12" s="331">
        <f>INDEX('생산수량Back-Data'!$B$5:$AAA$10041,
       MATCH($B11,'생산수량Back-Data'!$B$5:$B$10041,0),
       MATCH(AS$3,'생산수량Back-Data'!$B$3:$AAA$3,0))</f>
        <v>0</v>
      </c>
      <c r="AT12" s="331">
        <f>INDEX('생산수량Back-Data'!$B$5:$AAA$10041,
       MATCH($B11,'생산수량Back-Data'!$B$5:$B$10041,0),
       MATCH(AT$3,'생산수량Back-Data'!$B$3:$AAA$3,0))</f>
        <v>0</v>
      </c>
      <c r="AU12" s="331">
        <f>INDEX('생산수량Back-Data'!$B$5:$AAA$10041,
       MATCH($B11,'생산수량Back-Data'!$B$5:$B$10041,0),
       MATCH(AU$3,'생산수량Back-Data'!$B$3:$AAA$3,0))</f>
        <v>0</v>
      </c>
      <c r="AV12" s="331">
        <f>INDEX('생산수량Back-Data'!$B$5:$AAA$10041,
       MATCH($B11,'생산수량Back-Data'!$B$5:$B$10041,0),
       MATCH(AV$3,'생산수량Back-Data'!$B$3:$AAA$3,0))</f>
        <v>0</v>
      </c>
      <c r="AW12" s="332">
        <f>INDEX('생산수량Back-Data'!$B$5:$AAA$10041,
       MATCH($B11,'생산수량Back-Data'!$B$5:$B$10041,0),
       MATCH(AW$3,'생산수량Back-Data'!$B$3:$AAA$3,0))</f>
        <v>0</v>
      </c>
    </row>
    <row r="13" spans="2:49" ht="32.1" customHeight="1" x14ac:dyDescent="0.3">
      <c r="B13" s="449" t="s">
        <v>44</v>
      </c>
      <c r="C13" s="449" t="s">
        <v>185</v>
      </c>
      <c r="D13" s="449" t="s">
        <v>189</v>
      </c>
      <c r="E13" s="446">
        <f>ABS(SUMIFS('Fixture 총 발주수량'!AH:AH,'Fixture 총 발주수량'!B:B,생산계획!B13,'Fixture 총 발주수량'!AH:AH,"&lt;0"))</f>
        <v>0</v>
      </c>
      <c r="F13" s="434">
        <f>G13-E13</f>
        <v>0</v>
      </c>
      <c r="G13" s="435">
        <f>SUMIF(S13:AW13, "&gt;0")</f>
        <v>0</v>
      </c>
      <c r="H13" s="435">
        <f>SUMIF(S14:AW14, "&gt;0")</f>
        <v>0</v>
      </c>
      <c r="I13" s="448">
        <f>IFERROR(H13/G13,)</f>
        <v>0</v>
      </c>
      <c r="J13" s="446">
        <f>ROUNDUP(E13/300,)</f>
        <v>0</v>
      </c>
      <c r="K13" s="449" t="s">
        <v>249</v>
      </c>
      <c r="L13" s="446">
        <f>L11+J13</f>
        <v>9</v>
      </c>
      <c r="M13" s="446">
        <f>L13+J13</f>
        <v>9</v>
      </c>
      <c r="N13" s="446">
        <f>N11+J13</f>
        <v>9</v>
      </c>
      <c r="O13" s="447">
        <v>0</v>
      </c>
      <c r="P13" s="447">
        <v>0</v>
      </c>
      <c r="Q13" s="447">
        <v>0</v>
      </c>
      <c r="R13" s="336" t="s">
        <v>264</v>
      </c>
      <c r="S13" s="416"/>
      <c r="T13" s="417"/>
      <c r="U13" s="417"/>
      <c r="V13" s="417"/>
      <c r="W13" s="417"/>
      <c r="X13" s="417"/>
      <c r="Y13" s="417"/>
      <c r="Z13" s="417"/>
      <c r="AA13" s="417"/>
      <c r="AB13" s="417"/>
      <c r="AC13" s="417"/>
      <c r="AD13" s="417"/>
      <c r="AE13" s="417"/>
      <c r="AF13" s="417"/>
      <c r="AG13" s="417"/>
      <c r="AH13" s="417"/>
      <c r="AI13" s="417"/>
      <c r="AJ13" s="417"/>
      <c r="AK13" s="417"/>
      <c r="AL13" s="417"/>
      <c r="AM13" s="417"/>
      <c r="AN13" s="417"/>
      <c r="AO13" s="417"/>
      <c r="AP13" s="417"/>
      <c r="AQ13" s="417"/>
      <c r="AR13" s="417"/>
      <c r="AS13" s="417"/>
      <c r="AT13" s="417"/>
      <c r="AU13" s="417"/>
      <c r="AV13" s="417"/>
      <c r="AW13" s="418"/>
    </row>
    <row r="14" spans="2:49" ht="32.1" customHeight="1" x14ac:dyDescent="0.3">
      <c r="B14" s="445"/>
      <c r="C14" s="445"/>
      <c r="D14" s="445"/>
      <c r="E14" s="439"/>
      <c r="F14" s="432"/>
      <c r="G14" s="436"/>
      <c r="H14" s="436"/>
      <c r="I14" s="443"/>
      <c r="J14" s="439"/>
      <c r="K14" s="445"/>
      <c r="L14" s="439"/>
      <c r="M14" s="439"/>
      <c r="N14" s="439"/>
      <c r="O14" s="441"/>
      <c r="P14" s="441"/>
      <c r="Q14" s="441"/>
      <c r="R14" s="306" t="s">
        <v>266</v>
      </c>
      <c r="S14" s="328">
        <f>INDEX('생산수량Back-Data'!$B$5:$AAA$10041,
       MATCH($B13,'생산수량Back-Data'!$B$5:$B$10041,0),
       MATCH(S$3,'생산수량Back-Data'!$B$3:$AAA$3,0))</f>
        <v>0</v>
      </c>
      <c r="T14" s="343">
        <f>INDEX('생산수량Back-Data'!$B$5:$AAA$10041,
       MATCH($B13,'생산수량Back-Data'!$B$5:$B$10041,0),
       MATCH(T$3,'생산수량Back-Data'!$B$3:$AAA$3,0))</f>
        <v>0</v>
      </c>
      <c r="U14" s="343">
        <f>INDEX('생산수량Back-Data'!$B$5:$AAA$10041,
       MATCH($B13,'생산수량Back-Data'!$B$5:$B$10041,0),
       MATCH(U$3,'생산수량Back-Data'!$B$3:$AAA$3,0))</f>
        <v>0</v>
      </c>
      <c r="V14" s="343">
        <f>INDEX('생산수량Back-Data'!$B$5:$AAA$10041,
       MATCH($B13,'생산수량Back-Data'!$B$5:$B$10041,0),
       MATCH(V$3,'생산수량Back-Data'!$B$3:$AAA$3,0))</f>
        <v>0</v>
      </c>
      <c r="W14" s="343">
        <f>INDEX('생산수량Back-Data'!$B$5:$AAA$10041,
       MATCH($B13,'생산수량Back-Data'!$B$5:$B$10041,0),
       MATCH(W$3,'생산수량Back-Data'!$B$3:$AAA$3,0))</f>
        <v>0</v>
      </c>
      <c r="X14" s="343">
        <f>INDEX('생산수량Back-Data'!$B$5:$AAA$10041,
       MATCH($B13,'생산수량Back-Data'!$B$5:$B$10041,0),
       MATCH(X$3,'생산수량Back-Data'!$B$3:$AAA$3,0))</f>
        <v>0</v>
      </c>
      <c r="Y14" s="343">
        <f>INDEX('생산수량Back-Data'!$B$5:$AAA$10041,
       MATCH($B13,'생산수량Back-Data'!$B$5:$B$10041,0),
       MATCH(Y$3,'생산수량Back-Data'!$B$3:$AAA$3,0))</f>
        <v>0</v>
      </c>
      <c r="Z14" s="343">
        <f>INDEX('생산수량Back-Data'!$B$5:$AAA$10041,
       MATCH($B13,'생산수량Back-Data'!$B$5:$B$10041,0),
       MATCH(Z$3,'생산수량Back-Data'!$B$3:$AAA$3,0))</f>
        <v>0</v>
      </c>
      <c r="AA14" s="343">
        <f>INDEX('생산수량Back-Data'!$B$5:$AAA$10041,
       MATCH($B13,'생산수량Back-Data'!$B$5:$B$10041,0),
       MATCH(AA$3,'생산수량Back-Data'!$B$3:$AAA$3,0))</f>
        <v>0</v>
      </c>
      <c r="AB14" s="343">
        <f>INDEX('생산수량Back-Data'!$B$5:$AAA$10041,
       MATCH($B13,'생산수량Back-Data'!$B$5:$B$10041,0),
       MATCH(AB$3,'생산수량Back-Data'!$B$3:$AAA$3,0))</f>
        <v>0</v>
      </c>
      <c r="AC14" s="343">
        <f>INDEX('생산수량Back-Data'!$B$5:$AAA$10041,
       MATCH($B13,'생산수량Back-Data'!$B$5:$B$10041,0),
       MATCH(AC$3,'생산수량Back-Data'!$B$3:$AAA$3,0))</f>
        <v>0</v>
      </c>
      <c r="AD14" s="343">
        <f>INDEX('생산수량Back-Data'!$B$5:$AAA$10041,
       MATCH($B13,'생산수량Back-Data'!$B$5:$B$10041,0),
       MATCH(AD$3,'생산수량Back-Data'!$B$3:$AAA$3,0))</f>
        <v>0</v>
      </c>
      <c r="AE14" s="343">
        <f>INDEX('생산수량Back-Data'!$B$5:$AAA$10041,
       MATCH($B13,'생산수량Back-Data'!$B$5:$B$10041,0),
       MATCH(AE$3,'생산수량Back-Data'!$B$3:$AAA$3,0))</f>
        <v>0</v>
      </c>
      <c r="AF14" s="343">
        <f>INDEX('생산수량Back-Data'!$B$5:$AAA$10041,
       MATCH($B13,'생산수량Back-Data'!$B$5:$B$10041,0),
       MATCH(AF$3,'생산수량Back-Data'!$B$3:$AAA$3,0))</f>
        <v>0</v>
      </c>
      <c r="AG14" s="343">
        <f>INDEX('생산수량Back-Data'!$B$5:$AAA$10041,
       MATCH($B13,'생산수량Back-Data'!$B$5:$B$10041,0),
       MATCH(AG$3,'생산수량Back-Data'!$B$3:$AAA$3,0))</f>
        <v>0</v>
      </c>
      <c r="AH14" s="343">
        <f>INDEX('생산수량Back-Data'!$B$5:$AAA$10041,
       MATCH($B13,'생산수량Back-Data'!$B$5:$B$10041,0),
       MATCH(AH$3,'생산수량Back-Data'!$B$3:$AAA$3,0))</f>
        <v>0</v>
      </c>
      <c r="AI14" s="343">
        <f>INDEX('생산수량Back-Data'!$B$5:$AAA$10041,
       MATCH($B13,'생산수량Back-Data'!$B$5:$B$10041,0),
       MATCH(AI$3,'생산수량Back-Data'!$B$3:$AAA$3,0))</f>
        <v>0</v>
      </c>
      <c r="AJ14" s="343">
        <f>INDEX('생산수량Back-Data'!$B$5:$AAA$10041,
       MATCH($B13,'생산수량Back-Data'!$B$5:$B$10041,0),
       MATCH(AJ$3,'생산수량Back-Data'!$B$3:$AAA$3,0))</f>
        <v>0</v>
      </c>
      <c r="AK14" s="343">
        <f>INDEX('생산수량Back-Data'!$B$5:$AAA$10041,
       MATCH($B13,'생산수량Back-Data'!$B$5:$B$10041,0),
       MATCH(AK$3,'생산수량Back-Data'!$B$3:$AAA$3,0))</f>
        <v>0</v>
      </c>
      <c r="AL14" s="343">
        <f>INDEX('생산수량Back-Data'!$B$5:$AAA$10041,
       MATCH($B13,'생산수량Back-Data'!$B$5:$B$10041,0),
       MATCH(AL$3,'생산수량Back-Data'!$B$3:$AAA$3,0))</f>
        <v>0</v>
      </c>
      <c r="AM14" s="343">
        <f>INDEX('생산수량Back-Data'!$B$5:$AAA$10041,
       MATCH($B13,'생산수량Back-Data'!$B$5:$B$10041,0),
       MATCH(AM$3,'생산수량Back-Data'!$B$3:$AAA$3,0))</f>
        <v>0</v>
      </c>
      <c r="AN14" s="343">
        <f>INDEX('생산수량Back-Data'!$B$5:$AAA$10041,
       MATCH($B13,'생산수량Back-Data'!$B$5:$B$10041,0),
       MATCH(AN$3,'생산수량Back-Data'!$B$3:$AAA$3,0))</f>
        <v>0</v>
      </c>
      <c r="AO14" s="343">
        <f>INDEX('생산수량Back-Data'!$B$5:$AAA$10041,
       MATCH($B13,'생산수량Back-Data'!$B$5:$B$10041,0),
       MATCH(AO$3,'생산수량Back-Data'!$B$3:$AAA$3,0))</f>
        <v>0</v>
      </c>
      <c r="AP14" s="343">
        <f>INDEX('생산수량Back-Data'!$B$5:$AAA$10041,
       MATCH($B13,'생산수량Back-Data'!$B$5:$B$10041,0),
       MATCH(AP$3,'생산수량Back-Data'!$B$3:$AAA$3,0))</f>
        <v>0</v>
      </c>
      <c r="AQ14" s="343">
        <f>INDEX('생산수량Back-Data'!$B$5:$AAA$10041,
       MATCH($B13,'생산수량Back-Data'!$B$5:$B$10041,0),
       MATCH(AQ$3,'생산수량Back-Data'!$B$3:$AAA$3,0))</f>
        <v>0</v>
      </c>
      <c r="AR14" s="343">
        <f>INDEX('생산수량Back-Data'!$B$5:$AAA$10041,
       MATCH($B13,'생산수량Back-Data'!$B$5:$B$10041,0),
       MATCH(AR$3,'생산수량Back-Data'!$B$3:$AAA$3,0))</f>
        <v>0</v>
      </c>
      <c r="AS14" s="343">
        <f>INDEX('생산수량Back-Data'!$B$5:$AAA$10041,
       MATCH($B13,'생산수량Back-Data'!$B$5:$B$10041,0),
       MATCH(AS$3,'생산수량Back-Data'!$B$3:$AAA$3,0))</f>
        <v>0</v>
      </c>
      <c r="AT14" s="343">
        <f>INDEX('생산수량Back-Data'!$B$5:$AAA$10041,
       MATCH($B13,'생산수량Back-Data'!$B$5:$B$10041,0),
       MATCH(AT$3,'생산수량Back-Data'!$B$3:$AAA$3,0))</f>
        <v>0</v>
      </c>
      <c r="AU14" s="343">
        <f>INDEX('생산수량Back-Data'!$B$5:$AAA$10041,
       MATCH($B13,'생산수량Back-Data'!$B$5:$B$10041,0),
       MATCH(AU$3,'생산수량Back-Data'!$B$3:$AAA$3,0))</f>
        <v>0</v>
      </c>
      <c r="AV14" s="343">
        <f>INDEX('생산수량Back-Data'!$B$5:$AAA$10041,
       MATCH($B13,'생산수량Back-Data'!$B$5:$B$10041,0),
       MATCH(AV$3,'생산수량Back-Data'!$B$3:$AAA$3,0))</f>
        <v>0</v>
      </c>
      <c r="AW14" s="344">
        <f>INDEX('생산수량Back-Data'!$B$5:$AAA$10041,
       MATCH($B13,'생산수량Back-Data'!$B$5:$B$10041,0),
       MATCH(AW$3,'생산수량Back-Data'!$B$3:$AAA$3,0))</f>
        <v>0</v>
      </c>
    </row>
    <row r="15" spans="2:49" ht="32.1" customHeight="1" x14ac:dyDescent="0.3">
      <c r="B15" s="444" t="s">
        <v>45</v>
      </c>
      <c r="C15" s="444" t="s">
        <v>185</v>
      </c>
      <c r="D15" s="444" t="s">
        <v>190</v>
      </c>
      <c r="E15" s="438">
        <f>ABS(SUMIFS('Fixture 총 발주수량'!AH:AH,'Fixture 총 발주수량'!B:B,생산계획!B15,'Fixture 총 발주수량'!AH:AH,"&lt;0"))</f>
        <v>0</v>
      </c>
      <c r="F15" s="431">
        <f>G15-E15</f>
        <v>0</v>
      </c>
      <c r="G15" s="437">
        <f>SUMIF(S15:AW15, "&gt;0")</f>
        <v>0</v>
      </c>
      <c r="H15" s="437">
        <f>SUMIF(S16:AW16, "&gt;0")</f>
        <v>0</v>
      </c>
      <c r="I15" s="442">
        <f>IFERROR(H15/G15,)</f>
        <v>0</v>
      </c>
      <c r="J15" s="438">
        <f>ROUNDUP(E15/300,)</f>
        <v>0</v>
      </c>
      <c r="K15" s="444" t="s">
        <v>249</v>
      </c>
      <c r="L15" s="438">
        <f>L13+J15</f>
        <v>9</v>
      </c>
      <c r="M15" s="438">
        <f>L15+J15</f>
        <v>9</v>
      </c>
      <c r="N15" s="438">
        <f>N13+J15</f>
        <v>9</v>
      </c>
      <c r="O15" s="440">
        <v>0</v>
      </c>
      <c r="P15" s="440">
        <v>0</v>
      </c>
      <c r="Q15" s="440">
        <v>0</v>
      </c>
      <c r="R15" s="306" t="s">
        <v>264</v>
      </c>
      <c r="S15" s="311"/>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312"/>
      <c r="AU15" s="312"/>
      <c r="AV15" s="312"/>
      <c r="AW15" s="313"/>
    </row>
    <row r="16" spans="2:49" ht="32.1" customHeight="1" x14ac:dyDescent="0.3">
      <c r="B16" s="445"/>
      <c r="C16" s="445"/>
      <c r="D16" s="445"/>
      <c r="E16" s="439"/>
      <c r="F16" s="432"/>
      <c r="G16" s="436"/>
      <c r="H16" s="436"/>
      <c r="I16" s="443"/>
      <c r="J16" s="439"/>
      <c r="K16" s="445"/>
      <c r="L16" s="439"/>
      <c r="M16" s="439"/>
      <c r="N16" s="439"/>
      <c r="O16" s="441"/>
      <c r="P16" s="441"/>
      <c r="Q16" s="441"/>
      <c r="R16" s="306" t="s">
        <v>266</v>
      </c>
      <c r="S16" s="310">
        <f>INDEX('생산수량Back-Data'!$B$5:$AAA$10041,
       MATCH($B15,'생산수량Back-Data'!$B$5:$B$10041,0),
       MATCH(S$3,'생산수량Back-Data'!$B$3:$AAA$3,0))</f>
        <v>0</v>
      </c>
      <c r="T16" s="331">
        <f>INDEX('생산수량Back-Data'!$B$5:$AAA$10041,
       MATCH($B15,'생산수량Back-Data'!$B$5:$B$10041,0),
       MATCH(T$3,'생산수량Back-Data'!$B$3:$AAA$3,0))</f>
        <v>0</v>
      </c>
      <c r="U16" s="331">
        <f>INDEX('생산수량Back-Data'!$B$5:$AAA$10041,
       MATCH($B15,'생산수량Back-Data'!$B$5:$B$10041,0),
       MATCH(U$3,'생산수량Back-Data'!$B$3:$AAA$3,0))</f>
        <v>0</v>
      </c>
      <c r="V16" s="331">
        <f>INDEX('생산수량Back-Data'!$B$5:$AAA$10041,
       MATCH($B15,'생산수량Back-Data'!$B$5:$B$10041,0),
       MATCH(V$3,'생산수량Back-Data'!$B$3:$AAA$3,0))</f>
        <v>0</v>
      </c>
      <c r="W16" s="331">
        <f>INDEX('생산수량Back-Data'!$B$5:$AAA$10041,
       MATCH($B15,'생산수량Back-Data'!$B$5:$B$10041,0),
       MATCH(W$3,'생산수량Back-Data'!$B$3:$AAA$3,0))</f>
        <v>0</v>
      </c>
      <c r="X16" s="331">
        <f>INDEX('생산수량Back-Data'!$B$5:$AAA$10041,
       MATCH($B15,'생산수량Back-Data'!$B$5:$B$10041,0),
       MATCH(X$3,'생산수량Back-Data'!$B$3:$AAA$3,0))</f>
        <v>0</v>
      </c>
      <c r="Y16" s="331">
        <f>INDEX('생산수량Back-Data'!$B$5:$AAA$10041,
       MATCH($B15,'생산수량Back-Data'!$B$5:$B$10041,0),
       MATCH(Y$3,'생산수량Back-Data'!$B$3:$AAA$3,0))</f>
        <v>0</v>
      </c>
      <c r="Z16" s="331">
        <f>INDEX('생산수량Back-Data'!$B$5:$AAA$10041,
       MATCH($B15,'생산수량Back-Data'!$B$5:$B$10041,0),
       MATCH(Z$3,'생산수량Back-Data'!$B$3:$AAA$3,0))</f>
        <v>0</v>
      </c>
      <c r="AA16" s="331">
        <f>INDEX('생산수량Back-Data'!$B$5:$AAA$10041,
       MATCH($B15,'생산수량Back-Data'!$B$5:$B$10041,0),
       MATCH(AA$3,'생산수량Back-Data'!$B$3:$AAA$3,0))</f>
        <v>0</v>
      </c>
      <c r="AB16" s="331">
        <f>INDEX('생산수량Back-Data'!$B$5:$AAA$10041,
       MATCH($B15,'생산수량Back-Data'!$B$5:$B$10041,0),
       MATCH(AB$3,'생산수량Back-Data'!$B$3:$AAA$3,0))</f>
        <v>0</v>
      </c>
      <c r="AC16" s="331">
        <f>INDEX('생산수량Back-Data'!$B$5:$AAA$10041,
       MATCH($B15,'생산수량Back-Data'!$B$5:$B$10041,0),
       MATCH(AC$3,'생산수량Back-Data'!$B$3:$AAA$3,0))</f>
        <v>0</v>
      </c>
      <c r="AD16" s="331">
        <f>INDEX('생산수량Back-Data'!$B$5:$AAA$10041,
       MATCH($B15,'생산수량Back-Data'!$B$5:$B$10041,0),
       MATCH(AD$3,'생산수량Back-Data'!$B$3:$AAA$3,0))</f>
        <v>0</v>
      </c>
      <c r="AE16" s="331">
        <f>INDEX('생산수량Back-Data'!$B$5:$AAA$10041,
       MATCH($B15,'생산수량Back-Data'!$B$5:$B$10041,0),
       MATCH(AE$3,'생산수량Back-Data'!$B$3:$AAA$3,0))</f>
        <v>0</v>
      </c>
      <c r="AF16" s="331">
        <f>INDEX('생산수량Back-Data'!$B$5:$AAA$10041,
       MATCH($B15,'생산수량Back-Data'!$B$5:$B$10041,0),
       MATCH(AF$3,'생산수량Back-Data'!$B$3:$AAA$3,0))</f>
        <v>0</v>
      </c>
      <c r="AG16" s="331">
        <f>INDEX('생산수량Back-Data'!$B$5:$AAA$10041,
       MATCH($B15,'생산수량Back-Data'!$B$5:$B$10041,0),
       MATCH(AG$3,'생산수량Back-Data'!$B$3:$AAA$3,0))</f>
        <v>0</v>
      </c>
      <c r="AH16" s="331">
        <f>INDEX('생산수량Back-Data'!$B$5:$AAA$10041,
       MATCH($B15,'생산수량Back-Data'!$B$5:$B$10041,0),
       MATCH(AH$3,'생산수량Back-Data'!$B$3:$AAA$3,0))</f>
        <v>0</v>
      </c>
      <c r="AI16" s="331">
        <f>INDEX('생산수량Back-Data'!$B$5:$AAA$10041,
       MATCH($B15,'생산수량Back-Data'!$B$5:$B$10041,0),
       MATCH(AI$3,'생산수량Back-Data'!$B$3:$AAA$3,0))</f>
        <v>0</v>
      </c>
      <c r="AJ16" s="331">
        <f>INDEX('생산수량Back-Data'!$B$5:$AAA$10041,
       MATCH($B15,'생산수량Back-Data'!$B$5:$B$10041,0),
       MATCH(AJ$3,'생산수량Back-Data'!$B$3:$AAA$3,0))</f>
        <v>0</v>
      </c>
      <c r="AK16" s="331">
        <f>INDEX('생산수량Back-Data'!$B$5:$AAA$10041,
       MATCH($B15,'생산수량Back-Data'!$B$5:$B$10041,0),
       MATCH(AK$3,'생산수량Back-Data'!$B$3:$AAA$3,0))</f>
        <v>0</v>
      </c>
      <c r="AL16" s="331">
        <f>INDEX('생산수량Back-Data'!$B$5:$AAA$10041,
       MATCH($B15,'생산수량Back-Data'!$B$5:$B$10041,0),
       MATCH(AL$3,'생산수량Back-Data'!$B$3:$AAA$3,0))</f>
        <v>0</v>
      </c>
      <c r="AM16" s="331">
        <f>INDEX('생산수량Back-Data'!$B$5:$AAA$10041,
       MATCH($B15,'생산수량Back-Data'!$B$5:$B$10041,0),
       MATCH(AM$3,'생산수량Back-Data'!$B$3:$AAA$3,0))</f>
        <v>0</v>
      </c>
      <c r="AN16" s="331">
        <f>INDEX('생산수량Back-Data'!$B$5:$AAA$10041,
       MATCH($B15,'생산수량Back-Data'!$B$5:$B$10041,0),
       MATCH(AN$3,'생산수량Back-Data'!$B$3:$AAA$3,0))</f>
        <v>0</v>
      </c>
      <c r="AO16" s="331">
        <f>INDEX('생산수량Back-Data'!$B$5:$AAA$10041,
       MATCH($B15,'생산수량Back-Data'!$B$5:$B$10041,0),
       MATCH(AO$3,'생산수량Back-Data'!$B$3:$AAA$3,0))</f>
        <v>0</v>
      </c>
      <c r="AP16" s="331">
        <f>INDEX('생산수량Back-Data'!$B$5:$AAA$10041,
       MATCH($B15,'생산수량Back-Data'!$B$5:$B$10041,0),
       MATCH(AP$3,'생산수량Back-Data'!$B$3:$AAA$3,0))</f>
        <v>0</v>
      </c>
      <c r="AQ16" s="331">
        <f>INDEX('생산수량Back-Data'!$B$5:$AAA$10041,
       MATCH($B15,'생산수량Back-Data'!$B$5:$B$10041,0),
       MATCH(AQ$3,'생산수량Back-Data'!$B$3:$AAA$3,0))</f>
        <v>0</v>
      </c>
      <c r="AR16" s="331">
        <f>INDEX('생산수량Back-Data'!$B$5:$AAA$10041,
       MATCH($B15,'생산수량Back-Data'!$B$5:$B$10041,0),
       MATCH(AR$3,'생산수량Back-Data'!$B$3:$AAA$3,0))</f>
        <v>0</v>
      </c>
      <c r="AS16" s="331">
        <f>INDEX('생산수량Back-Data'!$B$5:$AAA$10041,
       MATCH($B15,'생산수량Back-Data'!$B$5:$B$10041,0),
       MATCH(AS$3,'생산수량Back-Data'!$B$3:$AAA$3,0))</f>
        <v>0</v>
      </c>
      <c r="AT16" s="331">
        <f>INDEX('생산수량Back-Data'!$B$5:$AAA$10041,
       MATCH($B15,'생산수량Back-Data'!$B$5:$B$10041,0),
       MATCH(AT$3,'생산수량Back-Data'!$B$3:$AAA$3,0))</f>
        <v>0</v>
      </c>
      <c r="AU16" s="331">
        <f>INDEX('생산수량Back-Data'!$B$5:$AAA$10041,
       MATCH($B15,'생산수량Back-Data'!$B$5:$B$10041,0),
       MATCH(AU$3,'생산수량Back-Data'!$B$3:$AAA$3,0))</f>
        <v>0</v>
      </c>
      <c r="AV16" s="331">
        <f>INDEX('생산수량Back-Data'!$B$5:$AAA$10041,
       MATCH($B15,'생산수량Back-Data'!$B$5:$B$10041,0),
       MATCH(AV$3,'생산수량Back-Data'!$B$3:$AAA$3,0))</f>
        <v>0</v>
      </c>
      <c r="AW16" s="332">
        <f>INDEX('생산수량Back-Data'!$B$5:$AAA$10041,
       MATCH($B15,'생산수량Back-Data'!$B$5:$B$10041,0),
       MATCH(AW$3,'생산수량Back-Data'!$B$3:$AAA$3,0))</f>
        <v>0</v>
      </c>
    </row>
    <row r="17" spans="2:49" ht="32.1" customHeight="1" x14ac:dyDescent="0.3">
      <c r="B17" s="444" t="s">
        <v>46</v>
      </c>
      <c r="C17" s="444" t="s">
        <v>185</v>
      </c>
      <c r="D17" s="444" t="s">
        <v>191</v>
      </c>
      <c r="E17" s="438">
        <f>ABS(SUMIFS('Fixture 총 발주수량'!AH:AH,'Fixture 총 발주수량'!B:B,생산계획!B17,'Fixture 총 발주수량'!AH:AH,"&lt;0"))</f>
        <v>0</v>
      </c>
      <c r="F17" s="431">
        <f>G17-E17</f>
        <v>0</v>
      </c>
      <c r="G17" s="437">
        <f>SUMIF(S17:AW17, "&gt;0")</f>
        <v>0</v>
      </c>
      <c r="H17" s="437">
        <f>SUMIF(S18:AW18, "&gt;0")</f>
        <v>0</v>
      </c>
      <c r="I17" s="442">
        <f>IFERROR(H17/G17,)</f>
        <v>0</v>
      </c>
      <c r="J17" s="438">
        <f>ROUNDUP(E17/300,)</f>
        <v>0</v>
      </c>
      <c r="K17" s="444" t="s">
        <v>249</v>
      </c>
      <c r="L17" s="438">
        <f>L15+J17</f>
        <v>9</v>
      </c>
      <c r="M17" s="438">
        <f>L17+J17</f>
        <v>9</v>
      </c>
      <c r="N17" s="438">
        <f>N15+J17</f>
        <v>9</v>
      </c>
      <c r="O17" s="440">
        <v>0</v>
      </c>
      <c r="P17" s="440">
        <v>0</v>
      </c>
      <c r="Q17" s="440">
        <v>0</v>
      </c>
      <c r="R17" s="306" t="s">
        <v>264</v>
      </c>
      <c r="S17" s="311"/>
      <c r="T17" s="312"/>
      <c r="U17" s="312"/>
      <c r="V17" s="312"/>
      <c r="W17" s="312"/>
      <c r="X17" s="312"/>
      <c r="Y17" s="312"/>
      <c r="Z17" s="312"/>
      <c r="AA17" s="312"/>
      <c r="AB17" s="312"/>
      <c r="AC17" s="312"/>
      <c r="AD17" s="312"/>
      <c r="AE17" s="312"/>
      <c r="AF17" s="312"/>
      <c r="AG17" s="312"/>
      <c r="AH17" s="312"/>
      <c r="AI17" s="312"/>
      <c r="AJ17" s="312"/>
      <c r="AK17" s="312"/>
      <c r="AL17" s="312"/>
      <c r="AM17" s="312"/>
      <c r="AN17" s="312"/>
      <c r="AO17" s="312"/>
      <c r="AP17" s="312"/>
      <c r="AQ17" s="312"/>
      <c r="AR17" s="312"/>
      <c r="AS17" s="312"/>
      <c r="AT17" s="312"/>
      <c r="AU17" s="312"/>
      <c r="AV17" s="312"/>
      <c r="AW17" s="313"/>
    </row>
    <row r="18" spans="2:49" ht="35.25" customHeight="1" x14ac:dyDescent="0.3">
      <c r="B18" s="445"/>
      <c r="C18" s="445"/>
      <c r="D18" s="445"/>
      <c r="E18" s="439"/>
      <c r="F18" s="432"/>
      <c r="G18" s="436"/>
      <c r="H18" s="436"/>
      <c r="I18" s="443"/>
      <c r="J18" s="439"/>
      <c r="K18" s="445"/>
      <c r="L18" s="439"/>
      <c r="M18" s="439"/>
      <c r="N18" s="439"/>
      <c r="O18" s="441"/>
      <c r="P18" s="441"/>
      <c r="Q18" s="441"/>
      <c r="R18" s="306" t="s">
        <v>266</v>
      </c>
      <c r="S18" s="310">
        <f>INDEX('생산수량Back-Data'!$B$5:$AAA$10041,
       MATCH($B17,'생산수량Back-Data'!$B$5:$B$10041,0),
       MATCH(S$3,'생산수량Back-Data'!$B$3:$AAA$3,0))</f>
        <v>0</v>
      </c>
      <c r="T18" s="331">
        <f>INDEX('생산수량Back-Data'!$B$5:$AAA$10041,
       MATCH($B17,'생산수량Back-Data'!$B$5:$B$10041,0),
       MATCH(T$3,'생산수량Back-Data'!$B$3:$AAA$3,0))</f>
        <v>0</v>
      </c>
      <c r="U18" s="331">
        <f>INDEX('생산수량Back-Data'!$B$5:$AAA$10041,
       MATCH($B17,'생산수량Back-Data'!$B$5:$B$10041,0),
       MATCH(U$3,'생산수량Back-Data'!$B$3:$AAA$3,0))</f>
        <v>0</v>
      </c>
      <c r="V18" s="331">
        <f>INDEX('생산수량Back-Data'!$B$5:$AAA$10041,
       MATCH($B17,'생산수량Back-Data'!$B$5:$B$10041,0),
       MATCH(V$3,'생산수량Back-Data'!$B$3:$AAA$3,0))</f>
        <v>0</v>
      </c>
      <c r="W18" s="331">
        <f>INDEX('생산수량Back-Data'!$B$5:$AAA$10041,
       MATCH($B17,'생산수량Back-Data'!$B$5:$B$10041,0),
       MATCH(W$3,'생산수량Back-Data'!$B$3:$AAA$3,0))</f>
        <v>0</v>
      </c>
      <c r="X18" s="331">
        <f>INDEX('생산수량Back-Data'!$B$5:$AAA$10041,
       MATCH($B17,'생산수량Back-Data'!$B$5:$B$10041,0),
       MATCH(X$3,'생산수량Back-Data'!$B$3:$AAA$3,0))</f>
        <v>0</v>
      </c>
      <c r="Y18" s="331">
        <f>INDEX('생산수량Back-Data'!$B$5:$AAA$10041,
       MATCH($B17,'생산수량Back-Data'!$B$5:$B$10041,0),
       MATCH(Y$3,'생산수량Back-Data'!$B$3:$AAA$3,0))</f>
        <v>0</v>
      </c>
      <c r="Z18" s="331">
        <f>INDEX('생산수량Back-Data'!$B$5:$AAA$10041,
       MATCH($B17,'생산수량Back-Data'!$B$5:$B$10041,0),
       MATCH(Z$3,'생산수량Back-Data'!$B$3:$AAA$3,0))</f>
        <v>0</v>
      </c>
      <c r="AA18" s="331">
        <f>INDEX('생산수량Back-Data'!$B$5:$AAA$10041,
       MATCH($B17,'생산수량Back-Data'!$B$5:$B$10041,0),
       MATCH(AA$3,'생산수량Back-Data'!$B$3:$AAA$3,0))</f>
        <v>0</v>
      </c>
      <c r="AB18" s="331">
        <f>INDEX('생산수량Back-Data'!$B$5:$AAA$10041,
       MATCH($B17,'생산수량Back-Data'!$B$5:$B$10041,0),
       MATCH(AB$3,'생산수량Back-Data'!$B$3:$AAA$3,0))</f>
        <v>0</v>
      </c>
      <c r="AC18" s="331">
        <f>INDEX('생산수량Back-Data'!$B$5:$AAA$10041,
       MATCH($B17,'생산수량Back-Data'!$B$5:$B$10041,0),
       MATCH(AC$3,'생산수량Back-Data'!$B$3:$AAA$3,0))</f>
        <v>0</v>
      </c>
      <c r="AD18" s="331">
        <f>INDEX('생산수량Back-Data'!$B$5:$AAA$10041,
       MATCH($B17,'생산수량Back-Data'!$B$5:$B$10041,0),
       MATCH(AD$3,'생산수량Back-Data'!$B$3:$AAA$3,0))</f>
        <v>0</v>
      </c>
      <c r="AE18" s="331">
        <f>INDEX('생산수량Back-Data'!$B$5:$AAA$10041,
       MATCH($B17,'생산수량Back-Data'!$B$5:$B$10041,0),
       MATCH(AE$3,'생산수량Back-Data'!$B$3:$AAA$3,0))</f>
        <v>0</v>
      </c>
      <c r="AF18" s="331">
        <f>INDEX('생산수량Back-Data'!$B$5:$AAA$10041,
       MATCH($B17,'생산수량Back-Data'!$B$5:$B$10041,0),
       MATCH(AF$3,'생산수량Back-Data'!$B$3:$AAA$3,0))</f>
        <v>0</v>
      </c>
      <c r="AG18" s="331">
        <f>INDEX('생산수량Back-Data'!$B$5:$AAA$10041,
       MATCH($B17,'생산수량Back-Data'!$B$5:$B$10041,0),
       MATCH(AG$3,'생산수량Back-Data'!$B$3:$AAA$3,0))</f>
        <v>0</v>
      </c>
      <c r="AH18" s="331">
        <f>INDEX('생산수량Back-Data'!$B$5:$AAA$10041,
       MATCH($B17,'생산수량Back-Data'!$B$5:$B$10041,0),
       MATCH(AH$3,'생산수량Back-Data'!$B$3:$AAA$3,0))</f>
        <v>0</v>
      </c>
      <c r="AI18" s="331">
        <f>INDEX('생산수량Back-Data'!$B$5:$AAA$10041,
       MATCH($B17,'생산수량Back-Data'!$B$5:$B$10041,0),
       MATCH(AI$3,'생산수량Back-Data'!$B$3:$AAA$3,0))</f>
        <v>0</v>
      </c>
      <c r="AJ18" s="331">
        <f>INDEX('생산수량Back-Data'!$B$5:$AAA$10041,
       MATCH($B17,'생산수량Back-Data'!$B$5:$B$10041,0),
       MATCH(AJ$3,'생산수량Back-Data'!$B$3:$AAA$3,0))</f>
        <v>0</v>
      </c>
      <c r="AK18" s="331">
        <f>INDEX('생산수량Back-Data'!$B$5:$AAA$10041,
       MATCH($B17,'생산수량Back-Data'!$B$5:$B$10041,0),
       MATCH(AK$3,'생산수량Back-Data'!$B$3:$AAA$3,0))</f>
        <v>0</v>
      </c>
      <c r="AL18" s="331">
        <f>INDEX('생산수량Back-Data'!$B$5:$AAA$10041,
       MATCH($B17,'생산수량Back-Data'!$B$5:$B$10041,0),
       MATCH(AL$3,'생산수량Back-Data'!$B$3:$AAA$3,0))</f>
        <v>0</v>
      </c>
      <c r="AM18" s="331">
        <f>INDEX('생산수량Back-Data'!$B$5:$AAA$10041,
       MATCH($B17,'생산수량Back-Data'!$B$5:$B$10041,0),
       MATCH(AM$3,'생산수량Back-Data'!$B$3:$AAA$3,0))</f>
        <v>0</v>
      </c>
      <c r="AN18" s="331">
        <f>INDEX('생산수량Back-Data'!$B$5:$AAA$10041,
       MATCH($B17,'생산수량Back-Data'!$B$5:$B$10041,0),
       MATCH(AN$3,'생산수량Back-Data'!$B$3:$AAA$3,0))</f>
        <v>0</v>
      </c>
      <c r="AO18" s="331">
        <f>INDEX('생산수량Back-Data'!$B$5:$AAA$10041,
       MATCH($B17,'생산수량Back-Data'!$B$5:$B$10041,0),
       MATCH(AO$3,'생산수량Back-Data'!$B$3:$AAA$3,0))</f>
        <v>0</v>
      </c>
      <c r="AP18" s="331">
        <f>INDEX('생산수량Back-Data'!$B$5:$AAA$10041,
       MATCH($B17,'생산수량Back-Data'!$B$5:$B$10041,0),
       MATCH(AP$3,'생산수량Back-Data'!$B$3:$AAA$3,0))</f>
        <v>0</v>
      </c>
      <c r="AQ18" s="331">
        <f>INDEX('생산수량Back-Data'!$B$5:$AAA$10041,
       MATCH($B17,'생산수량Back-Data'!$B$5:$B$10041,0),
       MATCH(AQ$3,'생산수량Back-Data'!$B$3:$AAA$3,0))</f>
        <v>0</v>
      </c>
      <c r="AR18" s="331">
        <f>INDEX('생산수량Back-Data'!$B$5:$AAA$10041,
       MATCH($B17,'생산수량Back-Data'!$B$5:$B$10041,0),
       MATCH(AR$3,'생산수량Back-Data'!$B$3:$AAA$3,0))</f>
        <v>0</v>
      </c>
      <c r="AS18" s="331">
        <f>INDEX('생산수량Back-Data'!$B$5:$AAA$10041,
       MATCH($B17,'생산수량Back-Data'!$B$5:$B$10041,0),
       MATCH(AS$3,'생산수량Back-Data'!$B$3:$AAA$3,0))</f>
        <v>0</v>
      </c>
      <c r="AT18" s="331">
        <f>INDEX('생산수량Back-Data'!$B$5:$AAA$10041,
       MATCH($B17,'생산수량Back-Data'!$B$5:$B$10041,0),
       MATCH(AT$3,'생산수량Back-Data'!$B$3:$AAA$3,0))</f>
        <v>0</v>
      </c>
      <c r="AU18" s="331">
        <f>INDEX('생산수량Back-Data'!$B$5:$AAA$10041,
       MATCH($B17,'생산수량Back-Data'!$B$5:$B$10041,0),
       MATCH(AU$3,'생산수량Back-Data'!$B$3:$AAA$3,0))</f>
        <v>0</v>
      </c>
      <c r="AV18" s="331">
        <f>INDEX('생산수량Back-Data'!$B$5:$AAA$10041,
       MATCH($B17,'생산수량Back-Data'!$B$5:$B$10041,0),
       MATCH(AV$3,'생산수량Back-Data'!$B$3:$AAA$3,0))</f>
        <v>0</v>
      </c>
      <c r="AW18" s="332">
        <f>INDEX('생산수량Back-Data'!$B$5:$AAA$10041,
       MATCH($B17,'생산수량Back-Data'!$B$5:$B$10041,0),
       MATCH(AW$3,'생산수량Back-Data'!$B$3:$AAA$3,0))</f>
        <v>0</v>
      </c>
    </row>
    <row r="19" spans="2:49" ht="32.1" customHeight="1" x14ac:dyDescent="0.3">
      <c r="B19" s="444" t="s">
        <v>47</v>
      </c>
      <c r="C19" s="444" t="s">
        <v>185</v>
      </c>
      <c r="D19" s="444" t="s">
        <v>192</v>
      </c>
      <c r="E19" s="438">
        <f>ABS(SUMIFS('Fixture 총 발주수량'!AH:AH,'Fixture 총 발주수량'!B:B,생산계획!B19,'Fixture 총 발주수량'!AH:AH,"&lt;0"))</f>
        <v>0</v>
      </c>
      <c r="F19" s="431">
        <f>G19-E19</f>
        <v>0</v>
      </c>
      <c r="G19" s="437">
        <f>SUMIF(S19:AW19, "&gt;0")</f>
        <v>0</v>
      </c>
      <c r="H19" s="437">
        <f>SUMIF(S20:AW20, "&gt;0")</f>
        <v>0</v>
      </c>
      <c r="I19" s="442">
        <f>IFERROR(H19/G19,)</f>
        <v>0</v>
      </c>
      <c r="J19" s="438">
        <f>ROUNDUP(E19/300,)</f>
        <v>0</v>
      </c>
      <c r="K19" s="444" t="s">
        <v>249</v>
      </c>
      <c r="L19" s="438">
        <f>L17+J19</f>
        <v>9</v>
      </c>
      <c r="M19" s="438">
        <f>L19+J19</f>
        <v>9</v>
      </c>
      <c r="N19" s="438">
        <f>N17+J19</f>
        <v>9</v>
      </c>
      <c r="O19" s="440">
        <v>0</v>
      </c>
      <c r="P19" s="440">
        <v>0</v>
      </c>
      <c r="Q19" s="440">
        <v>0</v>
      </c>
      <c r="R19" s="306" t="s">
        <v>264</v>
      </c>
      <c r="S19" s="311"/>
      <c r="T19" s="312"/>
      <c r="U19" s="312"/>
      <c r="V19" s="312"/>
      <c r="W19" s="312"/>
      <c r="X19" s="312"/>
      <c r="Y19" s="312"/>
      <c r="Z19" s="312"/>
      <c r="AA19" s="312"/>
      <c r="AB19" s="312"/>
      <c r="AC19" s="312"/>
      <c r="AD19" s="312"/>
      <c r="AE19" s="312"/>
      <c r="AF19" s="312"/>
      <c r="AG19" s="312"/>
      <c r="AH19" s="312"/>
      <c r="AI19" s="312"/>
      <c r="AJ19" s="312"/>
      <c r="AK19" s="312"/>
      <c r="AL19" s="312"/>
      <c r="AM19" s="312"/>
      <c r="AN19" s="312"/>
      <c r="AO19" s="312"/>
      <c r="AP19" s="312"/>
      <c r="AQ19" s="312"/>
      <c r="AR19" s="312"/>
      <c r="AS19" s="312"/>
      <c r="AT19" s="312"/>
      <c r="AU19" s="312"/>
      <c r="AV19" s="312"/>
      <c r="AW19" s="313"/>
    </row>
    <row r="20" spans="2:49" ht="32.1" customHeight="1" thickBot="1" x14ac:dyDescent="0.35">
      <c r="B20" s="454"/>
      <c r="C20" s="454"/>
      <c r="D20" s="454"/>
      <c r="E20" s="450"/>
      <c r="F20" s="433"/>
      <c r="G20" s="452"/>
      <c r="H20" s="452"/>
      <c r="I20" s="453"/>
      <c r="J20" s="450"/>
      <c r="K20" s="454"/>
      <c r="L20" s="450"/>
      <c r="M20" s="450"/>
      <c r="N20" s="450"/>
      <c r="O20" s="451"/>
      <c r="P20" s="451"/>
      <c r="Q20" s="451"/>
      <c r="R20" s="305" t="s">
        <v>266</v>
      </c>
      <c r="S20" s="310">
        <f>INDEX('생산수량Back-Data'!$B$5:$AAA$10041,
       MATCH($B19,'생산수량Back-Data'!$B$5:$B$10041,0),
       MATCH(S$3,'생산수량Back-Data'!$B$3:$AAA$3,0))</f>
        <v>0</v>
      </c>
      <c r="T20" s="331">
        <f>INDEX('생산수량Back-Data'!$B$5:$AAA$10041,
       MATCH($B19,'생산수량Back-Data'!$B$5:$B$10041,0),
       MATCH(T$3,'생산수량Back-Data'!$B$3:$AAA$3,0))</f>
        <v>0</v>
      </c>
      <c r="U20" s="331">
        <f>INDEX('생산수량Back-Data'!$B$5:$AAA$10041,
       MATCH($B19,'생산수량Back-Data'!$B$5:$B$10041,0),
       MATCH(U$3,'생산수량Back-Data'!$B$3:$AAA$3,0))</f>
        <v>0</v>
      </c>
      <c r="V20" s="331">
        <f>INDEX('생산수량Back-Data'!$B$5:$AAA$10041,
       MATCH($B19,'생산수량Back-Data'!$B$5:$B$10041,0),
       MATCH(V$3,'생산수량Back-Data'!$B$3:$AAA$3,0))</f>
        <v>0</v>
      </c>
      <c r="W20" s="331">
        <f>INDEX('생산수량Back-Data'!$B$5:$AAA$10041,
       MATCH($B19,'생산수량Back-Data'!$B$5:$B$10041,0),
       MATCH(W$3,'생산수량Back-Data'!$B$3:$AAA$3,0))</f>
        <v>0</v>
      </c>
      <c r="X20" s="331">
        <f>INDEX('생산수량Back-Data'!$B$5:$AAA$10041,
       MATCH($B19,'생산수량Back-Data'!$B$5:$B$10041,0),
       MATCH(X$3,'생산수량Back-Data'!$B$3:$AAA$3,0))</f>
        <v>0</v>
      </c>
      <c r="Y20" s="331">
        <f>INDEX('생산수량Back-Data'!$B$5:$AAA$10041,
       MATCH($B19,'생산수량Back-Data'!$B$5:$B$10041,0),
       MATCH(Y$3,'생산수량Back-Data'!$B$3:$AAA$3,0))</f>
        <v>0</v>
      </c>
      <c r="Z20" s="331">
        <f>INDEX('생산수량Back-Data'!$B$5:$AAA$10041,
       MATCH($B19,'생산수량Back-Data'!$B$5:$B$10041,0),
       MATCH(Z$3,'생산수량Back-Data'!$B$3:$AAA$3,0))</f>
        <v>0</v>
      </c>
      <c r="AA20" s="331">
        <f>INDEX('생산수량Back-Data'!$B$5:$AAA$10041,
       MATCH($B19,'생산수량Back-Data'!$B$5:$B$10041,0),
       MATCH(AA$3,'생산수량Back-Data'!$B$3:$AAA$3,0))</f>
        <v>0</v>
      </c>
      <c r="AB20" s="331">
        <f>INDEX('생산수량Back-Data'!$B$5:$AAA$10041,
       MATCH($B19,'생산수량Back-Data'!$B$5:$B$10041,0),
       MATCH(AB$3,'생산수량Back-Data'!$B$3:$AAA$3,0))</f>
        <v>0</v>
      </c>
      <c r="AC20" s="331">
        <f>INDEX('생산수량Back-Data'!$B$5:$AAA$10041,
       MATCH($B19,'생산수량Back-Data'!$B$5:$B$10041,0),
       MATCH(AC$3,'생산수량Back-Data'!$B$3:$AAA$3,0))</f>
        <v>0</v>
      </c>
      <c r="AD20" s="331">
        <f>INDEX('생산수량Back-Data'!$B$5:$AAA$10041,
       MATCH($B19,'생산수량Back-Data'!$B$5:$B$10041,0),
       MATCH(AD$3,'생산수량Back-Data'!$B$3:$AAA$3,0))</f>
        <v>0</v>
      </c>
      <c r="AE20" s="331">
        <f>INDEX('생산수량Back-Data'!$B$5:$AAA$10041,
       MATCH($B19,'생산수량Back-Data'!$B$5:$B$10041,0),
       MATCH(AE$3,'생산수량Back-Data'!$B$3:$AAA$3,0))</f>
        <v>0</v>
      </c>
      <c r="AF20" s="331">
        <f>INDEX('생산수량Back-Data'!$B$5:$AAA$10041,
       MATCH($B19,'생산수량Back-Data'!$B$5:$B$10041,0),
       MATCH(AF$3,'생산수량Back-Data'!$B$3:$AAA$3,0))</f>
        <v>0</v>
      </c>
      <c r="AG20" s="331">
        <f>INDEX('생산수량Back-Data'!$B$5:$AAA$10041,
       MATCH($B19,'생산수량Back-Data'!$B$5:$B$10041,0),
       MATCH(AG$3,'생산수량Back-Data'!$B$3:$AAA$3,0))</f>
        <v>0</v>
      </c>
      <c r="AH20" s="331">
        <f>INDEX('생산수량Back-Data'!$B$5:$AAA$10041,
       MATCH($B19,'생산수량Back-Data'!$B$5:$B$10041,0),
       MATCH(AH$3,'생산수량Back-Data'!$B$3:$AAA$3,0))</f>
        <v>0</v>
      </c>
      <c r="AI20" s="331">
        <f>INDEX('생산수량Back-Data'!$B$5:$AAA$10041,
       MATCH($B19,'생산수량Back-Data'!$B$5:$B$10041,0),
       MATCH(AI$3,'생산수량Back-Data'!$B$3:$AAA$3,0))</f>
        <v>0</v>
      </c>
      <c r="AJ20" s="331">
        <f>INDEX('생산수량Back-Data'!$B$5:$AAA$10041,
       MATCH($B19,'생산수량Back-Data'!$B$5:$B$10041,0),
       MATCH(AJ$3,'생산수량Back-Data'!$B$3:$AAA$3,0))</f>
        <v>0</v>
      </c>
      <c r="AK20" s="331">
        <f>INDEX('생산수량Back-Data'!$B$5:$AAA$10041,
       MATCH($B19,'생산수량Back-Data'!$B$5:$B$10041,0),
       MATCH(AK$3,'생산수량Back-Data'!$B$3:$AAA$3,0))</f>
        <v>0</v>
      </c>
      <c r="AL20" s="331">
        <f>INDEX('생산수량Back-Data'!$B$5:$AAA$10041,
       MATCH($B19,'생산수량Back-Data'!$B$5:$B$10041,0),
       MATCH(AL$3,'생산수량Back-Data'!$B$3:$AAA$3,0))</f>
        <v>0</v>
      </c>
      <c r="AM20" s="331">
        <f>INDEX('생산수량Back-Data'!$B$5:$AAA$10041,
       MATCH($B19,'생산수량Back-Data'!$B$5:$B$10041,0),
       MATCH(AM$3,'생산수량Back-Data'!$B$3:$AAA$3,0))</f>
        <v>0</v>
      </c>
      <c r="AN20" s="331">
        <f>INDEX('생산수량Back-Data'!$B$5:$AAA$10041,
       MATCH($B19,'생산수량Back-Data'!$B$5:$B$10041,0),
       MATCH(AN$3,'생산수량Back-Data'!$B$3:$AAA$3,0))</f>
        <v>0</v>
      </c>
      <c r="AO20" s="331">
        <f>INDEX('생산수량Back-Data'!$B$5:$AAA$10041,
       MATCH($B19,'생산수량Back-Data'!$B$5:$B$10041,0),
       MATCH(AO$3,'생산수량Back-Data'!$B$3:$AAA$3,0))</f>
        <v>0</v>
      </c>
      <c r="AP20" s="331">
        <f>INDEX('생산수량Back-Data'!$B$5:$AAA$10041,
       MATCH($B19,'생산수량Back-Data'!$B$5:$B$10041,0),
       MATCH(AP$3,'생산수량Back-Data'!$B$3:$AAA$3,0))</f>
        <v>0</v>
      </c>
      <c r="AQ20" s="331">
        <f>INDEX('생산수량Back-Data'!$B$5:$AAA$10041,
       MATCH($B19,'생산수량Back-Data'!$B$5:$B$10041,0),
       MATCH(AQ$3,'생산수량Back-Data'!$B$3:$AAA$3,0))</f>
        <v>0</v>
      </c>
      <c r="AR20" s="331">
        <f>INDEX('생산수량Back-Data'!$B$5:$AAA$10041,
       MATCH($B19,'생산수량Back-Data'!$B$5:$B$10041,0),
       MATCH(AR$3,'생산수량Back-Data'!$B$3:$AAA$3,0))</f>
        <v>0</v>
      </c>
      <c r="AS20" s="331">
        <f>INDEX('생산수량Back-Data'!$B$5:$AAA$10041,
       MATCH($B19,'생산수량Back-Data'!$B$5:$B$10041,0),
       MATCH(AS$3,'생산수량Back-Data'!$B$3:$AAA$3,0))</f>
        <v>0</v>
      </c>
      <c r="AT20" s="331">
        <f>INDEX('생산수량Back-Data'!$B$5:$AAA$10041,
       MATCH($B19,'생산수량Back-Data'!$B$5:$B$10041,0),
       MATCH(AT$3,'생산수량Back-Data'!$B$3:$AAA$3,0))</f>
        <v>0</v>
      </c>
      <c r="AU20" s="331">
        <f>INDEX('생산수량Back-Data'!$B$5:$AAA$10041,
       MATCH($B19,'생산수량Back-Data'!$B$5:$B$10041,0),
       MATCH(AU$3,'생산수량Back-Data'!$B$3:$AAA$3,0))</f>
        <v>0</v>
      </c>
      <c r="AV20" s="331">
        <f>INDEX('생산수량Back-Data'!$B$5:$AAA$10041,
       MATCH($B19,'생산수량Back-Data'!$B$5:$B$10041,0),
       MATCH(AV$3,'생산수량Back-Data'!$B$3:$AAA$3,0))</f>
        <v>0</v>
      </c>
      <c r="AW20" s="332">
        <f>INDEX('생산수량Back-Data'!$B$5:$AAA$10041,
       MATCH($B19,'생산수량Back-Data'!$B$5:$B$10041,0),
       MATCH(AW$3,'생산수량Back-Data'!$B$3:$AAA$3,0))</f>
        <v>0</v>
      </c>
    </row>
    <row r="21" spans="2:49" ht="32.1" customHeight="1" x14ac:dyDescent="0.3">
      <c r="B21" s="449" t="s">
        <v>40</v>
      </c>
      <c r="C21" s="449" t="s">
        <v>185</v>
      </c>
      <c r="D21" s="449" t="s">
        <v>189</v>
      </c>
      <c r="E21" s="446">
        <f>ABS(SUMIFS('Fixture 총 발주수량'!AH:AH,'Fixture 총 발주수량'!B:B,생산계획!B21,'Fixture 총 발주수량'!AH:AH,"&lt;0"))</f>
        <v>1401</v>
      </c>
      <c r="F21" s="434">
        <f>G21-E21</f>
        <v>-201</v>
      </c>
      <c r="G21" s="435">
        <f>SUMIF(S21:AW21, "&gt;0")</f>
        <v>1200</v>
      </c>
      <c r="H21" s="435">
        <f>SUMIF(S22:AW22, "&gt;0")</f>
        <v>1200</v>
      </c>
      <c r="I21" s="448">
        <f>IFERROR(H21/G21,)</f>
        <v>1</v>
      </c>
      <c r="J21" s="446">
        <f>ROUNDUP(E21/300,)</f>
        <v>5</v>
      </c>
      <c r="K21" s="449" t="s">
        <v>249</v>
      </c>
      <c r="L21" s="446">
        <f>L19+J21</f>
        <v>14</v>
      </c>
      <c r="M21" s="446">
        <f>L21+J21</f>
        <v>19</v>
      </c>
      <c r="N21" s="446">
        <f>N19+J21</f>
        <v>14</v>
      </c>
      <c r="O21" s="447">
        <v>0</v>
      </c>
      <c r="P21" s="447">
        <v>0</v>
      </c>
      <c r="Q21" s="447">
        <v>0</v>
      </c>
      <c r="R21" s="336" t="s">
        <v>264</v>
      </c>
      <c r="S21" s="337">
        <v>300</v>
      </c>
      <c r="T21" s="338"/>
      <c r="U21" s="338"/>
      <c r="V21" s="338"/>
      <c r="W21" s="338"/>
      <c r="X21" s="338">
        <v>300</v>
      </c>
      <c r="Y21" s="338">
        <v>300</v>
      </c>
      <c r="Z21" s="338">
        <v>300</v>
      </c>
      <c r="AA21" s="338"/>
      <c r="AB21" s="338"/>
      <c r="AC21" s="338"/>
      <c r="AD21" s="338"/>
      <c r="AE21" s="338"/>
      <c r="AF21" s="338"/>
      <c r="AG21" s="338"/>
      <c r="AH21" s="338"/>
      <c r="AI21" s="338"/>
      <c r="AJ21" s="338"/>
      <c r="AK21" s="338"/>
      <c r="AL21" s="338"/>
      <c r="AM21" s="338"/>
      <c r="AN21" s="338"/>
      <c r="AO21" s="338"/>
      <c r="AP21" s="338"/>
      <c r="AQ21" s="338"/>
      <c r="AR21" s="338"/>
      <c r="AS21" s="338"/>
      <c r="AT21" s="338"/>
      <c r="AU21" s="338"/>
      <c r="AV21" s="338"/>
      <c r="AW21" s="339"/>
    </row>
    <row r="22" spans="2:49" ht="32.1" customHeight="1" x14ac:dyDescent="0.3">
      <c r="B22" s="445"/>
      <c r="C22" s="445"/>
      <c r="D22" s="445"/>
      <c r="E22" s="439"/>
      <c r="F22" s="432"/>
      <c r="G22" s="436"/>
      <c r="H22" s="436"/>
      <c r="I22" s="443"/>
      <c r="J22" s="439"/>
      <c r="K22" s="445"/>
      <c r="L22" s="439"/>
      <c r="M22" s="439"/>
      <c r="N22" s="439"/>
      <c r="O22" s="441"/>
      <c r="P22" s="441"/>
      <c r="Q22" s="441"/>
      <c r="R22" s="306" t="s">
        <v>266</v>
      </c>
      <c r="S22" s="328">
        <f>INDEX('생산수량Back-Data'!$B$5:$AAA$10041,
       MATCH($B21,'생산수량Back-Data'!$B$5:$B$10041,0),
       MATCH(S$3,'생산수량Back-Data'!$B$3:$AAA$3,0))</f>
        <v>300</v>
      </c>
      <c r="T22" s="343">
        <f>INDEX('생산수량Back-Data'!$B$5:$AAA$10041,
       MATCH($B21,'생산수량Back-Data'!$B$5:$B$10041,0),
       MATCH(T$3,'생산수량Back-Data'!$B$3:$AAA$3,0))</f>
        <v>0</v>
      </c>
      <c r="U22" s="343">
        <f>INDEX('생산수량Back-Data'!$B$5:$AAA$10041,
       MATCH($B21,'생산수량Back-Data'!$B$5:$B$10041,0),
       MATCH(U$3,'생산수량Back-Data'!$B$3:$AAA$3,0))</f>
        <v>0</v>
      </c>
      <c r="V22" s="343">
        <f>INDEX('생산수량Back-Data'!$B$5:$AAA$10041,
       MATCH($B21,'생산수량Back-Data'!$B$5:$B$10041,0),
       MATCH(V$3,'생산수량Back-Data'!$B$3:$AAA$3,0))</f>
        <v>0</v>
      </c>
      <c r="W22" s="343">
        <f>INDEX('생산수량Back-Data'!$B$5:$AAA$10041,
       MATCH($B21,'생산수량Back-Data'!$B$5:$B$10041,0),
       MATCH(W$3,'생산수량Back-Data'!$B$3:$AAA$3,0))</f>
        <v>0</v>
      </c>
      <c r="X22" s="343">
        <f>INDEX('생산수량Back-Data'!$B$5:$AAA$10041,
       MATCH($B21,'생산수량Back-Data'!$B$5:$B$10041,0),
       MATCH(X$3,'생산수량Back-Data'!$B$3:$AAA$3,0))</f>
        <v>300</v>
      </c>
      <c r="Y22" s="343">
        <f>INDEX('생산수량Back-Data'!$B$5:$AAA$10041,
       MATCH($B21,'생산수량Back-Data'!$B$5:$B$10041,0),
       MATCH(Y$3,'생산수량Back-Data'!$B$3:$AAA$3,0))</f>
        <v>300</v>
      </c>
      <c r="Z22" s="343">
        <f>INDEX('생산수량Back-Data'!$B$5:$AAA$10041,
       MATCH($B21,'생산수량Back-Data'!$B$5:$B$10041,0),
       MATCH(Z$3,'생산수량Back-Data'!$B$3:$AAA$3,0))</f>
        <v>300</v>
      </c>
      <c r="AA22" s="343">
        <f>INDEX('생산수량Back-Data'!$B$5:$AAA$10041,
       MATCH($B21,'생산수량Back-Data'!$B$5:$B$10041,0),
       MATCH(AA$3,'생산수량Back-Data'!$B$3:$AAA$3,0))</f>
        <v>0</v>
      </c>
      <c r="AB22" s="343">
        <f>INDEX('생산수량Back-Data'!$B$5:$AAA$10041,
       MATCH($B21,'생산수량Back-Data'!$B$5:$B$10041,0),
       MATCH(AB$3,'생산수량Back-Data'!$B$3:$AAA$3,0))</f>
        <v>0</v>
      </c>
      <c r="AC22" s="343">
        <f>INDEX('생산수량Back-Data'!$B$5:$AAA$10041,
       MATCH($B21,'생산수량Back-Data'!$B$5:$B$10041,0),
       MATCH(AC$3,'생산수량Back-Data'!$B$3:$AAA$3,0))</f>
        <v>0</v>
      </c>
      <c r="AD22" s="343">
        <f>INDEX('생산수량Back-Data'!$B$5:$AAA$10041,
       MATCH($B21,'생산수량Back-Data'!$B$5:$B$10041,0),
       MATCH(AD$3,'생산수량Back-Data'!$B$3:$AAA$3,0))</f>
        <v>0</v>
      </c>
      <c r="AE22" s="343">
        <f>INDEX('생산수량Back-Data'!$B$5:$AAA$10041,
       MATCH($B21,'생산수량Back-Data'!$B$5:$B$10041,0),
       MATCH(AE$3,'생산수량Back-Data'!$B$3:$AAA$3,0))</f>
        <v>0</v>
      </c>
      <c r="AF22" s="343">
        <f>INDEX('생산수량Back-Data'!$B$5:$AAA$10041,
       MATCH($B21,'생산수량Back-Data'!$B$5:$B$10041,0),
       MATCH(AF$3,'생산수량Back-Data'!$B$3:$AAA$3,0))</f>
        <v>0</v>
      </c>
      <c r="AG22" s="343">
        <f>INDEX('생산수량Back-Data'!$B$5:$AAA$10041,
       MATCH($B21,'생산수량Back-Data'!$B$5:$B$10041,0),
       MATCH(AG$3,'생산수량Back-Data'!$B$3:$AAA$3,0))</f>
        <v>0</v>
      </c>
      <c r="AH22" s="343">
        <f>INDEX('생산수량Back-Data'!$B$5:$AAA$10041,
       MATCH($B21,'생산수량Back-Data'!$B$5:$B$10041,0),
       MATCH(AH$3,'생산수량Back-Data'!$B$3:$AAA$3,0))</f>
        <v>0</v>
      </c>
      <c r="AI22" s="343">
        <f>INDEX('생산수량Back-Data'!$B$5:$AAA$10041,
       MATCH($B21,'생산수량Back-Data'!$B$5:$B$10041,0),
       MATCH(AI$3,'생산수량Back-Data'!$B$3:$AAA$3,0))</f>
        <v>0</v>
      </c>
      <c r="AJ22" s="343">
        <f>INDEX('생산수량Back-Data'!$B$5:$AAA$10041,
       MATCH($B21,'생산수량Back-Data'!$B$5:$B$10041,0),
       MATCH(AJ$3,'생산수량Back-Data'!$B$3:$AAA$3,0))</f>
        <v>0</v>
      </c>
      <c r="AK22" s="343">
        <f>INDEX('생산수량Back-Data'!$B$5:$AAA$10041,
       MATCH($B21,'생산수량Back-Data'!$B$5:$B$10041,0),
       MATCH(AK$3,'생산수량Back-Data'!$B$3:$AAA$3,0))</f>
        <v>0</v>
      </c>
      <c r="AL22" s="343">
        <f>INDEX('생산수량Back-Data'!$B$5:$AAA$10041,
       MATCH($B21,'생산수량Back-Data'!$B$5:$B$10041,0),
       MATCH(AL$3,'생산수량Back-Data'!$B$3:$AAA$3,0))</f>
        <v>0</v>
      </c>
      <c r="AM22" s="343">
        <f>INDEX('생산수량Back-Data'!$B$5:$AAA$10041,
       MATCH($B21,'생산수량Back-Data'!$B$5:$B$10041,0),
       MATCH(AM$3,'생산수량Back-Data'!$B$3:$AAA$3,0))</f>
        <v>0</v>
      </c>
      <c r="AN22" s="343">
        <f>INDEX('생산수량Back-Data'!$B$5:$AAA$10041,
       MATCH($B21,'생산수량Back-Data'!$B$5:$B$10041,0),
       MATCH(AN$3,'생산수량Back-Data'!$B$3:$AAA$3,0))</f>
        <v>0</v>
      </c>
      <c r="AO22" s="343">
        <f>INDEX('생산수량Back-Data'!$B$5:$AAA$10041,
       MATCH($B21,'생산수량Back-Data'!$B$5:$B$10041,0),
       MATCH(AO$3,'생산수량Back-Data'!$B$3:$AAA$3,0))</f>
        <v>0</v>
      </c>
      <c r="AP22" s="343">
        <f>INDEX('생산수량Back-Data'!$B$5:$AAA$10041,
       MATCH($B21,'생산수량Back-Data'!$B$5:$B$10041,0),
       MATCH(AP$3,'생산수량Back-Data'!$B$3:$AAA$3,0))</f>
        <v>0</v>
      </c>
      <c r="AQ22" s="343">
        <f>INDEX('생산수량Back-Data'!$B$5:$AAA$10041,
       MATCH($B21,'생산수량Back-Data'!$B$5:$B$10041,0),
       MATCH(AQ$3,'생산수량Back-Data'!$B$3:$AAA$3,0))</f>
        <v>0</v>
      </c>
      <c r="AR22" s="343">
        <f>INDEX('생산수량Back-Data'!$B$5:$AAA$10041,
       MATCH($B21,'생산수량Back-Data'!$B$5:$B$10041,0),
       MATCH(AR$3,'생산수량Back-Data'!$B$3:$AAA$3,0))</f>
        <v>0</v>
      </c>
      <c r="AS22" s="343">
        <f>INDEX('생산수량Back-Data'!$B$5:$AAA$10041,
       MATCH($B21,'생산수량Back-Data'!$B$5:$B$10041,0),
       MATCH(AS$3,'생산수량Back-Data'!$B$3:$AAA$3,0))</f>
        <v>0</v>
      </c>
      <c r="AT22" s="343">
        <f>INDEX('생산수량Back-Data'!$B$5:$AAA$10041,
       MATCH($B21,'생산수량Back-Data'!$B$5:$B$10041,0),
       MATCH(AT$3,'생산수량Back-Data'!$B$3:$AAA$3,0))</f>
        <v>0</v>
      </c>
      <c r="AU22" s="343">
        <f>INDEX('생산수량Back-Data'!$B$5:$AAA$10041,
       MATCH($B21,'생산수량Back-Data'!$B$5:$B$10041,0),
       MATCH(AU$3,'생산수량Back-Data'!$B$3:$AAA$3,0))</f>
        <v>0</v>
      </c>
      <c r="AV22" s="343">
        <f>INDEX('생산수량Back-Data'!$B$5:$AAA$10041,
       MATCH($B21,'생산수량Back-Data'!$B$5:$B$10041,0),
       MATCH(AV$3,'생산수량Back-Data'!$B$3:$AAA$3,0))</f>
        <v>0</v>
      </c>
      <c r="AW22" s="344">
        <f>INDEX('생산수량Back-Data'!$B$5:$AAA$10041,
       MATCH($B21,'생산수량Back-Data'!$B$5:$B$10041,0),
       MATCH(AW$3,'생산수량Back-Data'!$B$3:$AAA$3,0))</f>
        <v>0</v>
      </c>
    </row>
    <row r="23" spans="2:49" ht="32.1" customHeight="1" x14ac:dyDescent="0.3">
      <c r="B23" s="444" t="s">
        <v>41</v>
      </c>
      <c r="C23" s="444" t="s">
        <v>185</v>
      </c>
      <c r="D23" s="444" t="s">
        <v>190</v>
      </c>
      <c r="E23" s="438">
        <f>ABS(SUMIFS('Fixture 총 발주수량'!AH:AH,'Fixture 총 발주수량'!B:B,생산계획!B23,'Fixture 총 발주수량'!AH:AH,"&lt;0"))</f>
        <v>1230</v>
      </c>
      <c r="F23" s="431">
        <f>G23-E23</f>
        <v>-1230</v>
      </c>
      <c r="G23" s="437">
        <f>SUMIF(S23:AW23, "&gt;0")</f>
        <v>0</v>
      </c>
      <c r="H23" s="437">
        <f>SUMIF(S24:AW24, "&gt;0")</f>
        <v>0</v>
      </c>
      <c r="I23" s="442">
        <f>IFERROR(H23/G23,)</f>
        <v>0</v>
      </c>
      <c r="J23" s="438">
        <f>ROUNDUP(E23/300,)</f>
        <v>5</v>
      </c>
      <c r="K23" s="444" t="s">
        <v>249</v>
      </c>
      <c r="L23" s="438">
        <f>L21+J23</f>
        <v>19</v>
      </c>
      <c r="M23" s="438">
        <f>L23+J23</f>
        <v>24</v>
      </c>
      <c r="N23" s="438">
        <f>N21+J23</f>
        <v>19</v>
      </c>
      <c r="O23" s="440">
        <v>0</v>
      </c>
      <c r="P23" s="440">
        <v>0</v>
      </c>
      <c r="Q23" s="440">
        <v>0</v>
      </c>
      <c r="R23" s="306" t="s">
        <v>264</v>
      </c>
      <c r="S23" s="311"/>
      <c r="T23" s="312"/>
      <c r="U23" s="312"/>
      <c r="V23" s="312"/>
      <c r="W23" s="312"/>
      <c r="X23" s="312"/>
      <c r="Y23" s="312"/>
      <c r="Z23" s="312"/>
      <c r="AA23" s="312"/>
      <c r="AB23" s="312"/>
      <c r="AC23" s="312"/>
      <c r="AD23" s="312"/>
      <c r="AE23" s="312"/>
      <c r="AF23" s="312"/>
      <c r="AG23" s="312"/>
      <c r="AH23" s="312"/>
      <c r="AI23" s="312"/>
      <c r="AJ23" s="312"/>
      <c r="AK23" s="312"/>
      <c r="AL23" s="312"/>
      <c r="AM23" s="312"/>
      <c r="AN23" s="312"/>
      <c r="AO23" s="312"/>
      <c r="AP23" s="312"/>
      <c r="AQ23" s="312"/>
      <c r="AR23" s="312"/>
      <c r="AS23" s="312"/>
      <c r="AT23" s="312"/>
      <c r="AU23" s="312"/>
      <c r="AV23" s="312"/>
      <c r="AW23" s="313"/>
    </row>
    <row r="24" spans="2:49" ht="32.1" customHeight="1" x14ac:dyDescent="0.3">
      <c r="B24" s="445"/>
      <c r="C24" s="445"/>
      <c r="D24" s="445"/>
      <c r="E24" s="439"/>
      <c r="F24" s="432"/>
      <c r="G24" s="436"/>
      <c r="H24" s="436"/>
      <c r="I24" s="443"/>
      <c r="J24" s="439"/>
      <c r="K24" s="445"/>
      <c r="L24" s="439"/>
      <c r="M24" s="439"/>
      <c r="N24" s="439"/>
      <c r="O24" s="441"/>
      <c r="P24" s="441"/>
      <c r="Q24" s="441"/>
      <c r="R24" s="306" t="s">
        <v>266</v>
      </c>
      <c r="S24" s="310">
        <f>INDEX('생산수량Back-Data'!$B$5:$AAA$10041,
       MATCH($B23,'생산수량Back-Data'!$B$5:$B$10041,0),
       MATCH(S$3,'생산수량Back-Data'!$B$3:$AAA$3,0))</f>
        <v>0</v>
      </c>
      <c r="T24" s="331">
        <f>INDEX('생산수량Back-Data'!$B$5:$AAA$10041,
       MATCH($B23,'생산수량Back-Data'!$B$5:$B$10041,0),
       MATCH(T$3,'생산수량Back-Data'!$B$3:$AAA$3,0))</f>
        <v>0</v>
      </c>
      <c r="U24" s="331">
        <f>INDEX('생산수량Back-Data'!$B$5:$AAA$10041,
       MATCH($B23,'생산수량Back-Data'!$B$5:$B$10041,0),
       MATCH(U$3,'생산수량Back-Data'!$B$3:$AAA$3,0))</f>
        <v>0</v>
      </c>
      <c r="V24" s="331">
        <f>INDEX('생산수량Back-Data'!$B$5:$AAA$10041,
       MATCH($B23,'생산수량Back-Data'!$B$5:$B$10041,0),
       MATCH(V$3,'생산수량Back-Data'!$B$3:$AAA$3,0))</f>
        <v>0</v>
      </c>
      <c r="W24" s="331">
        <f>INDEX('생산수량Back-Data'!$B$5:$AAA$10041,
       MATCH($B23,'생산수량Back-Data'!$B$5:$B$10041,0),
       MATCH(W$3,'생산수량Back-Data'!$B$3:$AAA$3,0))</f>
        <v>0</v>
      </c>
      <c r="X24" s="331">
        <f>INDEX('생산수량Back-Data'!$B$5:$AAA$10041,
       MATCH($B23,'생산수량Back-Data'!$B$5:$B$10041,0),
       MATCH(X$3,'생산수량Back-Data'!$B$3:$AAA$3,0))</f>
        <v>0</v>
      </c>
      <c r="Y24" s="331">
        <f>INDEX('생산수량Back-Data'!$B$5:$AAA$10041,
       MATCH($B23,'생산수량Back-Data'!$B$5:$B$10041,0),
       MATCH(Y$3,'생산수량Back-Data'!$B$3:$AAA$3,0))</f>
        <v>0</v>
      </c>
      <c r="Z24" s="331">
        <f>INDEX('생산수량Back-Data'!$B$5:$AAA$10041,
       MATCH($B23,'생산수량Back-Data'!$B$5:$B$10041,0),
       MATCH(Z$3,'생산수량Back-Data'!$B$3:$AAA$3,0))</f>
        <v>0</v>
      </c>
      <c r="AA24" s="331">
        <f>INDEX('생산수량Back-Data'!$B$5:$AAA$10041,
       MATCH($B23,'생산수량Back-Data'!$B$5:$B$10041,0),
       MATCH(AA$3,'생산수량Back-Data'!$B$3:$AAA$3,0))</f>
        <v>0</v>
      </c>
      <c r="AB24" s="331">
        <f>INDEX('생산수량Back-Data'!$B$5:$AAA$10041,
       MATCH($B23,'생산수량Back-Data'!$B$5:$B$10041,0),
       MATCH(AB$3,'생산수량Back-Data'!$B$3:$AAA$3,0))</f>
        <v>0</v>
      </c>
      <c r="AC24" s="331">
        <f>INDEX('생산수량Back-Data'!$B$5:$AAA$10041,
       MATCH($B23,'생산수량Back-Data'!$B$5:$B$10041,0),
       MATCH(AC$3,'생산수량Back-Data'!$B$3:$AAA$3,0))</f>
        <v>0</v>
      </c>
      <c r="AD24" s="331">
        <f>INDEX('생산수량Back-Data'!$B$5:$AAA$10041,
       MATCH($B23,'생산수량Back-Data'!$B$5:$B$10041,0),
       MATCH(AD$3,'생산수량Back-Data'!$B$3:$AAA$3,0))</f>
        <v>0</v>
      </c>
      <c r="AE24" s="331">
        <f>INDEX('생산수량Back-Data'!$B$5:$AAA$10041,
       MATCH($B23,'생산수량Back-Data'!$B$5:$B$10041,0),
       MATCH(AE$3,'생산수량Back-Data'!$B$3:$AAA$3,0))</f>
        <v>0</v>
      </c>
      <c r="AF24" s="331">
        <f>INDEX('생산수량Back-Data'!$B$5:$AAA$10041,
       MATCH($B23,'생산수량Back-Data'!$B$5:$B$10041,0),
       MATCH(AF$3,'생산수량Back-Data'!$B$3:$AAA$3,0))</f>
        <v>0</v>
      </c>
      <c r="AG24" s="331">
        <f>INDEX('생산수량Back-Data'!$B$5:$AAA$10041,
       MATCH($B23,'생산수량Back-Data'!$B$5:$B$10041,0),
       MATCH(AG$3,'생산수량Back-Data'!$B$3:$AAA$3,0))</f>
        <v>0</v>
      </c>
      <c r="AH24" s="331">
        <f>INDEX('생산수량Back-Data'!$B$5:$AAA$10041,
       MATCH($B23,'생산수량Back-Data'!$B$5:$B$10041,0),
       MATCH(AH$3,'생산수량Back-Data'!$B$3:$AAA$3,0))</f>
        <v>0</v>
      </c>
      <c r="AI24" s="331">
        <f>INDEX('생산수량Back-Data'!$B$5:$AAA$10041,
       MATCH($B23,'생산수량Back-Data'!$B$5:$B$10041,0),
       MATCH(AI$3,'생산수량Back-Data'!$B$3:$AAA$3,0))</f>
        <v>0</v>
      </c>
      <c r="AJ24" s="331">
        <f>INDEX('생산수량Back-Data'!$B$5:$AAA$10041,
       MATCH($B23,'생산수량Back-Data'!$B$5:$B$10041,0),
       MATCH(AJ$3,'생산수량Back-Data'!$B$3:$AAA$3,0))</f>
        <v>0</v>
      </c>
      <c r="AK24" s="331">
        <f>INDEX('생산수량Back-Data'!$B$5:$AAA$10041,
       MATCH($B23,'생산수량Back-Data'!$B$5:$B$10041,0),
       MATCH(AK$3,'생산수량Back-Data'!$B$3:$AAA$3,0))</f>
        <v>0</v>
      </c>
      <c r="AL24" s="331">
        <f>INDEX('생산수량Back-Data'!$B$5:$AAA$10041,
       MATCH($B23,'생산수량Back-Data'!$B$5:$B$10041,0),
       MATCH(AL$3,'생산수량Back-Data'!$B$3:$AAA$3,0))</f>
        <v>0</v>
      </c>
      <c r="AM24" s="331">
        <f>INDEX('생산수량Back-Data'!$B$5:$AAA$10041,
       MATCH($B23,'생산수량Back-Data'!$B$5:$B$10041,0),
       MATCH(AM$3,'생산수량Back-Data'!$B$3:$AAA$3,0))</f>
        <v>0</v>
      </c>
      <c r="AN24" s="331">
        <f>INDEX('생산수량Back-Data'!$B$5:$AAA$10041,
       MATCH($B23,'생산수량Back-Data'!$B$5:$B$10041,0),
       MATCH(AN$3,'생산수량Back-Data'!$B$3:$AAA$3,0))</f>
        <v>0</v>
      </c>
      <c r="AO24" s="331">
        <f>INDEX('생산수량Back-Data'!$B$5:$AAA$10041,
       MATCH($B23,'생산수량Back-Data'!$B$5:$B$10041,0),
       MATCH(AO$3,'생산수량Back-Data'!$B$3:$AAA$3,0))</f>
        <v>0</v>
      </c>
      <c r="AP24" s="331">
        <f>INDEX('생산수량Back-Data'!$B$5:$AAA$10041,
       MATCH($B23,'생산수량Back-Data'!$B$5:$B$10041,0),
       MATCH(AP$3,'생산수량Back-Data'!$B$3:$AAA$3,0))</f>
        <v>0</v>
      </c>
      <c r="AQ24" s="331">
        <f>INDEX('생산수량Back-Data'!$B$5:$AAA$10041,
       MATCH($B23,'생산수량Back-Data'!$B$5:$B$10041,0),
       MATCH(AQ$3,'생산수량Back-Data'!$B$3:$AAA$3,0))</f>
        <v>0</v>
      </c>
      <c r="AR24" s="331">
        <f>INDEX('생산수량Back-Data'!$B$5:$AAA$10041,
       MATCH($B23,'생산수량Back-Data'!$B$5:$B$10041,0),
       MATCH(AR$3,'생산수량Back-Data'!$B$3:$AAA$3,0))</f>
        <v>0</v>
      </c>
      <c r="AS24" s="331">
        <f>INDEX('생산수량Back-Data'!$B$5:$AAA$10041,
       MATCH($B23,'생산수량Back-Data'!$B$5:$B$10041,0),
       MATCH(AS$3,'생산수량Back-Data'!$B$3:$AAA$3,0))</f>
        <v>0</v>
      </c>
      <c r="AT24" s="331">
        <f>INDEX('생산수량Back-Data'!$B$5:$AAA$10041,
       MATCH($B23,'생산수량Back-Data'!$B$5:$B$10041,0),
       MATCH(AT$3,'생산수량Back-Data'!$B$3:$AAA$3,0))</f>
        <v>0</v>
      </c>
      <c r="AU24" s="331">
        <f>INDEX('생산수량Back-Data'!$B$5:$AAA$10041,
       MATCH($B23,'생산수량Back-Data'!$B$5:$B$10041,0),
       MATCH(AU$3,'생산수량Back-Data'!$B$3:$AAA$3,0))</f>
        <v>0</v>
      </c>
      <c r="AV24" s="331">
        <f>INDEX('생산수량Back-Data'!$B$5:$AAA$10041,
       MATCH($B23,'생산수량Back-Data'!$B$5:$B$10041,0),
       MATCH(AV$3,'생산수량Back-Data'!$B$3:$AAA$3,0))</f>
        <v>0</v>
      </c>
      <c r="AW24" s="332">
        <f>INDEX('생산수량Back-Data'!$B$5:$AAA$10041,
       MATCH($B23,'생산수량Back-Data'!$B$5:$B$10041,0),
       MATCH(AW$3,'생산수량Back-Data'!$B$3:$AAA$3,0))</f>
        <v>0</v>
      </c>
    </row>
    <row r="25" spans="2:49" ht="32.1" customHeight="1" x14ac:dyDescent="0.3">
      <c r="B25" s="444" t="s">
        <v>42</v>
      </c>
      <c r="C25" s="444" t="s">
        <v>185</v>
      </c>
      <c r="D25" s="444" t="s">
        <v>191</v>
      </c>
      <c r="E25" s="438">
        <f>ABS(SUMIFS('Fixture 총 발주수량'!AH:AH,'Fixture 총 발주수량'!B:B,생산계획!B25,'Fixture 총 발주수량'!AH:AH,"&lt;0"))</f>
        <v>2549</v>
      </c>
      <c r="F25" s="431">
        <f>G25-E25</f>
        <v>-1949</v>
      </c>
      <c r="G25" s="437">
        <f>SUMIF(S25:AW25, "&gt;0")</f>
        <v>600</v>
      </c>
      <c r="H25" s="437">
        <f>SUMIF(S26:AW26, "&gt;0")</f>
        <v>0</v>
      </c>
      <c r="I25" s="442">
        <f>IFERROR(H25/G25,)</f>
        <v>0</v>
      </c>
      <c r="J25" s="438">
        <f>ROUNDUP(E25/300,)</f>
        <v>9</v>
      </c>
      <c r="K25" s="444" t="s">
        <v>249</v>
      </c>
      <c r="L25" s="438">
        <f>L23+J25</f>
        <v>28</v>
      </c>
      <c r="M25" s="438">
        <f>L25+J25</f>
        <v>37</v>
      </c>
      <c r="N25" s="438">
        <f>N23+J25</f>
        <v>28</v>
      </c>
      <c r="O25" s="440">
        <v>0</v>
      </c>
      <c r="P25" s="440">
        <v>0</v>
      </c>
      <c r="Q25" s="440">
        <v>0</v>
      </c>
      <c r="R25" s="306" t="s">
        <v>264</v>
      </c>
      <c r="S25" s="311"/>
      <c r="T25" s="312"/>
      <c r="U25" s="312"/>
      <c r="V25" s="312"/>
      <c r="W25" s="312"/>
      <c r="X25" s="312"/>
      <c r="Y25" s="312"/>
      <c r="Z25" s="312"/>
      <c r="AA25" s="312"/>
      <c r="AB25" s="312"/>
      <c r="AC25" s="312"/>
      <c r="AD25" s="312"/>
      <c r="AE25" s="312"/>
      <c r="AF25" s="312"/>
      <c r="AG25" s="312"/>
      <c r="AH25" s="312"/>
      <c r="AI25" s="312"/>
      <c r="AJ25" s="312"/>
      <c r="AK25" s="312"/>
      <c r="AL25" s="312"/>
      <c r="AM25" s="312"/>
      <c r="AN25" s="312"/>
      <c r="AO25" s="312"/>
      <c r="AP25" s="312"/>
      <c r="AQ25" s="312"/>
      <c r="AR25" s="312"/>
      <c r="AS25" s="312"/>
      <c r="AT25" s="312">
        <v>300</v>
      </c>
      <c r="AU25" s="312">
        <v>300</v>
      </c>
      <c r="AV25" s="312"/>
      <c r="AW25" s="313"/>
    </row>
    <row r="26" spans="2:49" ht="32.1" customHeight="1" x14ac:dyDescent="0.3">
      <c r="B26" s="445"/>
      <c r="C26" s="445"/>
      <c r="D26" s="445"/>
      <c r="E26" s="439"/>
      <c r="F26" s="432"/>
      <c r="G26" s="436"/>
      <c r="H26" s="436"/>
      <c r="I26" s="443"/>
      <c r="J26" s="439"/>
      <c r="K26" s="445"/>
      <c r="L26" s="439"/>
      <c r="M26" s="439"/>
      <c r="N26" s="439"/>
      <c r="O26" s="441"/>
      <c r="P26" s="441"/>
      <c r="Q26" s="441"/>
      <c r="R26" s="306" t="s">
        <v>266</v>
      </c>
      <c r="S26" s="310">
        <f>INDEX('생산수량Back-Data'!$B$5:$AAA$10041,
       MATCH($B25,'생산수량Back-Data'!$B$5:$B$10041,0),
       MATCH(S$3,'생산수량Back-Data'!$B$3:$AAA$3,0))</f>
        <v>0</v>
      </c>
      <c r="T26" s="331">
        <f>INDEX('생산수량Back-Data'!$B$5:$AAA$10041,
       MATCH($B25,'생산수량Back-Data'!$B$5:$B$10041,0),
       MATCH(T$3,'생산수량Back-Data'!$B$3:$AAA$3,0))</f>
        <v>0</v>
      </c>
      <c r="U26" s="331">
        <f>INDEX('생산수량Back-Data'!$B$5:$AAA$10041,
       MATCH($B25,'생산수량Back-Data'!$B$5:$B$10041,0),
       MATCH(U$3,'생산수량Back-Data'!$B$3:$AAA$3,0))</f>
        <v>0</v>
      </c>
      <c r="V26" s="331">
        <f>INDEX('생산수량Back-Data'!$B$5:$AAA$10041,
       MATCH($B25,'생산수량Back-Data'!$B$5:$B$10041,0),
       MATCH(V$3,'생산수량Back-Data'!$B$3:$AAA$3,0))</f>
        <v>0</v>
      </c>
      <c r="W26" s="331">
        <f>INDEX('생산수량Back-Data'!$B$5:$AAA$10041,
       MATCH($B25,'생산수량Back-Data'!$B$5:$B$10041,0),
       MATCH(W$3,'생산수량Back-Data'!$B$3:$AAA$3,0))</f>
        <v>0</v>
      </c>
      <c r="X26" s="331">
        <f>INDEX('생산수량Back-Data'!$B$5:$AAA$10041,
       MATCH($B25,'생산수량Back-Data'!$B$5:$B$10041,0),
       MATCH(X$3,'생산수량Back-Data'!$B$3:$AAA$3,0))</f>
        <v>0</v>
      </c>
      <c r="Y26" s="331">
        <f>INDEX('생산수량Back-Data'!$B$5:$AAA$10041,
       MATCH($B25,'생산수량Back-Data'!$B$5:$B$10041,0),
       MATCH(Y$3,'생산수량Back-Data'!$B$3:$AAA$3,0))</f>
        <v>0</v>
      </c>
      <c r="Z26" s="331">
        <f>INDEX('생산수량Back-Data'!$B$5:$AAA$10041,
       MATCH($B25,'생산수량Back-Data'!$B$5:$B$10041,0),
       MATCH(Z$3,'생산수량Back-Data'!$B$3:$AAA$3,0))</f>
        <v>0</v>
      </c>
      <c r="AA26" s="331">
        <f>INDEX('생산수량Back-Data'!$B$5:$AAA$10041,
       MATCH($B25,'생산수량Back-Data'!$B$5:$B$10041,0),
       MATCH(AA$3,'생산수량Back-Data'!$B$3:$AAA$3,0))</f>
        <v>0</v>
      </c>
      <c r="AB26" s="331">
        <f>INDEX('생산수량Back-Data'!$B$5:$AAA$10041,
       MATCH($B25,'생산수량Back-Data'!$B$5:$B$10041,0),
       MATCH(AB$3,'생산수량Back-Data'!$B$3:$AAA$3,0))</f>
        <v>0</v>
      </c>
      <c r="AC26" s="331">
        <f>INDEX('생산수량Back-Data'!$B$5:$AAA$10041,
       MATCH($B25,'생산수량Back-Data'!$B$5:$B$10041,0),
       MATCH(AC$3,'생산수량Back-Data'!$B$3:$AAA$3,0))</f>
        <v>0</v>
      </c>
      <c r="AD26" s="331">
        <f>INDEX('생산수량Back-Data'!$B$5:$AAA$10041,
       MATCH($B25,'생산수량Back-Data'!$B$5:$B$10041,0),
       MATCH(AD$3,'생산수량Back-Data'!$B$3:$AAA$3,0))</f>
        <v>0</v>
      </c>
      <c r="AE26" s="331">
        <f>INDEX('생산수량Back-Data'!$B$5:$AAA$10041,
       MATCH($B25,'생산수량Back-Data'!$B$5:$B$10041,0),
       MATCH(AE$3,'생산수량Back-Data'!$B$3:$AAA$3,0))</f>
        <v>0</v>
      </c>
      <c r="AF26" s="331">
        <f>INDEX('생산수량Back-Data'!$B$5:$AAA$10041,
       MATCH($B25,'생산수량Back-Data'!$B$5:$B$10041,0),
       MATCH(AF$3,'생산수량Back-Data'!$B$3:$AAA$3,0))</f>
        <v>0</v>
      </c>
      <c r="AG26" s="331">
        <f>INDEX('생산수량Back-Data'!$B$5:$AAA$10041,
       MATCH($B25,'생산수량Back-Data'!$B$5:$B$10041,0),
       MATCH(AG$3,'생산수량Back-Data'!$B$3:$AAA$3,0))</f>
        <v>0</v>
      </c>
      <c r="AH26" s="331">
        <f>INDEX('생산수량Back-Data'!$B$5:$AAA$10041,
       MATCH($B25,'생산수량Back-Data'!$B$5:$B$10041,0),
       MATCH(AH$3,'생산수량Back-Data'!$B$3:$AAA$3,0))</f>
        <v>0</v>
      </c>
      <c r="AI26" s="331">
        <f>INDEX('생산수량Back-Data'!$B$5:$AAA$10041,
       MATCH($B25,'생산수량Back-Data'!$B$5:$B$10041,0),
       MATCH(AI$3,'생산수량Back-Data'!$B$3:$AAA$3,0))</f>
        <v>0</v>
      </c>
      <c r="AJ26" s="331">
        <f>INDEX('생산수량Back-Data'!$B$5:$AAA$10041,
       MATCH($B25,'생산수량Back-Data'!$B$5:$B$10041,0),
       MATCH(AJ$3,'생산수량Back-Data'!$B$3:$AAA$3,0))</f>
        <v>0</v>
      </c>
      <c r="AK26" s="331">
        <f>INDEX('생산수량Back-Data'!$B$5:$AAA$10041,
       MATCH($B25,'생산수량Back-Data'!$B$5:$B$10041,0),
       MATCH(AK$3,'생산수량Back-Data'!$B$3:$AAA$3,0))</f>
        <v>0</v>
      </c>
      <c r="AL26" s="331">
        <f>INDEX('생산수량Back-Data'!$B$5:$AAA$10041,
       MATCH($B25,'생산수량Back-Data'!$B$5:$B$10041,0),
       MATCH(AL$3,'생산수량Back-Data'!$B$3:$AAA$3,0))</f>
        <v>0</v>
      </c>
      <c r="AM26" s="331">
        <f>INDEX('생산수량Back-Data'!$B$5:$AAA$10041,
       MATCH($B25,'생산수량Back-Data'!$B$5:$B$10041,0),
       MATCH(AM$3,'생산수량Back-Data'!$B$3:$AAA$3,0))</f>
        <v>0</v>
      </c>
      <c r="AN26" s="331">
        <f>INDEX('생산수량Back-Data'!$B$5:$AAA$10041,
       MATCH($B25,'생산수량Back-Data'!$B$5:$B$10041,0),
       MATCH(AN$3,'생산수량Back-Data'!$B$3:$AAA$3,0))</f>
        <v>0</v>
      </c>
      <c r="AO26" s="331">
        <f>INDEX('생산수량Back-Data'!$B$5:$AAA$10041,
       MATCH($B25,'생산수량Back-Data'!$B$5:$B$10041,0),
       MATCH(AO$3,'생산수량Back-Data'!$B$3:$AAA$3,0))</f>
        <v>0</v>
      </c>
      <c r="AP26" s="331">
        <f>INDEX('생산수량Back-Data'!$B$5:$AAA$10041,
       MATCH($B25,'생산수량Back-Data'!$B$5:$B$10041,0),
       MATCH(AP$3,'생산수량Back-Data'!$B$3:$AAA$3,0))</f>
        <v>0</v>
      </c>
      <c r="AQ26" s="331">
        <f>INDEX('생산수량Back-Data'!$B$5:$AAA$10041,
       MATCH($B25,'생산수량Back-Data'!$B$5:$B$10041,0),
       MATCH(AQ$3,'생산수량Back-Data'!$B$3:$AAA$3,0))</f>
        <v>0</v>
      </c>
      <c r="AR26" s="331">
        <f>INDEX('생산수량Back-Data'!$B$5:$AAA$10041,
       MATCH($B25,'생산수량Back-Data'!$B$5:$B$10041,0),
       MATCH(AR$3,'생산수량Back-Data'!$B$3:$AAA$3,0))</f>
        <v>0</v>
      </c>
      <c r="AS26" s="331">
        <f>INDEX('생산수량Back-Data'!$B$5:$AAA$10041,
       MATCH($B25,'생산수량Back-Data'!$B$5:$B$10041,0),
       MATCH(AS$3,'생산수량Back-Data'!$B$3:$AAA$3,0))</f>
        <v>0</v>
      </c>
      <c r="AT26" s="331">
        <f>INDEX('생산수량Back-Data'!$B$5:$AAA$10041,
       MATCH($B25,'생산수량Back-Data'!$B$5:$B$10041,0),
       MATCH(AT$3,'생산수량Back-Data'!$B$3:$AAA$3,0))</f>
        <v>0</v>
      </c>
      <c r="AU26" s="331">
        <f>INDEX('생산수량Back-Data'!$B$5:$AAA$10041,
       MATCH($B25,'생산수량Back-Data'!$B$5:$B$10041,0),
       MATCH(AU$3,'생산수량Back-Data'!$B$3:$AAA$3,0))</f>
        <v>0</v>
      </c>
      <c r="AV26" s="331">
        <f>INDEX('생산수량Back-Data'!$B$5:$AAA$10041,
       MATCH($B25,'생산수량Back-Data'!$B$5:$B$10041,0),
       MATCH(AV$3,'생산수량Back-Data'!$B$3:$AAA$3,0))</f>
        <v>0</v>
      </c>
      <c r="AW26" s="332">
        <f>INDEX('생산수량Back-Data'!$B$5:$AAA$10041,
       MATCH($B25,'생산수량Back-Data'!$B$5:$B$10041,0),
       MATCH(AW$3,'생산수량Back-Data'!$B$3:$AAA$3,0))</f>
        <v>0</v>
      </c>
    </row>
    <row r="27" spans="2:49" ht="32.1" customHeight="1" x14ac:dyDescent="0.3">
      <c r="B27" s="444" t="s">
        <v>43</v>
      </c>
      <c r="C27" s="444" t="s">
        <v>185</v>
      </c>
      <c r="D27" s="444" t="s">
        <v>192</v>
      </c>
      <c r="E27" s="438">
        <f>ABS(SUMIFS('Fixture 총 발주수량'!AH:AH,'Fixture 총 발주수량'!B:B,생산계획!B27,'Fixture 총 발주수량'!AH:AH,"&lt;0"))</f>
        <v>0</v>
      </c>
      <c r="F27" s="431">
        <f>G27-E27</f>
        <v>0</v>
      </c>
      <c r="G27" s="437">
        <f>SUMIF(S27:AW27, "&gt;0")</f>
        <v>0</v>
      </c>
      <c r="H27" s="437">
        <f>SUMIF(S28:AW28, "&gt;0")</f>
        <v>0</v>
      </c>
      <c r="I27" s="442">
        <f>IFERROR(H27/G27,)</f>
        <v>0</v>
      </c>
      <c r="J27" s="438">
        <f>ROUNDUP(E27/300,)</f>
        <v>0</v>
      </c>
      <c r="K27" s="444" t="s">
        <v>249</v>
      </c>
      <c r="L27" s="438">
        <f>L25+J27</f>
        <v>28</v>
      </c>
      <c r="M27" s="438">
        <f>L27+J27</f>
        <v>28</v>
      </c>
      <c r="N27" s="438">
        <f>N25+J27</f>
        <v>28</v>
      </c>
      <c r="O27" s="440">
        <v>0</v>
      </c>
      <c r="P27" s="440">
        <v>0</v>
      </c>
      <c r="Q27" s="440">
        <v>0</v>
      </c>
      <c r="R27" s="306" t="s">
        <v>264</v>
      </c>
      <c r="S27" s="314"/>
      <c r="T27" s="315"/>
      <c r="U27" s="315"/>
      <c r="V27" s="315"/>
      <c r="W27" s="315"/>
      <c r="X27" s="315"/>
      <c r="Y27" s="315"/>
      <c r="Z27" s="315"/>
      <c r="AA27" s="315"/>
      <c r="AB27" s="315"/>
      <c r="AC27" s="315"/>
      <c r="AD27" s="315"/>
      <c r="AE27" s="315"/>
      <c r="AF27" s="315"/>
      <c r="AG27" s="315"/>
      <c r="AH27" s="315"/>
      <c r="AI27" s="315"/>
      <c r="AJ27" s="315"/>
      <c r="AK27" s="315"/>
      <c r="AL27" s="315"/>
      <c r="AM27" s="315"/>
      <c r="AN27" s="315"/>
      <c r="AO27" s="315"/>
      <c r="AP27" s="315"/>
      <c r="AQ27" s="315"/>
      <c r="AR27" s="315"/>
      <c r="AS27" s="315"/>
      <c r="AT27" s="315"/>
      <c r="AU27" s="315"/>
      <c r="AV27" s="315"/>
      <c r="AW27" s="316"/>
    </row>
    <row r="28" spans="2:49" ht="32.1" customHeight="1" thickBot="1" x14ac:dyDescent="0.35">
      <c r="B28" s="454"/>
      <c r="C28" s="454"/>
      <c r="D28" s="454"/>
      <c r="E28" s="450"/>
      <c r="F28" s="433"/>
      <c r="G28" s="452"/>
      <c r="H28" s="452"/>
      <c r="I28" s="453"/>
      <c r="J28" s="450"/>
      <c r="K28" s="454"/>
      <c r="L28" s="450"/>
      <c r="M28" s="450"/>
      <c r="N28" s="450"/>
      <c r="O28" s="451"/>
      <c r="P28" s="451"/>
      <c r="Q28" s="451"/>
      <c r="R28" s="305" t="s">
        <v>266</v>
      </c>
      <c r="S28" s="310">
        <f>INDEX('생산수량Back-Data'!$B$5:$AAA$10041,
       MATCH($B27,'생산수량Back-Data'!$B$5:$B$10041,0),
       MATCH(S$3,'생산수량Back-Data'!$B$3:$AAA$3,0))</f>
        <v>0</v>
      </c>
      <c r="T28" s="331">
        <f>INDEX('생산수량Back-Data'!$B$5:$AAA$10041,
       MATCH($B27,'생산수량Back-Data'!$B$5:$B$10041,0),
       MATCH(T$3,'생산수량Back-Data'!$B$3:$AAA$3,0))</f>
        <v>0</v>
      </c>
      <c r="U28" s="331">
        <f>INDEX('생산수량Back-Data'!$B$5:$AAA$10041,
       MATCH($B27,'생산수량Back-Data'!$B$5:$B$10041,0),
       MATCH(U$3,'생산수량Back-Data'!$B$3:$AAA$3,0))</f>
        <v>0</v>
      </c>
      <c r="V28" s="331">
        <f>INDEX('생산수량Back-Data'!$B$5:$AAA$10041,
       MATCH($B27,'생산수량Back-Data'!$B$5:$B$10041,0),
       MATCH(V$3,'생산수량Back-Data'!$B$3:$AAA$3,0))</f>
        <v>0</v>
      </c>
      <c r="W28" s="331">
        <f>INDEX('생산수량Back-Data'!$B$5:$AAA$10041,
       MATCH($B27,'생산수량Back-Data'!$B$5:$B$10041,0),
       MATCH(W$3,'생산수량Back-Data'!$B$3:$AAA$3,0))</f>
        <v>0</v>
      </c>
      <c r="X28" s="331">
        <f>INDEX('생산수량Back-Data'!$B$5:$AAA$10041,
       MATCH($B27,'생산수량Back-Data'!$B$5:$B$10041,0),
       MATCH(X$3,'생산수량Back-Data'!$B$3:$AAA$3,0))</f>
        <v>0</v>
      </c>
      <c r="Y28" s="331">
        <f>INDEX('생산수량Back-Data'!$B$5:$AAA$10041,
       MATCH($B27,'생산수량Back-Data'!$B$5:$B$10041,0),
       MATCH(Y$3,'생산수량Back-Data'!$B$3:$AAA$3,0))</f>
        <v>0</v>
      </c>
      <c r="Z28" s="331">
        <f>INDEX('생산수량Back-Data'!$B$5:$AAA$10041,
       MATCH($B27,'생산수량Back-Data'!$B$5:$B$10041,0),
       MATCH(Z$3,'생산수량Back-Data'!$B$3:$AAA$3,0))</f>
        <v>0</v>
      </c>
      <c r="AA28" s="331">
        <f>INDEX('생산수량Back-Data'!$B$5:$AAA$10041,
       MATCH($B27,'생산수량Back-Data'!$B$5:$B$10041,0),
       MATCH(AA$3,'생산수량Back-Data'!$B$3:$AAA$3,0))</f>
        <v>0</v>
      </c>
      <c r="AB28" s="331">
        <f>INDEX('생산수량Back-Data'!$B$5:$AAA$10041,
       MATCH($B27,'생산수량Back-Data'!$B$5:$B$10041,0),
       MATCH(AB$3,'생산수량Back-Data'!$B$3:$AAA$3,0))</f>
        <v>0</v>
      </c>
      <c r="AC28" s="331">
        <f>INDEX('생산수량Back-Data'!$B$5:$AAA$10041,
       MATCH($B27,'생산수량Back-Data'!$B$5:$B$10041,0),
       MATCH(AC$3,'생산수량Back-Data'!$B$3:$AAA$3,0))</f>
        <v>0</v>
      </c>
      <c r="AD28" s="331">
        <f>INDEX('생산수량Back-Data'!$B$5:$AAA$10041,
       MATCH($B27,'생산수량Back-Data'!$B$5:$B$10041,0),
       MATCH(AD$3,'생산수량Back-Data'!$B$3:$AAA$3,0))</f>
        <v>0</v>
      </c>
      <c r="AE28" s="331">
        <f>INDEX('생산수량Back-Data'!$B$5:$AAA$10041,
       MATCH($B27,'생산수량Back-Data'!$B$5:$B$10041,0),
       MATCH(AE$3,'생산수량Back-Data'!$B$3:$AAA$3,0))</f>
        <v>0</v>
      </c>
      <c r="AF28" s="331">
        <f>INDEX('생산수량Back-Data'!$B$5:$AAA$10041,
       MATCH($B27,'생산수량Back-Data'!$B$5:$B$10041,0),
       MATCH(AF$3,'생산수량Back-Data'!$B$3:$AAA$3,0))</f>
        <v>0</v>
      </c>
      <c r="AG28" s="331">
        <f>INDEX('생산수량Back-Data'!$B$5:$AAA$10041,
       MATCH($B27,'생산수량Back-Data'!$B$5:$B$10041,0),
       MATCH(AG$3,'생산수량Back-Data'!$B$3:$AAA$3,0))</f>
        <v>0</v>
      </c>
      <c r="AH28" s="331">
        <f>INDEX('생산수량Back-Data'!$B$5:$AAA$10041,
       MATCH($B27,'생산수량Back-Data'!$B$5:$B$10041,0),
       MATCH(AH$3,'생산수량Back-Data'!$B$3:$AAA$3,0))</f>
        <v>0</v>
      </c>
      <c r="AI28" s="331">
        <f>INDEX('생산수량Back-Data'!$B$5:$AAA$10041,
       MATCH($B27,'생산수량Back-Data'!$B$5:$B$10041,0),
       MATCH(AI$3,'생산수량Back-Data'!$B$3:$AAA$3,0))</f>
        <v>0</v>
      </c>
      <c r="AJ28" s="331">
        <f>INDEX('생산수량Back-Data'!$B$5:$AAA$10041,
       MATCH($B27,'생산수량Back-Data'!$B$5:$B$10041,0),
       MATCH(AJ$3,'생산수량Back-Data'!$B$3:$AAA$3,0))</f>
        <v>0</v>
      </c>
      <c r="AK28" s="331">
        <f>INDEX('생산수량Back-Data'!$B$5:$AAA$10041,
       MATCH($B27,'생산수량Back-Data'!$B$5:$B$10041,0),
       MATCH(AK$3,'생산수량Back-Data'!$B$3:$AAA$3,0))</f>
        <v>0</v>
      </c>
      <c r="AL28" s="331">
        <f>INDEX('생산수량Back-Data'!$B$5:$AAA$10041,
       MATCH($B27,'생산수량Back-Data'!$B$5:$B$10041,0),
       MATCH(AL$3,'생산수량Back-Data'!$B$3:$AAA$3,0))</f>
        <v>0</v>
      </c>
      <c r="AM28" s="331">
        <f>INDEX('생산수량Back-Data'!$B$5:$AAA$10041,
       MATCH($B27,'생산수량Back-Data'!$B$5:$B$10041,0),
       MATCH(AM$3,'생산수량Back-Data'!$B$3:$AAA$3,0))</f>
        <v>0</v>
      </c>
      <c r="AN28" s="331">
        <f>INDEX('생산수량Back-Data'!$B$5:$AAA$10041,
       MATCH($B27,'생산수량Back-Data'!$B$5:$B$10041,0),
       MATCH(AN$3,'생산수량Back-Data'!$B$3:$AAA$3,0))</f>
        <v>0</v>
      </c>
      <c r="AO28" s="331">
        <f>INDEX('생산수량Back-Data'!$B$5:$AAA$10041,
       MATCH($B27,'생산수량Back-Data'!$B$5:$B$10041,0),
       MATCH(AO$3,'생산수량Back-Data'!$B$3:$AAA$3,0))</f>
        <v>0</v>
      </c>
      <c r="AP28" s="331">
        <f>INDEX('생산수량Back-Data'!$B$5:$AAA$10041,
       MATCH($B27,'생산수량Back-Data'!$B$5:$B$10041,0),
       MATCH(AP$3,'생산수량Back-Data'!$B$3:$AAA$3,0))</f>
        <v>0</v>
      </c>
      <c r="AQ28" s="331">
        <f>INDEX('생산수량Back-Data'!$B$5:$AAA$10041,
       MATCH($B27,'생산수량Back-Data'!$B$5:$B$10041,0),
       MATCH(AQ$3,'생산수량Back-Data'!$B$3:$AAA$3,0))</f>
        <v>0</v>
      </c>
      <c r="AR28" s="331">
        <f>INDEX('생산수량Back-Data'!$B$5:$AAA$10041,
       MATCH($B27,'생산수량Back-Data'!$B$5:$B$10041,0),
       MATCH(AR$3,'생산수량Back-Data'!$B$3:$AAA$3,0))</f>
        <v>0</v>
      </c>
      <c r="AS28" s="331">
        <f>INDEX('생산수량Back-Data'!$B$5:$AAA$10041,
       MATCH($B27,'생산수량Back-Data'!$B$5:$B$10041,0),
       MATCH(AS$3,'생산수량Back-Data'!$B$3:$AAA$3,0))</f>
        <v>0</v>
      </c>
      <c r="AT28" s="331">
        <f>INDEX('생산수량Back-Data'!$B$5:$AAA$10041,
       MATCH($B27,'생산수량Back-Data'!$B$5:$B$10041,0),
       MATCH(AT$3,'생산수량Back-Data'!$B$3:$AAA$3,0))</f>
        <v>0</v>
      </c>
      <c r="AU28" s="331">
        <f>INDEX('생산수량Back-Data'!$B$5:$AAA$10041,
       MATCH($B27,'생산수량Back-Data'!$B$5:$B$10041,0),
       MATCH(AU$3,'생산수량Back-Data'!$B$3:$AAA$3,0))</f>
        <v>0</v>
      </c>
      <c r="AV28" s="331">
        <f>INDEX('생산수량Back-Data'!$B$5:$AAA$10041,
       MATCH($B27,'생산수량Back-Data'!$B$5:$B$10041,0),
       MATCH(AV$3,'생산수량Back-Data'!$B$3:$AAA$3,0))</f>
        <v>0</v>
      </c>
      <c r="AW28" s="332">
        <f>INDEX('생산수량Back-Data'!$B$5:$AAA$10041,
       MATCH($B27,'생산수량Back-Data'!$B$5:$B$10041,0),
       MATCH(AW$3,'생산수량Back-Data'!$B$3:$AAA$3,0))</f>
        <v>0</v>
      </c>
    </row>
    <row r="29" spans="2:49" ht="32.1" customHeight="1" x14ac:dyDescent="0.3">
      <c r="B29" s="449" t="s">
        <v>74</v>
      </c>
      <c r="C29" s="449" t="s">
        <v>185</v>
      </c>
      <c r="D29" s="449" t="s">
        <v>208</v>
      </c>
      <c r="E29" s="446">
        <f>ABS(SUMIFS('Fixture 총 발주수량'!AH:AH,'Fixture 총 발주수량'!B:B,생산계획!B29,'Fixture 총 발주수량'!AH:AH,"&lt;0"))</f>
        <v>0</v>
      </c>
      <c r="F29" s="434">
        <f>G29-E29</f>
        <v>0</v>
      </c>
      <c r="G29" s="435">
        <f>SUMIF(S29:AW29, "&gt;0")</f>
        <v>0</v>
      </c>
      <c r="H29" s="435">
        <f>SUMIF(S30:AW30, "&gt;0")</f>
        <v>0</v>
      </c>
      <c r="I29" s="448">
        <f>IFERROR(H29/G29,)</f>
        <v>0</v>
      </c>
      <c r="J29" s="446">
        <f>ROUNDUP(E29/300,)</f>
        <v>0</v>
      </c>
      <c r="K29" s="449" t="s">
        <v>249</v>
      </c>
      <c r="L29" s="446">
        <f>L27+J29</f>
        <v>28</v>
      </c>
      <c r="M29" s="446">
        <f>L29+J29</f>
        <v>28</v>
      </c>
      <c r="N29" s="446">
        <f>N27+J29</f>
        <v>28</v>
      </c>
      <c r="O29" s="447">
        <v>0</v>
      </c>
      <c r="P29" s="447">
        <v>0</v>
      </c>
      <c r="Q29" s="447">
        <v>0</v>
      </c>
      <c r="R29" s="336" t="s">
        <v>264</v>
      </c>
      <c r="S29" s="337"/>
      <c r="T29" s="338"/>
      <c r="U29" s="338"/>
      <c r="V29" s="338"/>
      <c r="W29" s="338"/>
      <c r="X29" s="338"/>
      <c r="Y29" s="338"/>
      <c r="Z29" s="338"/>
      <c r="AA29" s="338"/>
      <c r="AB29" s="338"/>
      <c r="AC29" s="338"/>
      <c r="AD29" s="338"/>
      <c r="AE29" s="338"/>
      <c r="AF29" s="338"/>
      <c r="AG29" s="338"/>
      <c r="AH29" s="338"/>
      <c r="AI29" s="338"/>
      <c r="AJ29" s="338"/>
      <c r="AK29" s="338"/>
      <c r="AL29" s="338"/>
      <c r="AM29" s="338"/>
      <c r="AN29" s="338"/>
      <c r="AO29" s="338"/>
      <c r="AP29" s="338"/>
      <c r="AQ29" s="338"/>
      <c r="AR29" s="338"/>
      <c r="AS29" s="338"/>
      <c r="AT29" s="338"/>
      <c r="AU29" s="338"/>
      <c r="AV29" s="338"/>
      <c r="AW29" s="339"/>
    </row>
    <row r="30" spans="2:49" ht="32.1" customHeight="1" x14ac:dyDescent="0.3">
      <c r="B30" s="445"/>
      <c r="C30" s="445"/>
      <c r="D30" s="445"/>
      <c r="E30" s="439"/>
      <c r="F30" s="432"/>
      <c r="G30" s="436"/>
      <c r="H30" s="436"/>
      <c r="I30" s="443"/>
      <c r="J30" s="439"/>
      <c r="K30" s="445"/>
      <c r="L30" s="439"/>
      <c r="M30" s="439"/>
      <c r="N30" s="439"/>
      <c r="O30" s="441"/>
      <c r="P30" s="441"/>
      <c r="Q30" s="441"/>
      <c r="R30" s="306" t="s">
        <v>266</v>
      </c>
      <c r="S30" s="328">
        <f>INDEX('생산수량Back-Data'!$B$5:$AAA$10041,
       MATCH($B29,'생산수량Back-Data'!$B$5:$B$10041,0),
       MATCH(S$3,'생산수량Back-Data'!$B$3:$AAA$3,0))</f>
        <v>0</v>
      </c>
      <c r="T30" s="343">
        <f>INDEX('생산수량Back-Data'!$B$5:$AAA$10041,
       MATCH($B29,'생산수량Back-Data'!$B$5:$B$10041,0),
       MATCH(T$3,'생산수량Back-Data'!$B$3:$AAA$3,0))</f>
        <v>0</v>
      </c>
      <c r="U30" s="343">
        <f>INDEX('생산수량Back-Data'!$B$5:$AAA$10041,
       MATCH($B29,'생산수량Back-Data'!$B$5:$B$10041,0),
       MATCH(U$3,'생산수량Back-Data'!$B$3:$AAA$3,0))</f>
        <v>0</v>
      </c>
      <c r="V30" s="343">
        <f>INDEX('생산수량Back-Data'!$B$5:$AAA$10041,
       MATCH($B29,'생산수량Back-Data'!$B$5:$B$10041,0),
       MATCH(V$3,'생산수량Back-Data'!$B$3:$AAA$3,0))</f>
        <v>0</v>
      </c>
      <c r="W30" s="343">
        <f>INDEX('생산수량Back-Data'!$B$5:$AAA$10041,
       MATCH($B29,'생산수량Back-Data'!$B$5:$B$10041,0),
       MATCH(W$3,'생산수량Back-Data'!$B$3:$AAA$3,0))</f>
        <v>0</v>
      </c>
      <c r="X30" s="343">
        <f>INDEX('생산수량Back-Data'!$B$5:$AAA$10041,
       MATCH($B29,'생산수량Back-Data'!$B$5:$B$10041,0),
       MATCH(X$3,'생산수량Back-Data'!$B$3:$AAA$3,0))</f>
        <v>0</v>
      </c>
      <c r="Y30" s="343">
        <f>INDEX('생산수량Back-Data'!$B$5:$AAA$10041,
       MATCH($B29,'생산수량Back-Data'!$B$5:$B$10041,0),
       MATCH(Y$3,'생산수량Back-Data'!$B$3:$AAA$3,0))</f>
        <v>0</v>
      </c>
      <c r="Z30" s="343">
        <f>INDEX('생산수량Back-Data'!$B$5:$AAA$10041,
       MATCH($B29,'생산수량Back-Data'!$B$5:$B$10041,0),
       MATCH(Z$3,'생산수량Back-Data'!$B$3:$AAA$3,0))</f>
        <v>0</v>
      </c>
      <c r="AA30" s="343">
        <f>INDEX('생산수량Back-Data'!$B$5:$AAA$10041,
       MATCH($B29,'생산수량Back-Data'!$B$5:$B$10041,0),
       MATCH(AA$3,'생산수량Back-Data'!$B$3:$AAA$3,0))</f>
        <v>0</v>
      </c>
      <c r="AB30" s="343">
        <f>INDEX('생산수량Back-Data'!$B$5:$AAA$10041,
       MATCH($B29,'생산수량Back-Data'!$B$5:$B$10041,0),
       MATCH(AB$3,'생산수량Back-Data'!$B$3:$AAA$3,0))</f>
        <v>0</v>
      </c>
      <c r="AC30" s="343">
        <f>INDEX('생산수량Back-Data'!$B$5:$AAA$10041,
       MATCH($B29,'생산수량Back-Data'!$B$5:$B$10041,0),
       MATCH(AC$3,'생산수량Back-Data'!$B$3:$AAA$3,0))</f>
        <v>0</v>
      </c>
      <c r="AD30" s="343">
        <f>INDEX('생산수량Back-Data'!$B$5:$AAA$10041,
       MATCH($B29,'생산수량Back-Data'!$B$5:$B$10041,0),
       MATCH(AD$3,'생산수량Back-Data'!$B$3:$AAA$3,0))</f>
        <v>0</v>
      </c>
      <c r="AE30" s="343">
        <f>INDEX('생산수량Back-Data'!$B$5:$AAA$10041,
       MATCH($B29,'생산수량Back-Data'!$B$5:$B$10041,0),
       MATCH(AE$3,'생산수량Back-Data'!$B$3:$AAA$3,0))</f>
        <v>0</v>
      </c>
      <c r="AF30" s="343">
        <f>INDEX('생산수량Back-Data'!$B$5:$AAA$10041,
       MATCH($B29,'생산수량Back-Data'!$B$5:$B$10041,0),
       MATCH(AF$3,'생산수량Back-Data'!$B$3:$AAA$3,0))</f>
        <v>0</v>
      </c>
      <c r="AG30" s="343">
        <f>INDEX('생산수량Back-Data'!$B$5:$AAA$10041,
       MATCH($B29,'생산수량Back-Data'!$B$5:$B$10041,0),
       MATCH(AG$3,'생산수량Back-Data'!$B$3:$AAA$3,0))</f>
        <v>0</v>
      </c>
      <c r="AH30" s="343">
        <f>INDEX('생산수량Back-Data'!$B$5:$AAA$10041,
       MATCH($B29,'생산수량Back-Data'!$B$5:$B$10041,0),
       MATCH(AH$3,'생산수량Back-Data'!$B$3:$AAA$3,0))</f>
        <v>0</v>
      </c>
      <c r="AI30" s="343">
        <f>INDEX('생산수량Back-Data'!$B$5:$AAA$10041,
       MATCH($B29,'생산수량Back-Data'!$B$5:$B$10041,0),
       MATCH(AI$3,'생산수량Back-Data'!$B$3:$AAA$3,0))</f>
        <v>0</v>
      </c>
      <c r="AJ30" s="343">
        <f>INDEX('생산수량Back-Data'!$B$5:$AAA$10041,
       MATCH($B29,'생산수량Back-Data'!$B$5:$B$10041,0),
       MATCH(AJ$3,'생산수량Back-Data'!$B$3:$AAA$3,0))</f>
        <v>0</v>
      </c>
      <c r="AK30" s="343">
        <f>INDEX('생산수량Back-Data'!$B$5:$AAA$10041,
       MATCH($B29,'생산수량Back-Data'!$B$5:$B$10041,0),
       MATCH(AK$3,'생산수량Back-Data'!$B$3:$AAA$3,0))</f>
        <v>0</v>
      </c>
      <c r="AL30" s="343">
        <f>INDEX('생산수량Back-Data'!$B$5:$AAA$10041,
       MATCH($B29,'생산수량Back-Data'!$B$5:$B$10041,0),
       MATCH(AL$3,'생산수량Back-Data'!$B$3:$AAA$3,0))</f>
        <v>0</v>
      </c>
      <c r="AM30" s="343">
        <f>INDEX('생산수량Back-Data'!$B$5:$AAA$10041,
       MATCH($B29,'생산수량Back-Data'!$B$5:$B$10041,0),
       MATCH(AM$3,'생산수량Back-Data'!$B$3:$AAA$3,0))</f>
        <v>0</v>
      </c>
      <c r="AN30" s="343">
        <f>INDEX('생산수량Back-Data'!$B$5:$AAA$10041,
       MATCH($B29,'생산수량Back-Data'!$B$5:$B$10041,0),
       MATCH(AN$3,'생산수량Back-Data'!$B$3:$AAA$3,0))</f>
        <v>0</v>
      </c>
      <c r="AO30" s="343">
        <f>INDEX('생산수량Back-Data'!$B$5:$AAA$10041,
       MATCH($B29,'생산수량Back-Data'!$B$5:$B$10041,0),
       MATCH(AO$3,'생산수량Back-Data'!$B$3:$AAA$3,0))</f>
        <v>0</v>
      </c>
      <c r="AP30" s="343">
        <f>INDEX('생산수량Back-Data'!$B$5:$AAA$10041,
       MATCH($B29,'생산수량Back-Data'!$B$5:$B$10041,0),
       MATCH(AP$3,'생산수량Back-Data'!$B$3:$AAA$3,0))</f>
        <v>0</v>
      </c>
      <c r="AQ30" s="343">
        <f>INDEX('생산수량Back-Data'!$B$5:$AAA$10041,
       MATCH($B29,'생산수량Back-Data'!$B$5:$B$10041,0),
       MATCH(AQ$3,'생산수량Back-Data'!$B$3:$AAA$3,0))</f>
        <v>0</v>
      </c>
      <c r="AR30" s="343">
        <f>INDEX('생산수량Back-Data'!$B$5:$AAA$10041,
       MATCH($B29,'생산수량Back-Data'!$B$5:$B$10041,0),
       MATCH(AR$3,'생산수량Back-Data'!$B$3:$AAA$3,0))</f>
        <v>0</v>
      </c>
      <c r="AS30" s="343">
        <f>INDEX('생산수량Back-Data'!$B$5:$AAA$10041,
       MATCH($B29,'생산수량Back-Data'!$B$5:$B$10041,0),
       MATCH(AS$3,'생산수량Back-Data'!$B$3:$AAA$3,0))</f>
        <v>0</v>
      </c>
      <c r="AT30" s="343">
        <f>INDEX('생산수량Back-Data'!$B$5:$AAA$10041,
       MATCH($B29,'생산수량Back-Data'!$B$5:$B$10041,0),
       MATCH(AT$3,'생산수량Back-Data'!$B$3:$AAA$3,0))</f>
        <v>0</v>
      </c>
      <c r="AU30" s="343">
        <f>INDEX('생산수량Back-Data'!$B$5:$AAA$10041,
       MATCH($B29,'생산수량Back-Data'!$B$5:$B$10041,0),
       MATCH(AU$3,'생산수량Back-Data'!$B$3:$AAA$3,0))</f>
        <v>0</v>
      </c>
      <c r="AV30" s="343">
        <f>INDEX('생산수량Back-Data'!$B$5:$AAA$10041,
       MATCH($B29,'생산수량Back-Data'!$B$5:$B$10041,0),
       MATCH(AV$3,'생산수량Back-Data'!$B$3:$AAA$3,0))</f>
        <v>0</v>
      </c>
      <c r="AW30" s="344">
        <f>INDEX('생산수량Back-Data'!$B$5:$AAA$10041,
       MATCH($B29,'생산수량Back-Data'!$B$5:$B$10041,0),
       MATCH(AW$3,'생산수량Back-Data'!$B$3:$AAA$3,0))</f>
        <v>0</v>
      </c>
    </row>
    <row r="31" spans="2:49" ht="32.1" customHeight="1" x14ac:dyDescent="0.3">
      <c r="B31" s="444" t="s">
        <v>75</v>
      </c>
      <c r="C31" s="444" t="s">
        <v>185</v>
      </c>
      <c r="D31" s="444" t="s">
        <v>209</v>
      </c>
      <c r="E31" s="438">
        <f>ABS(SUMIFS('Fixture 총 발주수량'!AH:AH,'Fixture 총 발주수량'!B:B,생산계획!B31,'Fixture 총 발주수량'!AH:AH,"&lt;0"))</f>
        <v>39</v>
      </c>
      <c r="F31" s="431">
        <f>G31-E31</f>
        <v>-39</v>
      </c>
      <c r="G31" s="437">
        <f>SUMIF(S31:AW31, "&gt;0")</f>
        <v>0</v>
      </c>
      <c r="H31" s="437">
        <f>SUMIF(S32:AW32, "&gt;0")</f>
        <v>0</v>
      </c>
      <c r="I31" s="442">
        <f>IFERROR(H31/G31,)</f>
        <v>0</v>
      </c>
      <c r="J31" s="438">
        <f>ROUNDUP(E31/300,)</f>
        <v>1</v>
      </c>
      <c r="K31" s="444" t="s">
        <v>249</v>
      </c>
      <c r="L31" s="438">
        <f>L29+J31</f>
        <v>29</v>
      </c>
      <c r="M31" s="438">
        <f>L31+J31</f>
        <v>30</v>
      </c>
      <c r="N31" s="438">
        <f>N29+J31</f>
        <v>29</v>
      </c>
      <c r="O31" s="440">
        <v>0</v>
      </c>
      <c r="P31" s="440">
        <v>0</v>
      </c>
      <c r="Q31" s="440">
        <v>0</v>
      </c>
      <c r="R31" s="306" t="s">
        <v>264</v>
      </c>
      <c r="S31" s="311"/>
      <c r="T31" s="312"/>
      <c r="U31" s="312"/>
      <c r="V31" s="312"/>
      <c r="W31" s="312"/>
      <c r="X31" s="312"/>
      <c r="Y31" s="312"/>
      <c r="Z31" s="312"/>
      <c r="AA31" s="312"/>
      <c r="AB31" s="312"/>
      <c r="AC31" s="312"/>
      <c r="AD31" s="312"/>
      <c r="AE31" s="312"/>
      <c r="AF31" s="312"/>
      <c r="AG31" s="312"/>
      <c r="AH31" s="312"/>
      <c r="AI31" s="312"/>
      <c r="AJ31" s="312"/>
      <c r="AK31" s="312"/>
      <c r="AL31" s="312"/>
      <c r="AM31" s="312"/>
      <c r="AN31" s="312"/>
      <c r="AO31" s="312"/>
      <c r="AP31" s="312"/>
      <c r="AQ31" s="312"/>
      <c r="AR31" s="312"/>
      <c r="AS31" s="312"/>
      <c r="AT31" s="312"/>
      <c r="AU31" s="312"/>
      <c r="AV31" s="312"/>
      <c r="AW31" s="313"/>
    </row>
    <row r="32" spans="2:49" ht="32.1" customHeight="1" x14ac:dyDescent="0.3">
      <c r="B32" s="445"/>
      <c r="C32" s="445"/>
      <c r="D32" s="445"/>
      <c r="E32" s="439"/>
      <c r="F32" s="432"/>
      <c r="G32" s="436"/>
      <c r="H32" s="436"/>
      <c r="I32" s="443"/>
      <c r="J32" s="439"/>
      <c r="K32" s="445"/>
      <c r="L32" s="439"/>
      <c r="M32" s="439"/>
      <c r="N32" s="439"/>
      <c r="O32" s="441"/>
      <c r="P32" s="441"/>
      <c r="Q32" s="441"/>
      <c r="R32" s="306" t="s">
        <v>266</v>
      </c>
      <c r="S32" s="310">
        <f>INDEX('생산수량Back-Data'!$B$5:$AAA$10041,
       MATCH($B31,'생산수량Back-Data'!$B$5:$B$10041,0),
       MATCH(S$3,'생산수량Back-Data'!$B$3:$AAA$3,0))</f>
        <v>0</v>
      </c>
      <c r="T32" s="331">
        <f>INDEX('생산수량Back-Data'!$B$5:$AAA$10041,
       MATCH($B31,'생산수량Back-Data'!$B$5:$B$10041,0),
       MATCH(T$3,'생산수량Back-Data'!$B$3:$AAA$3,0))</f>
        <v>0</v>
      </c>
      <c r="U32" s="331">
        <f>INDEX('생산수량Back-Data'!$B$5:$AAA$10041,
       MATCH($B31,'생산수량Back-Data'!$B$5:$B$10041,0),
       MATCH(U$3,'생산수량Back-Data'!$B$3:$AAA$3,0))</f>
        <v>0</v>
      </c>
      <c r="V32" s="331">
        <f>INDEX('생산수량Back-Data'!$B$5:$AAA$10041,
       MATCH($B31,'생산수량Back-Data'!$B$5:$B$10041,0),
       MATCH(V$3,'생산수량Back-Data'!$B$3:$AAA$3,0))</f>
        <v>0</v>
      </c>
      <c r="W32" s="331">
        <f>INDEX('생산수량Back-Data'!$B$5:$AAA$10041,
       MATCH($B31,'생산수량Back-Data'!$B$5:$B$10041,0),
       MATCH(W$3,'생산수량Back-Data'!$B$3:$AAA$3,0))</f>
        <v>0</v>
      </c>
      <c r="X32" s="331">
        <f>INDEX('생산수량Back-Data'!$B$5:$AAA$10041,
       MATCH($B31,'생산수량Back-Data'!$B$5:$B$10041,0),
       MATCH(X$3,'생산수량Back-Data'!$B$3:$AAA$3,0))</f>
        <v>0</v>
      </c>
      <c r="Y32" s="331">
        <f>INDEX('생산수량Back-Data'!$B$5:$AAA$10041,
       MATCH($B31,'생산수량Back-Data'!$B$5:$B$10041,0),
       MATCH(Y$3,'생산수량Back-Data'!$B$3:$AAA$3,0))</f>
        <v>0</v>
      </c>
      <c r="Z32" s="331">
        <f>INDEX('생산수량Back-Data'!$B$5:$AAA$10041,
       MATCH($B31,'생산수량Back-Data'!$B$5:$B$10041,0),
       MATCH(Z$3,'생산수량Back-Data'!$B$3:$AAA$3,0))</f>
        <v>0</v>
      </c>
      <c r="AA32" s="331">
        <f>INDEX('생산수량Back-Data'!$B$5:$AAA$10041,
       MATCH($B31,'생산수량Back-Data'!$B$5:$B$10041,0),
       MATCH(AA$3,'생산수량Back-Data'!$B$3:$AAA$3,0))</f>
        <v>0</v>
      </c>
      <c r="AB32" s="331">
        <f>INDEX('생산수량Back-Data'!$B$5:$AAA$10041,
       MATCH($B31,'생산수량Back-Data'!$B$5:$B$10041,0),
       MATCH(AB$3,'생산수량Back-Data'!$B$3:$AAA$3,0))</f>
        <v>0</v>
      </c>
      <c r="AC32" s="331">
        <f>INDEX('생산수량Back-Data'!$B$5:$AAA$10041,
       MATCH($B31,'생산수량Back-Data'!$B$5:$B$10041,0),
       MATCH(AC$3,'생산수량Back-Data'!$B$3:$AAA$3,0))</f>
        <v>0</v>
      </c>
      <c r="AD32" s="331">
        <f>INDEX('생산수량Back-Data'!$B$5:$AAA$10041,
       MATCH($B31,'생산수량Back-Data'!$B$5:$B$10041,0),
       MATCH(AD$3,'생산수량Back-Data'!$B$3:$AAA$3,0))</f>
        <v>0</v>
      </c>
      <c r="AE32" s="331">
        <f>INDEX('생산수량Back-Data'!$B$5:$AAA$10041,
       MATCH($B31,'생산수량Back-Data'!$B$5:$B$10041,0),
       MATCH(AE$3,'생산수량Back-Data'!$B$3:$AAA$3,0))</f>
        <v>0</v>
      </c>
      <c r="AF32" s="331">
        <f>INDEX('생산수량Back-Data'!$B$5:$AAA$10041,
       MATCH($B31,'생산수량Back-Data'!$B$5:$B$10041,0),
       MATCH(AF$3,'생산수량Back-Data'!$B$3:$AAA$3,0))</f>
        <v>0</v>
      </c>
      <c r="AG32" s="331">
        <f>INDEX('생산수량Back-Data'!$B$5:$AAA$10041,
       MATCH($B31,'생산수량Back-Data'!$B$5:$B$10041,0),
       MATCH(AG$3,'생산수량Back-Data'!$B$3:$AAA$3,0))</f>
        <v>0</v>
      </c>
      <c r="AH32" s="331">
        <f>INDEX('생산수량Back-Data'!$B$5:$AAA$10041,
       MATCH($B31,'생산수량Back-Data'!$B$5:$B$10041,0),
       MATCH(AH$3,'생산수량Back-Data'!$B$3:$AAA$3,0))</f>
        <v>0</v>
      </c>
      <c r="AI32" s="331">
        <f>INDEX('생산수량Back-Data'!$B$5:$AAA$10041,
       MATCH($B31,'생산수량Back-Data'!$B$5:$B$10041,0),
       MATCH(AI$3,'생산수량Back-Data'!$B$3:$AAA$3,0))</f>
        <v>0</v>
      </c>
      <c r="AJ32" s="331">
        <f>INDEX('생산수량Back-Data'!$B$5:$AAA$10041,
       MATCH($B31,'생산수량Back-Data'!$B$5:$B$10041,0),
       MATCH(AJ$3,'생산수량Back-Data'!$B$3:$AAA$3,0))</f>
        <v>0</v>
      </c>
      <c r="AK32" s="331">
        <f>INDEX('생산수량Back-Data'!$B$5:$AAA$10041,
       MATCH($B31,'생산수량Back-Data'!$B$5:$B$10041,0),
       MATCH(AK$3,'생산수량Back-Data'!$B$3:$AAA$3,0))</f>
        <v>0</v>
      </c>
      <c r="AL32" s="331">
        <f>INDEX('생산수량Back-Data'!$B$5:$AAA$10041,
       MATCH($B31,'생산수량Back-Data'!$B$5:$B$10041,0),
       MATCH(AL$3,'생산수량Back-Data'!$B$3:$AAA$3,0))</f>
        <v>0</v>
      </c>
      <c r="AM32" s="331">
        <f>INDEX('생산수량Back-Data'!$B$5:$AAA$10041,
       MATCH($B31,'생산수량Back-Data'!$B$5:$B$10041,0),
       MATCH(AM$3,'생산수량Back-Data'!$B$3:$AAA$3,0))</f>
        <v>0</v>
      </c>
      <c r="AN32" s="331">
        <f>INDEX('생산수량Back-Data'!$B$5:$AAA$10041,
       MATCH($B31,'생산수량Back-Data'!$B$5:$B$10041,0),
       MATCH(AN$3,'생산수량Back-Data'!$B$3:$AAA$3,0))</f>
        <v>0</v>
      </c>
      <c r="AO32" s="331">
        <f>INDEX('생산수량Back-Data'!$B$5:$AAA$10041,
       MATCH($B31,'생산수량Back-Data'!$B$5:$B$10041,0),
       MATCH(AO$3,'생산수량Back-Data'!$B$3:$AAA$3,0))</f>
        <v>0</v>
      </c>
      <c r="AP32" s="331">
        <f>INDEX('생산수량Back-Data'!$B$5:$AAA$10041,
       MATCH($B31,'생산수량Back-Data'!$B$5:$B$10041,0),
       MATCH(AP$3,'생산수량Back-Data'!$B$3:$AAA$3,0))</f>
        <v>0</v>
      </c>
      <c r="AQ32" s="331">
        <f>INDEX('생산수량Back-Data'!$B$5:$AAA$10041,
       MATCH($B31,'생산수량Back-Data'!$B$5:$B$10041,0),
       MATCH(AQ$3,'생산수량Back-Data'!$B$3:$AAA$3,0))</f>
        <v>0</v>
      </c>
      <c r="AR32" s="331">
        <f>INDEX('생산수량Back-Data'!$B$5:$AAA$10041,
       MATCH($B31,'생산수량Back-Data'!$B$5:$B$10041,0),
       MATCH(AR$3,'생산수량Back-Data'!$B$3:$AAA$3,0))</f>
        <v>0</v>
      </c>
      <c r="AS32" s="331">
        <f>INDEX('생산수량Back-Data'!$B$5:$AAA$10041,
       MATCH($B31,'생산수량Back-Data'!$B$5:$B$10041,0),
       MATCH(AS$3,'생산수량Back-Data'!$B$3:$AAA$3,0))</f>
        <v>0</v>
      </c>
      <c r="AT32" s="331">
        <f>INDEX('생산수량Back-Data'!$B$5:$AAA$10041,
       MATCH($B31,'생산수량Back-Data'!$B$5:$B$10041,0),
       MATCH(AT$3,'생산수량Back-Data'!$B$3:$AAA$3,0))</f>
        <v>0</v>
      </c>
      <c r="AU32" s="331">
        <f>INDEX('생산수량Back-Data'!$B$5:$AAA$10041,
       MATCH($B31,'생산수량Back-Data'!$B$5:$B$10041,0),
       MATCH(AU$3,'생산수량Back-Data'!$B$3:$AAA$3,0))</f>
        <v>0</v>
      </c>
      <c r="AV32" s="331">
        <f>INDEX('생산수량Back-Data'!$B$5:$AAA$10041,
       MATCH($B31,'생산수량Back-Data'!$B$5:$B$10041,0),
       MATCH(AV$3,'생산수량Back-Data'!$B$3:$AAA$3,0))</f>
        <v>0</v>
      </c>
      <c r="AW32" s="332">
        <f>INDEX('생산수량Back-Data'!$B$5:$AAA$10041,
       MATCH($B31,'생산수량Back-Data'!$B$5:$B$10041,0),
       MATCH(AW$3,'생산수량Back-Data'!$B$3:$AAA$3,0))</f>
        <v>0</v>
      </c>
    </row>
    <row r="33" spans="2:49" ht="32.1" customHeight="1" x14ac:dyDescent="0.3">
      <c r="B33" s="444" t="s">
        <v>76</v>
      </c>
      <c r="C33" s="444" t="s">
        <v>185</v>
      </c>
      <c r="D33" s="444" t="s">
        <v>210</v>
      </c>
      <c r="E33" s="438">
        <f>ABS(SUMIFS('Fixture 총 발주수량'!AH:AH,'Fixture 총 발주수량'!B:B,생산계획!B33,'Fixture 총 발주수량'!AH:AH,"&lt;0"))</f>
        <v>108</v>
      </c>
      <c r="F33" s="431">
        <f>G33-E33</f>
        <v>-108</v>
      </c>
      <c r="G33" s="437">
        <f>SUMIF(S33:AW33, "&gt;0")</f>
        <v>0</v>
      </c>
      <c r="H33" s="437">
        <f>SUMIF(S34:AW34, "&gt;0")</f>
        <v>0</v>
      </c>
      <c r="I33" s="442">
        <f>IFERROR(H33/G33,)</f>
        <v>0</v>
      </c>
      <c r="J33" s="438">
        <f>ROUNDUP(E33/300,)</f>
        <v>1</v>
      </c>
      <c r="K33" s="444" t="s">
        <v>249</v>
      </c>
      <c r="L33" s="438">
        <f>L31+J33</f>
        <v>30</v>
      </c>
      <c r="M33" s="438">
        <f>L33+J33</f>
        <v>31</v>
      </c>
      <c r="N33" s="438">
        <f>N31+J33</f>
        <v>30</v>
      </c>
      <c r="O33" s="440">
        <v>0</v>
      </c>
      <c r="P33" s="440">
        <v>0</v>
      </c>
      <c r="Q33" s="440">
        <v>0</v>
      </c>
      <c r="R33" s="306" t="s">
        <v>264</v>
      </c>
      <c r="S33" s="311"/>
      <c r="T33" s="312"/>
      <c r="U33" s="312"/>
      <c r="V33" s="312"/>
      <c r="W33" s="312"/>
      <c r="X33" s="312"/>
      <c r="Y33" s="312"/>
      <c r="Z33" s="312"/>
      <c r="AA33" s="312"/>
      <c r="AB33" s="312"/>
      <c r="AC33" s="312"/>
      <c r="AD33" s="312"/>
      <c r="AE33" s="312"/>
      <c r="AF33" s="312"/>
      <c r="AG33" s="312"/>
      <c r="AH33" s="312"/>
      <c r="AI33" s="312"/>
      <c r="AJ33" s="312"/>
      <c r="AK33" s="312"/>
      <c r="AL33" s="312"/>
      <c r="AM33" s="312"/>
      <c r="AN33" s="312"/>
      <c r="AO33" s="312"/>
      <c r="AP33" s="312"/>
      <c r="AQ33" s="312"/>
      <c r="AR33" s="312"/>
      <c r="AS33" s="312"/>
      <c r="AT33" s="312"/>
      <c r="AU33" s="312"/>
      <c r="AV33" s="312"/>
      <c r="AW33" s="313"/>
    </row>
    <row r="34" spans="2:49" ht="32.1" customHeight="1" x14ac:dyDescent="0.3">
      <c r="B34" s="445"/>
      <c r="C34" s="445"/>
      <c r="D34" s="445"/>
      <c r="E34" s="439"/>
      <c r="F34" s="432"/>
      <c r="G34" s="436"/>
      <c r="H34" s="436"/>
      <c r="I34" s="443"/>
      <c r="J34" s="439"/>
      <c r="K34" s="445"/>
      <c r="L34" s="439"/>
      <c r="M34" s="439"/>
      <c r="N34" s="439"/>
      <c r="O34" s="441"/>
      <c r="P34" s="441"/>
      <c r="Q34" s="441"/>
      <c r="R34" s="306" t="s">
        <v>266</v>
      </c>
      <c r="S34" s="310">
        <f>INDEX('생산수량Back-Data'!$B$5:$AAA$10041,
       MATCH($B33,'생산수량Back-Data'!$B$5:$B$10041,0),
       MATCH(S$3,'생산수량Back-Data'!$B$3:$AAA$3,0))</f>
        <v>0</v>
      </c>
      <c r="T34" s="331">
        <f>INDEX('생산수량Back-Data'!$B$5:$AAA$10041,
       MATCH($B33,'생산수량Back-Data'!$B$5:$B$10041,0),
       MATCH(T$3,'생산수량Back-Data'!$B$3:$AAA$3,0))</f>
        <v>0</v>
      </c>
      <c r="U34" s="331">
        <f>INDEX('생산수량Back-Data'!$B$5:$AAA$10041,
       MATCH($B33,'생산수량Back-Data'!$B$5:$B$10041,0),
       MATCH(U$3,'생산수량Back-Data'!$B$3:$AAA$3,0))</f>
        <v>0</v>
      </c>
      <c r="V34" s="331">
        <f>INDEX('생산수량Back-Data'!$B$5:$AAA$10041,
       MATCH($B33,'생산수량Back-Data'!$B$5:$B$10041,0),
       MATCH(V$3,'생산수량Back-Data'!$B$3:$AAA$3,0))</f>
        <v>0</v>
      </c>
      <c r="W34" s="331">
        <f>INDEX('생산수량Back-Data'!$B$5:$AAA$10041,
       MATCH($B33,'생산수량Back-Data'!$B$5:$B$10041,0),
       MATCH(W$3,'생산수량Back-Data'!$B$3:$AAA$3,0))</f>
        <v>0</v>
      </c>
      <c r="X34" s="331">
        <f>INDEX('생산수량Back-Data'!$B$5:$AAA$10041,
       MATCH($B33,'생산수량Back-Data'!$B$5:$B$10041,0),
       MATCH(X$3,'생산수량Back-Data'!$B$3:$AAA$3,0))</f>
        <v>0</v>
      </c>
      <c r="Y34" s="331">
        <f>INDEX('생산수량Back-Data'!$B$5:$AAA$10041,
       MATCH($B33,'생산수량Back-Data'!$B$5:$B$10041,0),
       MATCH(Y$3,'생산수량Back-Data'!$B$3:$AAA$3,0))</f>
        <v>0</v>
      </c>
      <c r="Z34" s="331">
        <f>INDEX('생산수량Back-Data'!$B$5:$AAA$10041,
       MATCH($B33,'생산수량Back-Data'!$B$5:$B$10041,0),
       MATCH(Z$3,'생산수량Back-Data'!$B$3:$AAA$3,0))</f>
        <v>0</v>
      </c>
      <c r="AA34" s="331">
        <f>INDEX('생산수량Back-Data'!$B$5:$AAA$10041,
       MATCH($B33,'생산수량Back-Data'!$B$5:$B$10041,0),
       MATCH(AA$3,'생산수량Back-Data'!$B$3:$AAA$3,0))</f>
        <v>0</v>
      </c>
      <c r="AB34" s="331">
        <f>INDEX('생산수량Back-Data'!$B$5:$AAA$10041,
       MATCH($B33,'생산수량Back-Data'!$B$5:$B$10041,0),
       MATCH(AB$3,'생산수량Back-Data'!$B$3:$AAA$3,0))</f>
        <v>0</v>
      </c>
      <c r="AC34" s="331">
        <f>INDEX('생산수량Back-Data'!$B$5:$AAA$10041,
       MATCH($B33,'생산수량Back-Data'!$B$5:$B$10041,0),
       MATCH(AC$3,'생산수량Back-Data'!$B$3:$AAA$3,0))</f>
        <v>0</v>
      </c>
      <c r="AD34" s="331">
        <f>INDEX('생산수량Back-Data'!$B$5:$AAA$10041,
       MATCH($B33,'생산수량Back-Data'!$B$5:$B$10041,0),
       MATCH(AD$3,'생산수량Back-Data'!$B$3:$AAA$3,0))</f>
        <v>0</v>
      </c>
      <c r="AE34" s="331">
        <f>INDEX('생산수량Back-Data'!$B$5:$AAA$10041,
       MATCH($B33,'생산수량Back-Data'!$B$5:$B$10041,0),
       MATCH(AE$3,'생산수량Back-Data'!$B$3:$AAA$3,0))</f>
        <v>0</v>
      </c>
      <c r="AF34" s="331">
        <f>INDEX('생산수량Back-Data'!$B$5:$AAA$10041,
       MATCH($B33,'생산수량Back-Data'!$B$5:$B$10041,0),
       MATCH(AF$3,'생산수량Back-Data'!$B$3:$AAA$3,0))</f>
        <v>0</v>
      </c>
      <c r="AG34" s="331">
        <f>INDEX('생산수량Back-Data'!$B$5:$AAA$10041,
       MATCH($B33,'생산수량Back-Data'!$B$5:$B$10041,0),
       MATCH(AG$3,'생산수량Back-Data'!$B$3:$AAA$3,0))</f>
        <v>0</v>
      </c>
      <c r="AH34" s="331">
        <f>INDEX('생산수량Back-Data'!$B$5:$AAA$10041,
       MATCH($B33,'생산수량Back-Data'!$B$5:$B$10041,0),
       MATCH(AH$3,'생산수량Back-Data'!$B$3:$AAA$3,0))</f>
        <v>0</v>
      </c>
      <c r="AI34" s="331">
        <f>INDEX('생산수량Back-Data'!$B$5:$AAA$10041,
       MATCH($B33,'생산수량Back-Data'!$B$5:$B$10041,0),
       MATCH(AI$3,'생산수량Back-Data'!$B$3:$AAA$3,0))</f>
        <v>0</v>
      </c>
      <c r="AJ34" s="331">
        <f>INDEX('생산수량Back-Data'!$B$5:$AAA$10041,
       MATCH($B33,'생산수량Back-Data'!$B$5:$B$10041,0),
       MATCH(AJ$3,'생산수량Back-Data'!$B$3:$AAA$3,0))</f>
        <v>0</v>
      </c>
      <c r="AK34" s="331">
        <f>INDEX('생산수량Back-Data'!$B$5:$AAA$10041,
       MATCH($B33,'생산수량Back-Data'!$B$5:$B$10041,0),
       MATCH(AK$3,'생산수량Back-Data'!$B$3:$AAA$3,0))</f>
        <v>0</v>
      </c>
      <c r="AL34" s="331">
        <f>INDEX('생산수량Back-Data'!$B$5:$AAA$10041,
       MATCH($B33,'생산수량Back-Data'!$B$5:$B$10041,0),
       MATCH(AL$3,'생산수량Back-Data'!$B$3:$AAA$3,0))</f>
        <v>0</v>
      </c>
      <c r="AM34" s="331">
        <f>INDEX('생산수량Back-Data'!$B$5:$AAA$10041,
       MATCH($B33,'생산수량Back-Data'!$B$5:$B$10041,0),
       MATCH(AM$3,'생산수량Back-Data'!$B$3:$AAA$3,0))</f>
        <v>0</v>
      </c>
      <c r="AN34" s="331">
        <f>INDEX('생산수량Back-Data'!$B$5:$AAA$10041,
       MATCH($B33,'생산수량Back-Data'!$B$5:$B$10041,0),
       MATCH(AN$3,'생산수량Back-Data'!$B$3:$AAA$3,0))</f>
        <v>0</v>
      </c>
      <c r="AO34" s="331">
        <f>INDEX('생산수량Back-Data'!$B$5:$AAA$10041,
       MATCH($B33,'생산수량Back-Data'!$B$5:$B$10041,0),
       MATCH(AO$3,'생산수량Back-Data'!$B$3:$AAA$3,0))</f>
        <v>0</v>
      </c>
      <c r="AP34" s="331">
        <f>INDEX('생산수량Back-Data'!$B$5:$AAA$10041,
       MATCH($B33,'생산수량Back-Data'!$B$5:$B$10041,0),
       MATCH(AP$3,'생산수량Back-Data'!$B$3:$AAA$3,0))</f>
        <v>0</v>
      </c>
      <c r="AQ34" s="331">
        <f>INDEX('생산수량Back-Data'!$B$5:$AAA$10041,
       MATCH($B33,'생산수량Back-Data'!$B$5:$B$10041,0),
       MATCH(AQ$3,'생산수량Back-Data'!$B$3:$AAA$3,0))</f>
        <v>0</v>
      </c>
      <c r="AR34" s="331">
        <f>INDEX('생산수량Back-Data'!$B$5:$AAA$10041,
       MATCH($B33,'생산수량Back-Data'!$B$5:$B$10041,0),
       MATCH(AR$3,'생산수량Back-Data'!$B$3:$AAA$3,0))</f>
        <v>0</v>
      </c>
      <c r="AS34" s="331">
        <f>INDEX('생산수량Back-Data'!$B$5:$AAA$10041,
       MATCH($B33,'생산수량Back-Data'!$B$5:$B$10041,0),
       MATCH(AS$3,'생산수량Back-Data'!$B$3:$AAA$3,0))</f>
        <v>0</v>
      </c>
      <c r="AT34" s="331">
        <f>INDEX('생산수량Back-Data'!$B$5:$AAA$10041,
       MATCH($B33,'생산수량Back-Data'!$B$5:$B$10041,0),
       MATCH(AT$3,'생산수량Back-Data'!$B$3:$AAA$3,0))</f>
        <v>0</v>
      </c>
      <c r="AU34" s="331">
        <f>INDEX('생산수량Back-Data'!$B$5:$AAA$10041,
       MATCH($B33,'생산수량Back-Data'!$B$5:$B$10041,0),
       MATCH(AU$3,'생산수량Back-Data'!$B$3:$AAA$3,0))</f>
        <v>0</v>
      </c>
      <c r="AV34" s="331">
        <f>INDEX('생산수량Back-Data'!$B$5:$AAA$10041,
       MATCH($B33,'생산수량Back-Data'!$B$5:$B$10041,0),
       MATCH(AV$3,'생산수량Back-Data'!$B$3:$AAA$3,0))</f>
        <v>0</v>
      </c>
      <c r="AW34" s="332">
        <f>INDEX('생산수량Back-Data'!$B$5:$AAA$10041,
       MATCH($B33,'생산수량Back-Data'!$B$5:$B$10041,0),
       MATCH(AW$3,'생산수량Back-Data'!$B$3:$AAA$3,0))</f>
        <v>0</v>
      </c>
    </row>
    <row r="35" spans="2:49" ht="32.1" customHeight="1" x14ac:dyDescent="0.3">
      <c r="B35" s="444" t="s">
        <v>71</v>
      </c>
      <c r="C35" s="444" t="s">
        <v>185</v>
      </c>
      <c r="D35" s="444" t="s">
        <v>211</v>
      </c>
      <c r="E35" s="438">
        <f>ABS(SUMIFS('Fixture 총 발주수량'!AH:AH,'Fixture 총 발주수량'!B:B,생산계획!B35,'Fixture 총 발주수량'!AH:AH,"&lt;0"))</f>
        <v>120</v>
      </c>
      <c r="F35" s="431">
        <f>G35-E35</f>
        <v>-120</v>
      </c>
      <c r="G35" s="437">
        <f>SUMIF(S35:AW35, "&gt;0")</f>
        <v>0</v>
      </c>
      <c r="H35" s="437">
        <f>SUMIF(S36:AW36, "&gt;0")</f>
        <v>0</v>
      </c>
      <c r="I35" s="442">
        <f>IFERROR(H35/G35,)</f>
        <v>0</v>
      </c>
      <c r="J35" s="438">
        <f>ROUNDUP(E35/300,)</f>
        <v>1</v>
      </c>
      <c r="K35" s="444" t="s">
        <v>249</v>
      </c>
      <c r="L35" s="438">
        <f>L33+J35</f>
        <v>31</v>
      </c>
      <c r="M35" s="438">
        <f>L35+J35</f>
        <v>32</v>
      </c>
      <c r="N35" s="438">
        <f>N33+J35</f>
        <v>31</v>
      </c>
      <c r="O35" s="440">
        <v>0</v>
      </c>
      <c r="P35" s="440">
        <v>0</v>
      </c>
      <c r="Q35" s="440">
        <v>0</v>
      </c>
      <c r="R35" s="306" t="s">
        <v>264</v>
      </c>
      <c r="S35" s="311"/>
      <c r="T35" s="312"/>
      <c r="U35" s="312"/>
      <c r="V35" s="312"/>
      <c r="W35" s="312"/>
      <c r="X35" s="312"/>
      <c r="Y35" s="312"/>
      <c r="Z35" s="312"/>
      <c r="AA35" s="312"/>
      <c r="AB35" s="312"/>
      <c r="AC35" s="312"/>
      <c r="AD35" s="312"/>
      <c r="AE35" s="312"/>
      <c r="AF35" s="312"/>
      <c r="AG35" s="312"/>
      <c r="AH35" s="312"/>
      <c r="AI35" s="312"/>
      <c r="AJ35" s="312"/>
      <c r="AK35" s="312"/>
      <c r="AL35" s="312"/>
      <c r="AM35" s="312"/>
      <c r="AN35" s="312"/>
      <c r="AO35" s="312"/>
      <c r="AP35" s="312"/>
      <c r="AQ35" s="312"/>
      <c r="AR35" s="312"/>
      <c r="AS35" s="312"/>
      <c r="AT35" s="312"/>
      <c r="AU35" s="312"/>
      <c r="AV35" s="312"/>
      <c r="AW35" s="313"/>
    </row>
    <row r="36" spans="2:49" ht="32.1" customHeight="1" x14ac:dyDescent="0.3">
      <c r="B36" s="445"/>
      <c r="C36" s="445"/>
      <c r="D36" s="445"/>
      <c r="E36" s="439"/>
      <c r="F36" s="432"/>
      <c r="G36" s="436"/>
      <c r="H36" s="436"/>
      <c r="I36" s="443"/>
      <c r="J36" s="439"/>
      <c r="K36" s="445"/>
      <c r="L36" s="439"/>
      <c r="M36" s="439"/>
      <c r="N36" s="439"/>
      <c r="O36" s="441"/>
      <c r="P36" s="441"/>
      <c r="Q36" s="441"/>
      <c r="R36" s="306" t="s">
        <v>266</v>
      </c>
      <c r="S36" s="310">
        <f>INDEX('생산수량Back-Data'!$B$5:$AAA$10041,
       MATCH($B35,'생산수량Back-Data'!$B$5:$B$10041,0),
       MATCH(S$3,'생산수량Back-Data'!$B$3:$AAA$3,0))</f>
        <v>0</v>
      </c>
      <c r="T36" s="331">
        <f>INDEX('생산수량Back-Data'!$B$5:$AAA$10041,
       MATCH($B35,'생산수량Back-Data'!$B$5:$B$10041,0),
       MATCH(T$3,'생산수량Back-Data'!$B$3:$AAA$3,0))</f>
        <v>0</v>
      </c>
      <c r="U36" s="331">
        <f>INDEX('생산수량Back-Data'!$B$5:$AAA$10041,
       MATCH($B35,'생산수량Back-Data'!$B$5:$B$10041,0),
       MATCH(U$3,'생산수량Back-Data'!$B$3:$AAA$3,0))</f>
        <v>0</v>
      </c>
      <c r="V36" s="331">
        <f>INDEX('생산수량Back-Data'!$B$5:$AAA$10041,
       MATCH($B35,'생산수량Back-Data'!$B$5:$B$10041,0),
       MATCH(V$3,'생산수량Back-Data'!$B$3:$AAA$3,0))</f>
        <v>0</v>
      </c>
      <c r="W36" s="331">
        <f>INDEX('생산수량Back-Data'!$B$5:$AAA$10041,
       MATCH($B35,'생산수량Back-Data'!$B$5:$B$10041,0),
       MATCH(W$3,'생산수량Back-Data'!$B$3:$AAA$3,0))</f>
        <v>0</v>
      </c>
      <c r="X36" s="331">
        <f>INDEX('생산수량Back-Data'!$B$5:$AAA$10041,
       MATCH($B35,'생산수량Back-Data'!$B$5:$B$10041,0),
       MATCH(X$3,'생산수량Back-Data'!$B$3:$AAA$3,0))</f>
        <v>0</v>
      </c>
      <c r="Y36" s="331">
        <f>INDEX('생산수량Back-Data'!$B$5:$AAA$10041,
       MATCH($B35,'생산수량Back-Data'!$B$5:$B$10041,0),
       MATCH(Y$3,'생산수량Back-Data'!$B$3:$AAA$3,0))</f>
        <v>0</v>
      </c>
      <c r="Z36" s="331">
        <f>INDEX('생산수량Back-Data'!$B$5:$AAA$10041,
       MATCH($B35,'생산수량Back-Data'!$B$5:$B$10041,0),
       MATCH(Z$3,'생산수량Back-Data'!$B$3:$AAA$3,0))</f>
        <v>0</v>
      </c>
      <c r="AA36" s="331">
        <f>INDEX('생산수량Back-Data'!$B$5:$AAA$10041,
       MATCH($B35,'생산수량Back-Data'!$B$5:$B$10041,0),
       MATCH(AA$3,'생산수량Back-Data'!$B$3:$AAA$3,0))</f>
        <v>0</v>
      </c>
      <c r="AB36" s="331">
        <f>INDEX('생산수량Back-Data'!$B$5:$AAA$10041,
       MATCH($B35,'생산수량Back-Data'!$B$5:$B$10041,0),
       MATCH(AB$3,'생산수량Back-Data'!$B$3:$AAA$3,0))</f>
        <v>0</v>
      </c>
      <c r="AC36" s="331">
        <f>INDEX('생산수량Back-Data'!$B$5:$AAA$10041,
       MATCH($B35,'생산수량Back-Data'!$B$5:$B$10041,0),
       MATCH(AC$3,'생산수량Back-Data'!$B$3:$AAA$3,0))</f>
        <v>0</v>
      </c>
      <c r="AD36" s="331">
        <f>INDEX('생산수량Back-Data'!$B$5:$AAA$10041,
       MATCH($B35,'생산수량Back-Data'!$B$5:$B$10041,0),
       MATCH(AD$3,'생산수량Back-Data'!$B$3:$AAA$3,0))</f>
        <v>0</v>
      </c>
      <c r="AE36" s="331">
        <f>INDEX('생산수량Back-Data'!$B$5:$AAA$10041,
       MATCH($B35,'생산수량Back-Data'!$B$5:$B$10041,0),
       MATCH(AE$3,'생산수량Back-Data'!$B$3:$AAA$3,0))</f>
        <v>0</v>
      </c>
      <c r="AF36" s="331">
        <f>INDEX('생산수량Back-Data'!$B$5:$AAA$10041,
       MATCH($B35,'생산수량Back-Data'!$B$5:$B$10041,0),
       MATCH(AF$3,'생산수량Back-Data'!$B$3:$AAA$3,0))</f>
        <v>0</v>
      </c>
      <c r="AG36" s="331">
        <f>INDEX('생산수량Back-Data'!$B$5:$AAA$10041,
       MATCH($B35,'생산수량Back-Data'!$B$5:$B$10041,0),
       MATCH(AG$3,'생산수량Back-Data'!$B$3:$AAA$3,0))</f>
        <v>0</v>
      </c>
      <c r="AH36" s="331">
        <f>INDEX('생산수량Back-Data'!$B$5:$AAA$10041,
       MATCH($B35,'생산수량Back-Data'!$B$5:$B$10041,0),
       MATCH(AH$3,'생산수량Back-Data'!$B$3:$AAA$3,0))</f>
        <v>0</v>
      </c>
      <c r="AI36" s="331">
        <f>INDEX('생산수량Back-Data'!$B$5:$AAA$10041,
       MATCH($B35,'생산수량Back-Data'!$B$5:$B$10041,0),
       MATCH(AI$3,'생산수량Back-Data'!$B$3:$AAA$3,0))</f>
        <v>0</v>
      </c>
      <c r="AJ36" s="331">
        <f>INDEX('생산수량Back-Data'!$B$5:$AAA$10041,
       MATCH($B35,'생산수량Back-Data'!$B$5:$B$10041,0),
       MATCH(AJ$3,'생산수량Back-Data'!$B$3:$AAA$3,0))</f>
        <v>0</v>
      </c>
      <c r="AK36" s="331">
        <f>INDEX('생산수량Back-Data'!$B$5:$AAA$10041,
       MATCH($B35,'생산수량Back-Data'!$B$5:$B$10041,0),
       MATCH(AK$3,'생산수량Back-Data'!$B$3:$AAA$3,0))</f>
        <v>0</v>
      </c>
      <c r="AL36" s="331">
        <f>INDEX('생산수량Back-Data'!$B$5:$AAA$10041,
       MATCH($B35,'생산수량Back-Data'!$B$5:$B$10041,0),
       MATCH(AL$3,'생산수량Back-Data'!$B$3:$AAA$3,0))</f>
        <v>0</v>
      </c>
      <c r="AM36" s="331">
        <f>INDEX('생산수량Back-Data'!$B$5:$AAA$10041,
       MATCH($B35,'생산수량Back-Data'!$B$5:$B$10041,0),
       MATCH(AM$3,'생산수량Back-Data'!$B$3:$AAA$3,0))</f>
        <v>0</v>
      </c>
      <c r="AN36" s="331">
        <f>INDEX('생산수량Back-Data'!$B$5:$AAA$10041,
       MATCH($B35,'생산수량Back-Data'!$B$5:$B$10041,0),
       MATCH(AN$3,'생산수량Back-Data'!$B$3:$AAA$3,0))</f>
        <v>0</v>
      </c>
      <c r="AO36" s="331">
        <f>INDEX('생산수량Back-Data'!$B$5:$AAA$10041,
       MATCH($B35,'생산수량Back-Data'!$B$5:$B$10041,0),
       MATCH(AO$3,'생산수량Back-Data'!$B$3:$AAA$3,0))</f>
        <v>0</v>
      </c>
      <c r="AP36" s="331">
        <f>INDEX('생산수량Back-Data'!$B$5:$AAA$10041,
       MATCH($B35,'생산수량Back-Data'!$B$5:$B$10041,0),
       MATCH(AP$3,'생산수량Back-Data'!$B$3:$AAA$3,0))</f>
        <v>0</v>
      </c>
      <c r="AQ36" s="331">
        <f>INDEX('생산수량Back-Data'!$B$5:$AAA$10041,
       MATCH($B35,'생산수량Back-Data'!$B$5:$B$10041,0),
       MATCH(AQ$3,'생산수량Back-Data'!$B$3:$AAA$3,0))</f>
        <v>0</v>
      </c>
      <c r="AR36" s="331">
        <f>INDEX('생산수량Back-Data'!$B$5:$AAA$10041,
       MATCH($B35,'생산수량Back-Data'!$B$5:$B$10041,0),
       MATCH(AR$3,'생산수량Back-Data'!$B$3:$AAA$3,0))</f>
        <v>0</v>
      </c>
      <c r="AS36" s="331">
        <f>INDEX('생산수량Back-Data'!$B$5:$AAA$10041,
       MATCH($B35,'생산수량Back-Data'!$B$5:$B$10041,0),
       MATCH(AS$3,'생산수량Back-Data'!$B$3:$AAA$3,0))</f>
        <v>0</v>
      </c>
      <c r="AT36" s="331">
        <f>INDEX('생산수량Back-Data'!$B$5:$AAA$10041,
       MATCH($B35,'생산수량Back-Data'!$B$5:$B$10041,0),
       MATCH(AT$3,'생산수량Back-Data'!$B$3:$AAA$3,0))</f>
        <v>0</v>
      </c>
      <c r="AU36" s="331">
        <f>INDEX('생산수량Back-Data'!$B$5:$AAA$10041,
       MATCH($B35,'생산수량Back-Data'!$B$5:$B$10041,0),
       MATCH(AU$3,'생산수량Back-Data'!$B$3:$AAA$3,0))</f>
        <v>0</v>
      </c>
      <c r="AV36" s="331">
        <f>INDEX('생산수량Back-Data'!$B$5:$AAA$10041,
       MATCH($B35,'생산수량Back-Data'!$B$5:$B$10041,0),
       MATCH(AV$3,'생산수량Back-Data'!$B$3:$AAA$3,0))</f>
        <v>0</v>
      </c>
      <c r="AW36" s="332">
        <f>INDEX('생산수량Back-Data'!$B$5:$AAA$10041,
       MATCH($B35,'생산수량Back-Data'!$B$5:$B$10041,0),
       MATCH(AW$3,'생산수량Back-Data'!$B$3:$AAA$3,0))</f>
        <v>0</v>
      </c>
    </row>
    <row r="37" spans="2:49" ht="32.1" customHeight="1" x14ac:dyDescent="0.3">
      <c r="B37" s="444" t="s">
        <v>72</v>
      </c>
      <c r="C37" s="444" t="s">
        <v>185</v>
      </c>
      <c r="D37" s="444" t="s">
        <v>212</v>
      </c>
      <c r="E37" s="438">
        <f>ABS(SUMIFS('Fixture 총 발주수량'!AH:AH,'Fixture 총 발주수량'!B:B,생산계획!B37,'Fixture 총 발주수량'!AH:AH,"&lt;0"))</f>
        <v>294</v>
      </c>
      <c r="F37" s="431">
        <f>G37-E37</f>
        <v>-294</v>
      </c>
      <c r="G37" s="437">
        <f>SUMIF(S37:AW37, "&gt;0")</f>
        <v>0</v>
      </c>
      <c r="H37" s="437">
        <f>SUMIF(S38:AW38, "&gt;0")</f>
        <v>0</v>
      </c>
      <c r="I37" s="442">
        <f>IFERROR(H37/G37,)</f>
        <v>0</v>
      </c>
      <c r="J37" s="438">
        <f>ROUNDUP(E37/300,)</f>
        <v>1</v>
      </c>
      <c r="K37" s="444" t="s">
        <v>249</v>
      </c>
      <c r="L37" s="438">
        <f>L35+J37</f>
        <v>32</v>
      </c>
      <c r="M37" s="438">
        <f>L37+J37</f>
        <v>33</v>
      </c>
      <c r="N37" s="438">
        <f>N35+J37</f>
        <v>32</v>
      </c>
      <c r="O37" s="440">
        <v>0</v>
      </c>
      <c r="P37" s="440">
        <v>0</v>
      </c>
      <c r="Q37" s="440">
        <v>0</v>
      </c>
      <c r="R37" s="306" t="s">
        <v>264</v>
      </c>
      <c r="S37" s="311"/>
      <c r="T37" s="312"/>
      <c r="U37" s="312"/>
      <c r="V37" s="312"/>
      <c r="W37" s="312"/>
      <c r="X37" s="312"/>
      <c r="Y37" s="312"/>
      <c r="Z37" s="312"/>
      <c r="AA37" s="312"/>
      <c r="AB37" s="312"/>
      <c r="AC37" s="312"/>
      <c r="AD37" s="312"/>
      <c r="AE37" s="312"/>
      <c r="AF37" s="312"/>
      <c r="AG37" s="312"/>
      <c r="AH37" s="312"/>
      <c r="AI37" s="312"/>
      <c r="AJ37" s="312"/>
      <c r="AK37" s="312"/>
      <c r="AL37" s="312"/>
      <c r="AM37" s="312"/>
      <c r="AN37" s="312"/>
      <c r="AO37" s="312"/>
      <c r="AP37" s="312"/>
      <c r="AQ37" s="312"/>
      <c r="AR37" s="312"/>
      <c r="AS37" s="312"/>
      <c r="AT37" s="312"/>
      <c r="AU37" s="312"/>
      <c r="AV37" s="312"/>
      <c r="AW37" s="313"/>
    </row>
    <row r="38" spans="2:49" ht="32.1" customHeight="1" x14ac:dyDescent="0.3">
      <c r="B38" s="445"/>
      <c r="C38" s="445"/>
      <c r="D38" s="445"/>
      <c r="E38" s="439"/>
      <c r="F38" s="432"/>
      <c r="G38" s="436"/>
      <c r="H38" s="436"/>
      <c r="I38" s="443"/>
      <c r="J38" s="439"/>
      <c r="K38" s="445"/>
      <c r="L38" s="439"/>
      <c r="M38" s="439"/>
      <c r="N38" s="439"/>
      <c r="O38" s="441"/>
      <c r="P38" s="441"/>
      <c r="Q38" s="441"/>
      <c r="R38" s="306" t="s">
        <v>266</v>
      </c>
      <c r="S38" s="310">
        <f>INDEX('생산수량Back-Data'!$B$5:$AAA$10041,
       MATCH($B37,'생산수량Back-Data'!$B$5:$B$10041,0),
       MATCH(S$3,'생산수량Back-Data'!$B$3:$AAA$3,0))</f>
        <v>0</v>
      </c>
      <c r="T38" s="331">
        <f>INDEX('생산수량Back-Data'!$B$5:$AAA$10041,
       MATCH($B37,'생산수량Back-Data'!$B$5:$B$10041,0),
       MATCH(T$3,'생산수량Back-Data'!$B$3:$AAA$3,0))</f>
        <v>0</v>
      </c>
      <c r="U38" s="331">
        <f>INDEX('생산수량Back-Data'!$B$5:$AAA$10041,
       MATCH($B37,'생산수량Back-Data'!$B$5:$B$10041,0),
       MATCH(U$3,'생산수량Back-Data'!$B$3:$AAA$3,0))</f>
        <v>0</v>
      </c>
      <c r="V38" s="331">
        <f>INDEX('생산수량Back-Data'!$B$5:$AAA$10041,
       MATCH($B37,'생산수량Back-Data'!$B$5:$B$10041,0),
       MATCH(V$3,'생산수량Back-Data'!$B$3:$AAA$3,0))</f>
        <v>0</v>
      </c>
      <c r="W38" s="331">
        <f>INDEX('생산수량Back-Data'!$B$5:$AAA$10041,
       MATCH($B37,'생산수량Back-Data'!$B$5:$B$10041,0),
       MATCH(W$3,'생산수량Back-Data'!$B$3:$AAA$3,0))</f>
        <v>0</v>
      </c>
      <c r="X38" s="331">
        <f>INDEX('생산수량Back-Data'!$B$5:$AAA$10041,
       MATCH($B37,'생산수량Back-Data'!$B$5:$B$10041,0),
       MATCH(X$3,'생산수량Back-Data'!$B$3:$AAA$3,0))</f>
        <v>0</v>
      </c>
      <c r="Y38" s="331">
        <f>INDEX('생산수량Back-Data'!$B$5:$AAA$10041,
       MATCH($B37,'생산수량Back-Data'!$B$5:$B$10041,0),
       MATCH(Y$3,'생산수량Back-Data'!$B$3:$AAA$3,0))</f>
        <v>0</v>
      </c>
      <c r="Z38" s="331">
        <f>INDEX('생산수량Back-Data'!$B$5:$AAA$10041,
       MATCH($B37,'생산수량Back-Data'!$B$5:$B$10041,0),
       MATCH(Z$3,'생산수량Back-Data'!$B$3:$AAA$3,0))</f>
        <v>0</v>
      </c>
      <c r="AA38" s="331">
        <f>INDEX('생산수량Back-Data'!$B$5:$AAA$10041,
       MATCH($B37,'생산수량Back-Data'!$B$5:$B$10041,0),
       MATCH(AA$3,'생산수량Back-Data'!$B$3:$AAA$3,0))</f>
        <v>0</v>
      </c>
      <c r="AB38" s="331">
        <f>INDEX('생산수량Back-Data'!$B$5:$AAA$10041,
       MATCH($B37,'생산수량Back-Data'!$B$5:$B$10041,0),
       MATCH(AB$3,'생산수량Back-Data'!$B$3:$AAA$3,0))</f>
        <v>0</v>
      </c>
      <c r="AC38" s="331">
        <f>INDEX('생산수량Back-Data'!$B$5:$AAA$10041,
       MATCH($B37,'생산수량Back-Data'!$B$5:$B$10041,0),
       MATCH(AC$3,'생산수량Back-Data'!$B$3:$AAA$3,0))</f>
        <v>0</v>
      </c>
      <c r="AD38" s="331">
        <f>INDEX('생산수량Back-Data'!$B$5:$AAA$10041,
       MATCH($B37,'생산수량Back-Data'!$B$5:$B$10041,0),
       MATCH(AD$3,'생산수량Back-Data'!$B$3:$AAA$3,0))</f>
        <v>0</v>
      </c>
      <c r="AE38" s="331">
        <f>INDEX('생산수량Back-Data'!$B$5:$AAA$10041,
       MATCH($B37,'생산수량Back-Data'!$B$5:$B$10041,0),
       MATCH(AE$3,'생산수량Back-Data'!$B$3:$AAA$3,0))</f>
        <v>0</v>
      </c>
      <c r="AF38" s="331">
        <f>INDEX('생산수량Back-Data'!$B$5:$AAA$10041,
       MATCH($B37,'생산수량Back-Data'!$B$5:$B$10041,0),
       MATCH(AF$3,'생산수량Back-Data'!$B$3:$AAA$3,0))</f>
        <v>0</v>
      </c>
      <c r="AG38" s="331">
        <f>INDEX('생산수량Back-Data'!$B$5:$AAA$10041,
       MATCH($B37,'생산수량Back-Data'!$B$5:$B$10041,0),
       MATCH(AG$3,'생산수량Back-Data'!$B$3:$AAA$3,0))</f>
        <v>0</v>
      </c>
      <c r="AH38" s="331">
        <f>INDEX('생산수량Back-Data'!$B$5:$AAA$10041,
       MATCH($B37,'생산수량Back-Data'!$B$5:$B$10041,0),
       MATCH(AH$3,'생산수량Back-Data'!$B$3:$AAA$3,0))</f>
        <v>0</v>
      </c>
      <c r="AI38" s="331">
        <f>INDEX('생산수량Back-Data'!$B$5:$AAA$10041,
       MATCH($B37,'생산수량Back-Data'!$B$5:$B$10041,0),
       MATCH(AI$3,'생산수량Back-Data'!$B$3:$AAA$3,0))</f>
        <v>0</v>
      </c>
      <c r="AJ38" s="331">
        <f>INDEX('생산수량Back-Data'!$B$5:$AAA$10041,
       MATCH($B37,'생산수량Back-Data'!$B$5:$B$10041,0),
       MATCH(AJ$3,'생산수량Back-Data'!$B$3:$AAA$3,0))</f>
        <v>0</v>
      </c>
      <c r="AK38" s="331">
        <f>INDEX('생산수량Back-Data'!$B$5:$AAA$10041,
       MATCH($B37,'생산수량Back-Data'!$B$5:$B$10041,0),
       MATCH(AK$3,'생산수량Back-Data'!$B$3:$AAA$3,0))</f>
        <v>0</v>
      </c>
      <c r="AL38" s="331">
        <f>INDEX('생산수량Back-Data'!$B$5:$AAA$10041,
       MATCH($B37,'생산수량Back-Data'!$B$5:$B$10041,0),
       MATCH(AL$3,'생산수량Back-Data'!$B$3:$AAA$3,0))</f>
        <v>0</v>
      </c>
      <c r="AM38" s="331">
        <f>INDEX('생산수량Back-Data'!$B$5:$AAA$10041,
       MATCH($B37,'생산수량Back-Data'!$B$5:$B$10041,0),
       MATCH(AM$3,'생산수량Back-Data'!$B$3:$AAA$3,0))</f>
        <v>0</v>
      </c>
      <c r="AN38" s="331">
        <f>INDEX('생산수량Back-Data'!$B$5:$AAA$10041,
       MATCH($B37,'생산수량Back-Data'!$B$5:$B$10041,0),
       MATCH(AN$3,'생산수량Back-Data'!$B$3:$AAA$3,0))</f>
        <v>0</v>
      </c>
      <c r="AO38" s="331">
        <f>INDEX('생산수량Back-Data'!$B$5:$AAA$10041,
       MATCH($B37,'생산수량Back-Data'!$B$5:$B$10041,0),
       MATCH(AO$3,'생산수량Back-Data'!$B$3:$AAA$3,0))</f>
        <v>0</v>
      </c>
      <c r="AP38" s="331">
        <f>INDEX('생산수량Back-Data'!$B$5:$AAA$10041,
       MATCH($B37,'생산수량Back-Data'!$B$5:$B$10041,0),
       MATCH(AP$3,'생산수량Back-Data'!$B$3:$AAA$3,0))</f>
        <v>0</v>
      </c>
      <c r="AQ38" s="331">
        <f>INDEX('생산수량Back-Data'!$B$5:$AAA$10041,
       MATCH($B37,'생산수량Back-Data'!$B$5:$B$10041,0),
       MATCH(AQ$3,'생산수량Back-Data'!$B$3:$AAA$3,0))</f>
        <v>0</v>
      </c>
      <c r="AR38" s="331">
        <f>INDEX('생산수량Back-Data'!$B$5:$AAA$10041,
       MATCH($B37,'생산수량Back-Data'!$B$5:$B$10041,0),
       MATCH(AR$3,'생산수량Back-Data'!$B$3:$AAA$3,0))</f>
        <v>0</v>
      </c>
      <c r="AS38" s="331">
        <f>INDEX('생산수량Back-Data'!$B$5:$AAA$10041,
       MATCH($B37,'생산수량Back-Data'!$B$5:$B$10041,0),
       MATCH(AS$3,'생산수량Back-Data'!$B$3:$AAA$3,0))</f>
        <v>0</v>
      </c>
      <c r="AT38" s="331">
        <f>INDEX('생산수량Back-Data'!$B$5:$AAA$10041,
       MATCH($B37,'생산수량Back-Data'!$B$5:$B$10041,0),
       MATCH(AT$3,'생산수량Back-Data'!$B$3:$AAA$3,0))</f>
        <v>0</v>
      </c>
      <c r="AU38" s="331">
        <f>INDEX('생산수량Back-Data'!$B$5:$AAA$10041,
       MATCH($B37,'생산수량Back-Data'!$B$5:$B$10041,0),
       MATCH(AU$3,'생산수량Back-Data'!$B$3:$AAA$3,0))</f>
        <v>0</v>
      </c>
      <c r="AV38" s="331">
        <f>INDEX('생산수량Back-Data'!$B$5:$AAA$10041,
       MATCH($B37,'생산수량Back-Data'!$B$5:$B$10041,0),
       MATCH(AV$3,'생산수량Back-Data'!$B$3:$AAA$3,0))</f>
        <v>0</v>
      </c>
      <c r="AW38" s="332">
        <f>INDEX('생산수량Back-Data'!$B$5:$AAA$10041,
       MATCH($B37,'생산수량Back-Data'!$B$5:$B$10041,0),
       MATCH(AW$3,'생산수량Back-Data'!$B$3:$AAA$3,0))</f>
        <v>0</v>
      </c>
    </row>
    <row r="39" spans="2:49" ht="32.1" customHeight="1" x14ac:dyDescent="0.3">
      <c r="B39" s="444" t="s">
        <v>73</v>
      </c>
      <c r="C39" s="444" t="s">
        <v>185</v>
      </c>
      <c r="D39" s="444" t="s">
        <v>213</v>
      </c>
      <c r="E39" s="438">
        <f>ABS(SUMIFS('Fixture 총 발주수량'!AH:AH,'Fixture 총 발주수량'!B:B,생산계획!B39,'Fixture 총 발주수량'!AH:AH,"&lt;0"))</f>
        <v>117</v>
      </c>
      <c r="F39" s="431">
        <f>G39-E39</f>
        <v>-117</v>
      </c>
      <c r="G39" s="437">
        <f>SUMIF(S39:AW39, "&gt;0")</f>
        <v>0</v>
      </c>
      <c r="H39" s="437">
        <f>SUMIF(S40:AW40, "&gt;0")</f>
        <v>0</v>
      </c>
      <c r="I39" s="442">
        <f>IFERROR(H39/G39,)</f>
        <v>0</v>
      </c>
      <c r="J39" s="438">
        <f>ROUNDUP(E39/300,)</f>
        <v>1</v>
      </c>
      <c r="K39" s="444" t="s">
        <v>249</v>
      </c>
      <c r="L39" s="438">
        <f>L37+J39</f>
        <v>33</v>
      </c>
      <c r="M39" s="438">
        <f>L39+J39</f>
        <v>34</v>
      </c>
      <c r="N39" s="438">
        <f>N37+J39</f>
        <v>33</v>
      </c>
      <c r="O39" s="440">
        <v>0</v>
      </c>
      <c r="P39" s="440">
        <v>0</v>
      </c>
      <c r="Q39" s="440">
        <v>0</v>
      </c>
      <c r="R39" s="306" t="s">
        <v>264</v>
      </c>
      <c r="S39" s="311"/>
      <c r="T39" s="312"/>
      <c r="U39" s="312"/>
      <c r="V39" s="312"/>
      <c r="W39" s="312"/>
      <c r="X39" s="312"/>
      <c r="Y39" s="312"/>
      <c r="Z39" s="312"/>
      <c r="AA39" s="312"/>
      <c r="AB39" s="312"/>
      <c r="AC39" s="312"/>
      <c r="AD39" s="312"/>
      <c r="AE39" s="312"/>
      <c r="AF39" s="312"/>
      <c r="AG39" s="312"/>
      <c r="AH39" s="312"/>
      <c r="AI39" s="312"/>
      <c r="AJ39" s="312"/>
      <c r="AK39" s="312"/>
      <c r="AL39" s="312"/>
      <c r="AM39" s="312"/>
      <c r="AN39" s="312"/>
      <c r="AO39" s="312"/>
      <c r="AP39" s="312"/>
      <c r="AQ39" s="312"/>
      <c r="AR39" s="312"/>
      <c r="AS39" s="312"/>
      <c r="AT39" s="312"/>
      <c r="AU39" s="312"/>
      <c r="AV39" s="312"/>
      <c r="AW39" s="313"/>
    </row>
    <row r="40" spans="2:49" ht="32.1" customHeight="1" thickBot="1" x14ac:dyDescent="0.35">
      <c r="B40" s="454"/>
      <c r="C40" s="454"/>
      <c r="D40" s="454"/>
      <c r="E40" s="450"/>
      <c r="F40" s="433"/>
      <c r="G40" s="452"/>
      <c r="H40" s="452"/>
      <c r="I40" s="453"/>
      <c r="J40" s="450"/>
      <c r="K40" s="454"/>
      <c r="L40" s="450"/>
      <c r="M40" s="450"/>
      <c r="N40" s="450"/>
      <c r="O40" s="451"/>
      <c r="P40" s="451"/>
      <c r="Q40" s="451"/>
      <c r="R40" s="305" t="s">
        <v>266</v>
      </c>
      <c r="S40" s="310">
        <f>INDEX('생산수량Back-Data'!$B$5:$AAA$10041,
       MATCH($B39,'생산수량Back-Data'!$B$5:$B$10041,0),
       MATCH(S$3,'생산수량Back-Data'!$B$3:$AAA$3,0))</f>
        <v>0</v>
      </c>
      <c r="T40" s="331">
        <f>INDEX('생산수량Back-Data'!$B$5:$AAA$10041,
       MATCH($B39,'생산수량Back-Data'!$B$5:$B$10041,0),
       MATCH(T$3,'생산수량Back-Data'!$B$3:$AAA$3,0))</f>
        <v>0</v>
      </c>
      <c r="U40" s="331">
        <f>INDEX('생산수량Back-Data'!$B$5:$AAA$10041,
       MATCH($B39,'생산수량Back-Data'!$B$5:$B$10041,0),
       MATCH(U$3,'생산수량Back-Data'!$B$3:$AAA$3,0))</f>
        <v>0</v>
      </c>
      <c r="V40" s="331">
        <f>INDEX('생산수량Back-Data'!$B$5:$AAA$10041,
       MATCH($B39,'생산수량Back-Data'!$B$5:$B$10041,0),
       MATCH(V$3,'생산수량Back-Data'!$B$3:$AAA$3,0))</f>
        <v>0</v>
      </c>
      <c r="W40" s="331">
        <f>INDEX('생산수량Back-Data'!$B$5:$AAA$10041,
       MATCH($B39,'생산수량Back-Data'!$B$5:$B$10041,0),
       MATCH(W$3,'생산수량Back-Data'!$B$3:$AAA$3,0))</f>
        <v>0</v>
      </c>
      <c r="X40" s="331">
        <f>INDEX('생산수량Back-Data'!$B$5:$AAA$10041,
       MATCH($B39,'생산수량Back-Data'!$B$5:$B$10041,0),
       MATCH(X$3,'생산수량Back-Data'!$B$3:$AAA$3,0))</f>
        <v>0</v>
      </c>
      <c r="Y40" s="331">
        <f>INDEX('생산수량Back-Data'!$B$5:$AAA$10041,
       MATCH($B39,'생산수량Back-Data'!$B$5:$B$10041,0),
       MATCH(Y$3,'생산수량Back-Data'!$B$3:$AAA$3,0))</f>
        <v>0</v>
      </c>
      <c r="Z40" s="331">
        <f>INDEX('생산수량Back-Data'!$B$5:$AAA$10041,
       MATCH($B39,'생산수량Back-Data'!$B$5:$B$10041,0),
       MATCH(Z$3,'생산수량Back-Data'!$B$3:$AAA$3,0))</f>
        <v>0</v>
      </c>
      <c r="AA40" s="331">
        <f>INDEX('생산수량Back-Data'!$B$5:$AAA$10041,
       MATCH($B39,'생산수량Back-Data'!$B$5:$B$10041,0),
       MATCH(AA$3,'생산수량Back-Data'!$B$3:$AAA$3,0))</f>
        <v>0</v>
      </c>
      <c r="AB40" s="331">
        <f>INDEX('생산수량Back-Data'!$B$5:$AAA$10041,
       MATCH($B39,'생산수량Back-Data'!$B$5:$B$10041,0),
       MATCH(AB$3,'생산수량Back-Data'!$B$3:$AAA$3,0))</f>
        <v>0</v>
      </c>
      <c r="AC40" s="331">
        <f>INDEX('생산수량Back-Data'!$B$5:$AAA$10041,
       MATCH($B39,'생산수량Back-Data'!$B$5:$B$10041,0),
       MATCH(AC$3,'생산수량Back-Data'!$B$3:$AAA$3,0))</f>
        <v>0</v>
      </c>
      <c r="AD40" s="331">
        <f>INDEX('생산수량Back-Data'!$B$5:$AAA$10041,
       MATCH($B39,'생산수량Back-Data'!$B$5:$B$10041,0),
       MATCH(AD$3,'생산수량Back-Data'!$B$3:$AAA$3,0))</f>
        <v>0</v>
      </c>
      <c r="AE40" s="331">
        <f>INDEX('생산수량Back-Data'!$B$5:$AAA$10041,
       MATCH($B39,'생산수량Back-Data'!$B$5:$B$10041,0),
       MATCH(AE$3,'생산수량Back-Data'!$B$3:$AAA$3,0))</f>
        <v>0</v>
      </c>
      <c r="AF40" s="331">
        <f>INDEX('생산수량Back-Data'!$B$5:$AAA$10041,
       MATCH($B39,'생산수량Back-Data'!$B$5:$B$10041,0),
       MATCH(AF$3,'생산수량Back-Data'!$B$3:$AAA$3,0))</f>
        <v>0</v>
      </c>
      <c r="AG40" s="331">
        <f>INDEX('생산수량Back-Data'!$B$5:$AAA$10041,
       MATCH($B39,'생산수량Back-Data'!$B$5:$B$10041,0),
       MATCH(AG$3,'생산수량Back-Data'!$B$3:$AAA$3,0))</f>
        <v>0</v>
      </c>
      <c r="AH40" s="331">
        <f>INDEX('생산수량Back-Data'!$B$5:$AAA$10041,
       MATCH($B39,'생산수량Back-Data'!$B$5:$B$10041,0),
       MATCH(AH$3,'생산수량Back-Data'!$B$3:$AAA$3,0))</f>
        <v>0</v>
      </c>
      <c r="AI40" s="331">
        <f>INDEX('생산수량Back-Data'!$B$5:$AAA$10041,
       MATCH($B39,'생산수량Back-Data'!$B$5:$B$10041,0),
       MATCH(AI$3,'생산수량Back-Data'!$B$3:$AAA$3,0))</f>
        <v>0</v>
      </c>
      <c r="AJ40" s="331">
        <f>INDEX('생산수량Back-Data'!$B$5:$AAA$10041,
       MATCH($B39,'생산수량Back-Data'!$B$5:$B$10041,0),
       MATCH(AJ$3,'생산수량Back-Data'!$B$3:$AAA$3,0))</f>
        <v>0</v>
      </c>
      <c r="AK40" s="331">
        <f>INDEX('생산수량Back-Data'!$B$5:$AAA$10041,
       MATCH($B39,'생산수량Back-Data'!$B$5:$B$10041,0),
       MATCH(AK$3,'생산수량Back-Data'!$B$3:$AAA$3,0))</f>
        <v>0</v>
      </c>
      <c r="AL40" s="331">
        <f>INDEX('생산수량Back-Data'!$B$5:$AAA$10041,
       MATCH($B39,'생산수량Back-Data'!$B$5:$B$10041,0),
       MATCH(AL$3,'생산수량Back-Data'!$B$3:$AAA$3,0))</f>
        <v>0</v>
      </c>
      <c r="AM40" s="331">
        <f>INDEX('생산수량Back-Data'!$B$5:$AAA$10041,
       MATCH($B39,'생산수량Back-Data'!$B$5:$B$10041,0),
       MATCH(AM$3,'생산수량Back-Data'!$B$3:$AAA$3,0))</f>
        <v>0</v>
      </c>
      <c r="AN40" s="331">
        <f>INDEX('생산수량Back-Data'!$B$5:$AAA$10041,
       MATCH($B39,'생산수량Back-Data'!$B$5:$B$10041,0),
       MATCH(AN$3,'생산수량Back-Data'!$B$3:$AAA$3,0))</f>
        <v>0</v>
      </c>
      <c r="AO40" s="331">
        <f>INDEX('생산수량Back-Data'!$B$5:$AAA$10041,
       MATCH($B39,'생산수량Back-Data'!$B$5:$B$10041,0),
       MATCH(AO$3,'생산수량Back-Data'!$B$3:$AAA$3,0))</f>
        <v>0</v>
      </c>
      <c r="AP40" s="331">
        <f>INDEX('생산수량Back-Data'!$B$5:$AAA$10041,
       MATCH($B39,'생산수량Back-Data'!$B$5:$B$10041,0),
       MATCH(AP$3,'생산수량Back-Data'!$B$3:$AAA$3,0))</f>
        <v>0</v>
      </c>
      <c r="AQ40" s="331">
        <f>INDEX('생산수량Back-Data'!$B$5:$AAA$10041,
       MATCH($B39,'생산수량Back-Data'!$B$5:$B$10041,0),
       MATCH(AQ$3,'생산수량Back-Data'!$B$3:$AAA$3,0))</f>
        <v>0</v>
      </c>
      <c r="AR40" s="331">
        <f>INDEX('생산수량Back-Data'!$B$5:$AAA$10041,
       MATCH($B39,'생산수량Back-Data'!$B$5:$B$10041,0),
       MATCH(AR$3,'생산수량Back-Data'!$B$3:$AAA$3,0))</f>
        <v>0</v>
      </c>
      <c r="AS40" s="331">
        <f>INDEX('생산수량Back-Data'!$B$5:$AAA$10041,
       MATCH($B39,'생산수량Back-Data'!$B$5:$B$10041,0),
       MATCH(AS$3,'생산수량Back-Data'!$B$3:$AAA$3,0))</f>
        <v>0</v>
      </c>
      <c r="AT40" s="331">
        <f>INDEX('생산수량Back-Data'!$B$5:$AAA$10041,
       MATCH($B39,'생산수량Back-Data'!$B$5:$B$10041,0),
       MATCH(AT$3,'생산수량Back-Data'!$B$3:$AAA$3,0))</f>
        <v>0</v>
      </c>
      <c r="AU40" s="331">
        <f>INDEX('생산수량Back-Data'!$B$5:$AAA$10041,
       MATCH($B39,'생산수량Back-Data'!$B$5:$B$10041,0),
       MATCH(AU$3,'생산수량Back-Data'!$B$3:$AAA$3,0))</f>
        <v>0</v>
      </c>
      <c r="AV40" s="331">
        <f>INDEX('생산수량Back-Data'!$B$5:$AAA$10041,
       MATCH($B39,'생산수량Back-Data'!$B$5:$B$10041,0),
       MATCH(AV$3,'생산수량Back-Data'!$B$3:$AAA$3,0))</f>
        <v>0</v>
      </c>
      <c r="AW40" s="332">
        <f>INDEX('생산수량Back-Data'!$B$5:$AAA$10041,
       MATCH($B39,'생산수량Back-Data'!$B$5:$B$10041,0),
       MATCH(AW$3,'생산수량Back-Data'!$B$3:$AAA$3,0))</f>
        <v>0</v>
      </c>
    </row>
    <row r="41" spans="2:49" ht="32.1" customHeight="1" x14ac:dyDescent="0.3">
      <c r="B41" s="449" t="s">
        <v>68</v>
      </c>
      <c r="C41" s="449" t="s">
        <v>214</v>
      </c>
      <c r="D41" s="449" t="s">
        <v>215</v>
      </c>
      <c r="E41" s="446">
        <f>ABS(SUMIFS('Fixture 총 발주수량'!AH:AH,'Fixture 총 발주수량'!B:B,생산계획!B41,'Fixture 총 발주수량'!AH:AH,"&lt;0"))</f>
        <v>430</v>
      </c>
      <c r="F41" s="434">
        <f>G41-E41</f>
        <v>-430</v>
      </c>
      <c r="G41" s="435">
        <f>SUMIF(S41:AW41, "&gt;0")</f>
        <v>0</v>
      </c>
      <c r="H41" s="435">
        <f>SUMIF(S42:AW42, "&gt;0")</f>
        <v>0</v>
      </c>
      <c r="I41" s="448">
        <f>IFERROR(H41/G41,)</f>
        <v>0</v>
      </c>
      <c r="J41" s="446">
        <f>ROUNDUP(E41/300,)</f>
        <v>2</v>
      </c>
      <c r="K41" s="449" t="s">
        <v>249</v>
      </c>
      <c r="L41" s="446">
        <f>L39+J41</f>
        <v>35</v>
      </c>
      <c r="M41" s="446">
        <f>L41+J41</f>
        <v>37</v>
      </c>
      <c r="N41" s="446">
        <f>N39+J41</f>
        <v>35</v>
      </c>
      <c r="O41" s="447">
        <v>0</v>
      </c>
      <c r="P41" s="447">
        <v>0</v>
      </c>
      <c r="Q41" s="447">
        <v>0</v>
      </c>
      <c r="R41" s="336" t="s">
        <v>264</v>
      </c>
      <c r="S41" s="416"/>
      <c r="T41" s="417"/>
      <c r="U41" s="417"/>
      <c r="V41" s="417"/>
      <c r="W41" s="417"/>
      <c r="X41" s="417"/>
      <c r="Y41" s="417"/>
      <c r="Z41" s="417"/>
      <c r="AA41" s="417"/>
      <c r="AB41" s="417"/>
      <c r="AC41" s="417"/>
      <c r="AD41" s="417"/>
      <c r="AE41" s="417"/>
      <c r="AF41" s="417"/>
      <c r="AG41" s="417"/>
      <c r="AH41" s="417"/>
      <c r="AI41" s="417"/>
      <c r="AJ41" s="417"/>
      <c r="AK41" s="417"/>
      <c r="AL41" s="417"/>
      <c r="AM41" s="417"/>
      <c r="AN41" s="417"/>
      <c r="AO41" s="417"/>
      <c r="AP41" s="417"/>
      <c r="AQ41" s="417"/>
      <c r="AR41" s="417"/>
      <c r="AS41" s="417"/>
      <c r="AT41" s="417"/>
      <c r="AU41" s="417"/>
      <c r="AV41" s="417"/>
      <c r="AW41" s="418"/>
    </row>
    <row r="42" spans="2:49" ht="32.1" customHeight="1" x14ac:dyDescent="0.3">
      <c r="B42" s="445"/>
      <c r="C42" s="445"/>
      <c r="D42" s="445"/>
      <c r="E42" s="439"/>
      <c r="F42" s="432"/>
      <c r="G42" s="436"/>
      <c r="H42" s="436"/>
      <c r="I42" s="443"/>
      <c r="J42" s="439"/>
      <c r="K42" s="445"/>
      <c r="L42" s="439"/>
      <c r="M42" s="439"/>
      <c r="N42" s="439"/>
      <c r="O42" s="441"/>
      <c r="P42" s="441"/>
      <c r="Q42" s="441"/>
      <c r="R42" s="306" t="s">
        <v>266</v>
      </c>
      <c r="S42" s="328">
        <f>INDEX('생산수량Back-Data'!$B$5:$AAA$10041,
       MATCH($B41,'생산수량Back-Data'!$B$5:$B$10041,0),
       MATCH(S$3,'생산수량Back-Data'!$B$3:$AAA$3,0))</f>
        <v>0</v>
      </c>
      <c r="T42" s="343">
        <f>INDEX('생산수량Back-Data'!$B$5:$AAA$10041,
       MATCH($B41,'생산수량Back-Data'!$B$5:$B$10041,0),
       MATCH(T$3,'생산수량Back-Data'!$B$3:$AAA$3,0))</f>
        <v>0</v>
      </c>
      <c r="U42" s="343">
        <f>INDEX('생산수량Back-Data'!$B$5:$AAA$10041,
       MATCH($B41,'생산수량Back-Data'!$B$5:$B$10041,0),
       MATCH(U$3,'생산수량Back-Data'!$B$3:$AAA$3,0))</f>
        <v>0</v>
      </c>
      <c r="V42" s="343">
        <f>INDEX('생산수량Back-Data'!$B$5:$AAA$10041,
       MATCH($B41,'생산수량Back-Data'!$B$5:$B$10041,0),
       MATCH(V$3,'생산수량Back-Data'!$B$3:$AAA$3,0))</f>
        <v>0</v>
      </c>
      <c r="W42" s="343">
        <f>INDEX('생산수량Back-Data'!$B$5:$AAA$10041,
       MATCH($B41,'생산수량Back-Data'!$B$5:$B$10041,0),
       MATCH(W$3,'생산수량Back-Data'!$B$3:$AAA$3,0))</f>
        <v>0</v>
      </c>
      <c r="X42" s="343">
        <f>INDEX('생산수량Back-Data'!$B$5:$AAA$10041,
       MATCH($B41,'생산수량Back-Data'!$B$5:$B$10041,0),
       MATCH(X$3,'생산수량Back-Data'!$B$3:$AAA$3,0))</f>
        <v>0</v>
      </c>
      <c r="Y42" s="343">
        <f>INDEX('생산수량Back-Data'!$B$5:$AAA$10041,
       MATCH($B41,'생산수량Back-Data'!$B$5:$B$10041,0),
       MATCH(Y$3,'생산수량Back-Data'!$B$3:$AAA$3,0))</f>
        <v>0</v>
      </c>
      <c r="Z42" s="343">
        <f>INDEX('생산수량Back-Data'!$B$5:$AAA$10041,
       MATCH($B41,'생산수량Back-Data'!$B$5:$B$10041,0),
       MATCH(Z$3,'생산수량Back-Data'!$B$3:$AAA$3,0))</f>
        <v>0</v>
      </c>
      <c r="AA42" s="343">
        <f>INDEX('생산수량Back-Data'!$B$5:$AAA$10041,
       MATCH($B41,'생산수량Back-Data'!$B$5:$B$10041,0),
       MATCH(AA$3,'생산수량Back-Data'!$B$3:$AAA$3,0))</f>
        <v>0</v>
      </c>
      <c r="AB42" s="343">
        <f>INDEX('생산수량Back-Data'!$B$5:$AAA$10041,
       MATCH($B41,'생산수량Back-Data'!$B$5:$B$10041,0),
       MATCH(AB$3,'생산수량Back-Data'!$B$3:$AAA$3,0))</f>
        <v>0</v>
      </c>
      <c r="AC42" s="343">
        <f>INDEX('생산수량Back-Data'!$B$5:$AAA$10041,
       MATCH($B41,'생산수량Back-Data'!$B$5:$B$10041,0),
       MATCH(AC$3,'생산수량Back-Data'!$B$3:$AAA$3,0))</f>
        <v>0</v>
      </c>
      <c r="AD42" s="343">
        <f>INDEX('생산수량Back-Data'!$B$5:$AAA$10041,
       MATCH($B41,'생산수량Back-Data'!$B$5:$B$10041,0),
       MATCH(AD$3,'생산수량Back-Data'!$B$3:$AAA$3,0))</f>
        <v>0</v>
      </c>
      <c r="AE42" s="343">
        <f>INDEX('생산수량Back-Data'!$B$5:$AAA$10041,
       MATCH($B41,'생산수량Back-Data'!$B$5:$B$10041,0),
       MATCH(AE$3,'생산수량Back-Data'!$B$3:$AAA$3,0))</f>
        <v>0</v>
      </c>
      <c r="AF42" s="343">
        <f>INDEX('생산수량Back-Data'!$B$5:$AAA$10041,
       MATCH($B41,'생산수량Back-Data'!$B$5:$B$10041,0),
       MATCH(AF$3,'생산수량Back-Data'!$B$3:$AAA$3,0))</f>
        <v>0</v>
      </c>
      <c r="AG42" s="343">
        <f>INDEX('생산수량Back-Data'!$B$5:$AAA$10041,
       MATCH($B41,'생산수량Back-Data'!$B$5:$B$10041,0),
       MATCH(AG$3,'생산수량Back-Data'!$B$3:$AAA$3,0))</f>
        <v>0</v>
      </c>
      <c r="AH42" s="343">
        <f>INDEX('생산수량Back-Data'!$B$5:$AAA$10041,
       MATCH($B41,'생산수량Back-Data'!$B$5:$B$10041,0),
       MATCH(AH$3,'생산수량Back-Data'!$B$3:$AAA$3,0))</f>
        <v>0</v>
      </c>
      <c r="AI42" s="343">
        <f>INDEX('생산수량Back-Data'!$B$5:$AAA$10041,
       MATCH($B41,'생산수량Back-Data'!$B$5:$B$10041,0),
       MATCH(AI$3,'생산수량Back-Data'!$B$3:$AAA$3,0))</f>
        <v>0</v>
      </c>
      <c r="AJ42" s="343">
        <f>INDEX('생산수량Back-Data'!$B$5:$AAA$10041,
       MATCH($B41,'생산수량Back-Data'!$B$5:$B$10041,0),
       MATCH(AJ$3,'생산수량Back-Data'!$B$3:$AAA$3,0))</f>
        <v>0</v>
      </c>
      <c r="AK42" s="343">
        <f>INDEX('생산수량Back-Data'!$B$5:$AAA$10041,
       MATCH($B41,'생산수량Back-Data'!$B$5:$B$10041,0),
       MATCH(AK$3,'생산수량Back-Data'!$B$3:$AAA$3,0))</f>
        <v>0</v>
      </c>
      <c r="AL42" s="343">
        <f>INDEX('생산수량Back-Data'!$B$5:$AAA$10041,
       MATCH($B41,'생산수량Back-Data'!$B$5:$B$10041,0),
       MATCH(AL$3,'생산수량Back-Data'!$B$3:$AAA$3,0))</f>
        <v>0</v>
      </c>
      <c r="AM42" s="343">
        <f>INDEX('생산수량Back-Data'!$B$5:$AAA$10041,
       MATCH($B41,'생산수량Back-Data'!$B$5:$B$10041,0),
       MATCH(AM$3,'생산수량Back-Data'!$B$3:$AAA$3,0))</f>
        <v>0</v>
      </c>
      <c r="AN42" s="343">
        <f>INDEX('생산수량Back-Data'!$B$5:$AAA$10041,
       MATCH($B41,'생산수량Back-Data'!$B$5:$B$10041,0),
       MATCH(AN$3,'생산수량Back-Data'!$B$3:$AAA$3,0))</f>
        <v>0</v>
      </c>
      <c r="AO42" s="343">
        <f>INDEX('생산수량Back-Data'!$B$5:$AAA$10041,
       MATCH($B41,'생산수량Back-Data'!$B$5:$B$10041,0),
       MATCH(AO$3,'생산수량Back-Data'!$B$3:$AAA$3,0))</f>
        <v>0</v>
      </c>
      <c r="AP42" s="343">
        <f>INDEX('생산수량Back-Data'!$B$5:$AAA$10041,
       MATCH($B41,'생산수량Back-Data'!$B$5:$B$10041,0),
       MATCH(AP$3,'생산수량Back-Data'!$B$3:$AAA$3,0))</f>
        <v>0</v>
      </c>
      <c r="AQ42" s="343">
        <f>INDEX('생산수량Back-Data'!$B$5:$AAA$10041,
       MATCH($B41,'생산수량Back-Data'!$B$5:$B$10041,0),
       MATCH(AQ$3,'생산수량Back-Data'!$B$3:$AAA$3,0))</f>
        <v>0</v>
      </c>
      <c r="AR42" s="343">
        <f>INDEX('생산수량Back-Data'!$B$5:$AAA$10041,
       MATCH($B41,'생산수량Back-Data'!$B$5:$B$10041,0),
       MATCH(AR$3,'생산수량Back-Data'!$B$3:$AAA$3,0))</f>
        <v>0</v>
      </c>
      <c r="AS42" s="343">
        <f>INDEX('생산수량Back-Data'!$B$5:$AAA$10041,
       MATCH($B41,'생산수량Back-Data'!$B$5:$B$10041,0),
       MATCH(AS$3,'생산수량Back-Data'!$B$3:$AAA$3,0))</f>
        <v>0</v>
      </c>
      <c r="AT42" s="343">
        <f>INDEX('생산수량Back-Data'!$B$5:$AAA$10041,
       MATCH($B41,'생산수량Back-Data'!$B$5:$B$10041,0),
       MATCH(AT$3,'생산수량Back-Data'!$B$3:$AAA$3,0))</f>
        <v>0</v>
      </c>
      <c r="AU42" s="343">
        <f>INDEX('생산수량Back-Data'!$B$5:$AAA$10041,
       MATCH($B41,'생산수량Back-Data'!$B$5:$B$10041,0),
       MATCH(AU$3,'생산수량Back-Data'!$B$3:$AAA$3,0))</f>
        <v>0</v>
      </c>
      <c r="AV42" s="343">
        <f>INDEX('생산수량Back-Data'!$B$5:$AAA$10041,
       MATCH($B41,'생산수량Back-Data'!$B$5:$B$10041,0),
       MATCH(AV$3,'생산수량Back-Data'!$B$3:$AAA$3,0))</f>
        <v>0</v>
      </c>
      <c r="AW42" s="344">
        <f>INDEX('생산수량Back-Data'!$B$5:$AAA$10041,
       MATCH($B41,'생산수량Back-Data'!$B$5:$B$10041,0),
       MATCH(AW$3,'생산수량Back-Data'!$B$3:$AAA$3,0))</f>
        <v>0</v>
      </c>
    </row>
    <row r="43" spans="2:49" ht="32.1" customHeight="1" x14ac:dyDescent="0.3">
      <c r="B43" s="444" t="s">
        <v>69</v>
      </c>
      <c r="C43" s="444" t="s">
        <v>214</v>
      </c>
      <c r="D43" s="444" t="s">
        <v>216</v>
      </c>
      <c r="E43" s="438">
        <f>ABS(SUMIFS('Fixture 총 발주수량'!AH:AH,'Fixture 총 발주수량'!B:B,생산계획!B43,'Fixture 총 발주수량'!AH:AH,"&lt;0"))</f>
        <v>397</v>
      </c>
      <c r="F43" s="431">
        <f>G43-E43</f>
        <v>-397</v>
      </c>
      <c r="G43" s="437">
        <f>SUMIF(S43:AW43, "&gt;0")</f>
        <v>0</v>
      </c>
      <c r="H43" s="437">
        <f>SUMIF(S44:AW44, "&gt;0")</f>
        <v>0</v>
      </c>
      <c r="I43" s="442">
        <f>IFERROR(H43/G43,)</f>
        <v>0</v>
      </c>
      <c r="J43" s="438">
        <f>ROUNDUP(E43/300,)</f>
        <v>2</v>
      </c>
      <c r="K43" s="444" t="s">
        <v>249</v>
      </c>
      <c r="L43" s="438">
        <f>L41+J43</f>
        <v>37</v>
      </c>
      <c r="M43" s="438">
        <f>L43+J43</f>
        <v>39</v>
      </c>
      <c r="N43" s="438">
        <f>N41+J43</f>
        <v>37</v>
      </c>
      <c r="O43" s="440">
        <v>0</v>
      </c>
      <c r="P43" s="440">
        <v>0</v>
      </c>
      <c r="Q43" s="440">
        <v>0</v>
      </c>
      <c r="R43" s="306" t="s">
        <v>264</v>
      </c>
      <c r="S43" s="311"/>
      <c r="T43" s="312"/>
      <c r="U43" s="312"/>
      <c r="V43" s="312"/>
      <c r="W43" s="312"/>
      <c r="X43" s="312"/>
      <c r="Y43" s="312"/>
      <c r="Z43" s="312"/>
      <c r="AA43" s="312"/>
      <c r="AB43" s="312"/>
      <c r="AC43" s="312"/>
      <c r="AD43" s="312"/>
      <c r="AE43" s="312"/>
      <c r="AF43" s="312"/>
      <c r="AG43" s="312"/>
      <c r="AH43" s="312"/>
      <c r="AI43" s="312"/>
      <c r="AJ43" s="312"/>
      <c r="AK43" s="312"/>
      <c r="AL43" s="312"/>
      <c r="AM43" s="312"/>
      <c r="AN43" s="312"/>
      <c r="AO43" s="312"/>
      <c r="AP43" s="312"/>
      <c r="AQ43" s="312"/>
      <c r="AR43" s="312"/>
      <c r="AS43" s="312"/>
      <c r="AT43" s="312"/>
      <c r="AU43" s="312"/>
      <c r="AV43" s="312"/>
      <c r="AW43" s="313"/>
    </row>
    <row r="44" spans="2:49" ht="32.1" customHeight="1" x14ac:dyDescent="0.3">
      <c r="B44" s="445"/>
      <c r="C44" s="445"/>
      <c r="D44" s="445"/>
      <c r="E44" s="439"/>
      <c r="F44" s="432"/>
      <c r="G44" s="436"/>
      <c r="H44" s="436"/>
      <c r="I44" s="443"/>
      <c r="J44" s="439"/>
      <c r="K44" s="445"/>
      <c r="L44" s="439"/>
      <c r="M44" s="439"/>
      <c r="N44" s="439"/>
      <c r="O44" s="441"/>
      <c r="P44" s="441"/>
      <c r="Q44" s="441"/>
      <c r="R44" s="306" t="s">
        <v>266</v>
      </c>
      <c r="S44" s="310">
        <f>INDEX('생산수량Back-Data'!$B$5:$AAA$10041,
       MATCH($B43,'생산수량Back-Data'!$B$5:$B$10041,0),
       MATCH(S$3,'생산수량Back-Data'!$B$3:$AAA$3,0))</f>
        <v>0</v>
      </c>
      <c r="T44" s="331">
        <f>INDEX('생산수량Back-Data'!$B$5:$AAA$10041,
       MATCH($B43,'생산수량Back-Data'!$B$5:$B$10041,0),
       MATCH(T$3,'생산수량Back-Data'!$B$3:$AAA$3,0))</f>
        <v>0</v>
      </c>
      <c r="U44" s="331">
        <f>INDEX('생산수량Back-Data'!$B$5:$AAA$10041,
       MATCH($B43,'생산수량Back-Data'!$B$5:$B$10041,0),
       MATCH(U$3,'생산수량Back-Data'!$B$3:$AAA$3,0))</f>
        <v>0</v>
      </c>
      <c r="V44" s="331">
        <f>INDEX('생산수량Back-Data'!$B$5:$AAA$10041,
       MATCH($B43,'생산수량Back-Data'!$B$5:$B$10041,0),
       MATCH(V$3,'생산수량Back-Data'!$B$3:$AAA$3,0))</f>
        <v>0</v>
      </c>
      <c r="W44" s="331">
        <f>INDEX('생산수량Back-Data'!$B$5:$AAA$10041,
       MATCH($B43,'생산수량Back-Data'!$B$5:$B$10041,0),
       MATCH(W$3,'생산수량Back-Data'!$B$3:$AAA$3,0))</f>
        <v>0</v>
      </c>
      <c r="X44" s="331">
        <f>INDEX('생산수량Back-Data'!$B$5:$AAA$10041,
       MATCH($B43,'생산수량Back-Data'!$B$5:$B$10041,0),
       MATCH(X$3,'생산수량Back-Data'!$B$3:$AAA$3,0))</f>
        <v>0</v>
      </c>
      <c r="Y44" s="331">
        <f>INDEX('생산수량Back-Data'!$B$5:$AAA$10041,
       MATCH($B43,'생산수량Back-Data'!$B$5:$B$10041,0),
       MATCH(Y$3,'생산수량Back-Data'!$B$3:$AAA$3,0))</f>
        <v>0</v>
      </c>
      <c r="Z44" s="331">
        <f>INDEX('생산수량Back-Data'!$B$5:$AAA$10041,
       MATCH($B43,'생산수량Back-Data'!$B$5:$B$10041,0),
       MATCH(Z$3,'생산수량Back-Data'!$B$3:$AAA$3,0))</f>
        <v>0</v>
      </c>
      <c r="AA44" s="331">
        <f>INDEX('생산수량Back-Data'!$B$5:$AAA$10041,
       MATCH($B43,'생산수량Back-Data'!$B$5:$B$10041,0),
       MATCH(AA$3,'생산수량Back-Data'!$B$3:$AAA$3,0))</f>
        <v>0</v>
      </c>
      <c r="AB44" s="331">
        <f>INDEX('생산수량Back-Data'!$B$5:$AAA$10041,
       MATCH($B43,'생산수량Back-Data'!$B$5:$B$10041,0),
       MATCH(AB$3,'생산수량Back-Data'!$B$3:$AAA$3,0))</f>
        <v>0</v>
      </c>
      <c r="AC44" s="331">
        <f>INDEX('생산수량Back-Data'!$B$5:$AAA$10041,
       MATCH($B43,'생산수량Back-Data'!$B$5:$B$10041,0),
       MATCH(AC$3,'생산수량Back-Data'!$B$3:$AAA$3,0))</f>
        <v>0</v>
      </c>
      <c r="AD44" s="331">
        <f>INDEX('생산수량Back-Data'!$B$5:$AAA$10041,
       MATCH($B43,'생산수량Back-Data'!$B$5:$B$10041,0),
       MATCH(AD$3,'생산수량Back-Data'!$B$3:$AAA$3,0))</f>
        <v>0</v>
      </c>
      <c r="AE44" s="331">
        <f>INDEX('생산수량Back-Data'!$B$5:$AAA$10041,
       MATCH($B43,'생산수량Back-Data'!$B$5:$B$10041,0),
       MATCH(AE$3,'생산수량Back-Data'!$B$3:$AAA$3,0))</f>
        <v>0</v>
      </c>
      <c r="AF44" s="331">
        <f>INDEX('생산수량Back-Data'!$B$5:$AAA$10041,
       MATCH($B43,'생산수량Back-Data'!$B$5:$B$10041,0),
       MATCH(AF$3,'생산수량Back-Data'!$B$3:$AAA$3,0))</f>
        <v>0</v>
      </c>
      <c r="AG44" s="331">
        <f>INDEX('생산수량Back-Data'!$B$5:$AAA$10041,
       MATCH($B43,'생산수량Back-Data'!$B$5:$B$10041,0),
       MATCH(AG$3,'생산수량Back-Data'!$B$3:$AAA$3,0))</f>
        <v>0</v>
      </c>
      <c r="AH44" s="331">
        <f>INDEX('생산수량Back-Data'!$B$5:$AAA$10041,
       MATCH($B43,'생산수량Back-Data'!$B$5:$B$10041,0),
       MATCH(AH$3,'생산수량Back-Data'!$B$3:$AAA$3,0))</f>
        <v>0</v>
      </c>
      <c r="AI44" s="331">
        <f>INDEX('생산수량Back-Data'!$B$5:$AAA$10041,
       MATCH($B43,'생산수량Back-Data'!$B$5:$B$10041,0),
       MATCH(AI$3,'생산수량Back-Data'!$B$3:$AAA$3,0))</f>
        <v>0</v>
      </c>
      <c r="AJ44" s="331">
        <f>INDEX('생산수량Back-Data'!$B$5:$AAA$10041,
       MATCH($B43,'생산수량Back-Data'!$B$5:$B$10041,0),
       MATCH(AJ$3,'생산수량Back-Data'!$B$3:$AAA$3,0))</f>
        <v>0</v>
      </c>
      <c r="AK44" s="331">
        <f>INDEX('생산수량Back-Data'!$B$5:$AAA$10041,
       MATCH($B43,'생산수량Back-Data'!$B$5:$B$10041,0),
       MATCH(AK$3,'생산수량Back-Data'!$B$3:$AAA$3,0))</f>
        <v>0</v>
      </c>
      <c r="AL44" s="331">
        <f>INDEX('생산수량Back-Data'!$B$5:$AAA$10041,
       MATCH($B43,'생산수량Back-Data'!$B$5:$B$10041,0),
       MATCH(AL$3,'생산수량Back-Data'!$B$3:$AAA$3,0))</f>
        <v>0</v>
      </c>
      <c r="AM44" s="331">
        <f>INDEX('생산수량Back-Data'!$B$5:$AAA$10041,
       MATCH($B43,'생산수량Back-Data'!$B$5:$B$10041,0),
       MATCH(AM$3,'생산수량Back-Data'!$B$3:$AAA$3,0))</f>
        <v>0</v>
      </c>
      <c r="AN44" s="331">
        <f>INDEX('생산수량Back-Data'!$B$5:$AAA$10041,
       MATCH($B43,'생산수량Back-Data'!$B$5:$B$10041,0),
       MATCH(AN$3,'생산수량Back-Data'!$B$3:$AAA$3,0))</f>
        <v>0</v>
      </c>
      <c r="AO44" s="331">
        <f>INDEX('생산수량Back-Data'!$B$5:$AAA$10041,
       MATCH($B43,'생산수량Back-Data'!$B$5:$B$10041,0),
       MATCH(AO$3,'생산수량Back-Data'!$B$3:$AAA$3,0))</f>
        <v>0</v>
      </c>
      <c r="AP44" s="331">
        <f>INDEX('생산수량Back-Data'!$B$5:$AAA$10041,
       MATCH($B43,'생산수량Back-Data'!$B$5:$B$10041,0),
       MATCH(AP$3,'생산수량Back-Data'!$B$3:$AAA$3,0))</f>
        <v>0</v>
      </c>
      <c r="AQ44" s="331">
        <f>INDEX('생산수량Back-Data'!$B$5:$AAA$10041,
       MATCH($B43,'생산수량Back-Data'!$B$5:$B$10041,0),
       MATCH(AQ$3,'생산수량Back-Data'!$B$3:$AAA$3,0))</f>
        <v>0</v>
      </c>
      <c r="AR44" s="331">
        <f>INDEX('생산수량Back-Data'!$B$5:$AAA$10041,
       MATCH($B43,'생산수량Back-Data'!$B$5:$B$10041,0),
       MATCH(AR$3,'생산수량Back-Data'!$B$3:$AAA$3,0))</f>
        <v>0</v>
      </c>
      <c r="AS44" s="331">
        <f>INDEX('생산수량Back-Data'!$B$5:$AAA$10041,
       MATCH($B43,'생산수량Back-Data'!$B$5:$B$10041,0),
       MATCH(AS$3,'생산수량Back-Data'!$B$3:$AAA$3,0))</f>
        <v>0</v>
      </c>
      <c r="AT44" s="331">
        <f>INDEX('생산수량Back-Data'!$B$5:$AAA$10041,
       MATCH($B43,'생산수량Back-Data'!$B$5:$B$10041,0),
       MATCH(AT$3,'생산수량Back-Data'!$B$3:$AAA$3,0))</f>
        <v>0</v>
      </c>
      <c r="AU44" s="331">
        <f>INDEX('생산수량Back-Data'!$B$5:$AAA$10041,
       MATCH($B43,'생산수량Back-Data'!$B$5:$B$10041,0),
       MATCH(AU$3,'생산수량Back-Data'!$B$3:$AAA$3,0))</f>
        <v>0</v>
      </c>
      <c r="AV44" s="331">
        <f>INDEX('생산수량Back-Data'!$B$5:$AAA$10041,
       MATCH($B43,'생산수량Back-Data'!$B$5:$B$10041,0),
       MATCH(AV$3,'생산수량Back-Data'!$B$3:$AAA$3,0))</f>
        <v>0</v>
      </c>
      <c r="AW44" s="332">
        <f>INDEX('생산수량Back-Data'!$B$5:$AAA$10041,
       MATCH($B43,'생산수량Back-Data'!$B$5:$B$10041,0),
       MATCH(AW$3,'생산수량Back-Data'!$B$3:$AAA$3,0))</f>
        <v>0</v>
      </c>
    </row>
    <row r="45" spans="2:49" ht="32.1" customHeight="1" x14ac:dyDescent="0.3">
      <c r="B45" s="444" t="s">
        <v>70</v>
      </c>
      <c r="C45" s="444" t="s">
        <v>214</v>
      </c>
      <c r="D45" s="444" t="s">
        <v>217</v>
      </c>
      <c r="E45" s="438">
        <f>ABS(SUMIFS('Fixture 총 발주수량'!AH:AH,'Fixture 총 발주수량'!B:B,생산계획!B45,'Fixture 총 발주수량'!AH:AH,"&lt;0"))</f>
        <v>403</v>
      </c>
      <c r="F45" s="431">
        <f>G45-E45</f>
        <v>-403</v>
      </c>
      <c r="G45" s="437">
        <f>SUMIF(S45:AW45, "&gt;0")</f>
        <v>0</v>
      </c>
      <c r="H45" s="437">
        <f>SUMIF(S46:AW46, "&gt;0")</f>
        <v>0</v>
      </c>
      <c r="I45" s="442">
        <f>IFERROR(H45/G45,)</f>
        <v>0</v>
      </c>
      <c r="J45" s="438">
        <f>ROUNDUP(E45/300,)</f>
        <v>2</v>
      </c>
      <c r="K45" s="444" t="s">
        <v>249</v>
      </c>
      <c r="L45" s="438">
        <f>L43+J45</f>
        <v>39</v>
      </c>
      <c r="M45" s="438">
        <f>L45+J45</f>
        <v>41</v>
      </c>
      <c r="N45" s="438">
        <f>N43+J45</f>
        <v>39</v>
      </c>
      <c r="O45" s="440">
        <v>0</v>
      </c>
      <c r="P45" s="440">
        <v>0</v>
      </c>
      <c r="Q45" s="440">
        <v>0</v>
      </c>
      <c r="R45" s="306" t="s">
        <v>264</v>
      </c>
      <c r="S45" s="311"/>
      <c r="T45" s="312"/>
      <c r="U45" s="312"/>
      <c r="V45" s="312"/>
      <c r="W45" s="312"/>
      <c r="X45" s="312"/>
      <c r="Y45" s="312"/>
      <c r="Z45" s="312"/>
      <c r="AA45" s="312"/>
      <c r="AB45" s="312"/>
      <c r="AC45" s="312"/>
      <c r="AD45" s="312"/>
      <c r="AE45" s="312"/>
      <c r="AF45" s="312"/>
      <c r="AG45" s="312"/>
      <c r="AH45" s="312"/>
      <c r="AI45" s="312"/>
      <c r="AJ45" s="312"/>
      <c r="AK45" s="312"/>
      <c r="AL45" s="312"/>
      <c r="AM45" s="312"/>
      <c r="AN45" s="312"/>
      <c r="AO45" s="312"/>
      <c r="AP45" s="312"/>
      <c r="AQ45" s="312"/>
      <c r="AR45" s="312"/>
      <c r="AS45" s="312"/>
      <c r="AT45" s="312"/>
      <c r="AU45" s="312"/>
      <c r="AV45" s="312"/>
      <c r="AW45" s="313"/>
    </row>
    <row r="46" spans="2:49" ht="32.1" customHeight="1" thickBot="1" x14ac:dyDescent="0.35">
      <c r="B46" s="457"/>
      <c r="C46" s="457"/>
      <c r="D46" s="457"/>
      <c r="E46" s="439"/>
      <c r="F46" s="432"/>
      <c r="G46" s="436"/>
      <c r="H46" s="436"/>
      <c r="I46" s="455"/>
      <c r="J46" s="439"/>
      <c r="K46" s="445"/>
      <c r="L46" s="439"/>
      <c r="M46" s="439"/>
      <c r="N46" s="439"/>
      <c r="O46" s="441"/>
      <c r="P46" s="441"/>
      <c r="Q46" s="441"/>
      <c r="R46" s="305" t="s">
        <v>266</v>
      </c>
      <c r="S46" s="333">
        <f>INDEX('생산수량Back-Data'!$B$5:$AAA$10041,
       MATCH($B45,'생산수량Back-Data'!$B$5:$B$10041,0),
       MATCH(S$3,'생산수량Back-Data'!$B$3:$AAA$3,0))</f>
        <v>0</v>
      </c>
      <c r="T46" s="334">
        <f>INDEX('생산수량Back-Data'!$B$5:$AAA$10041,
       MATCH($B45,'생산수량Back-Data'!$B$5:$B$10041,0),
       MATCH(T$3,'생산수량Back-Data'!$B$3:$AAA$3,0))</f>
        <v>0</v>
      </c>
      <c r="U46" s="334">
        <f>INDEX('생산수량Back-Data'!$B$5:$AAA$10041,
       MATCH($B45,'생산수량Back-Data'!$B$5:$B$10041,0),
       MATCH(U$3,'생산수량Back-Data'!$B$3:$AAA$3,0))</f>
        <v>0</v>
      </c>
      <c r="V46" s="334">
        <f>INDEX('생산수량Back-Data'!$B$5:$AAA$10041,
       MATCH($B45,'생산수량Back-Data'!$B$5:$B$10041,0),
       MATCH(V$3,'생산수량Back-Data'!$B$3:$AAA$3,0))</f>
        <v>0</v>
      </c>
      <c r="W46" s="334">
        <f>INDEX('생산수량Back-Data'!$B$5:$AAA$10041,
       MATCH($B45,'생산수량Back-Data'!$B$5:$B$10041,0),
       MATCH(W$3,'생산수량Back-Data'!$B$3:$AAA$3,0))</f>
        <v>0</v>
      </c>
      <c r="X46" s="334">
        <f>INDEX('생산수량Back-Data'!$B$5:$AAA$10041,
       MATCH($B45,'생산수량Back-Data'!$B$5:$B$10041,0),
       MATCH(X$3,'생산수량Back-Data'!$B$3:$AAA$3,0))</f>
        <v>0</v>
      </c>
      <c r="Y46" s="334">
        <f>INDEX('생산수량Back-Data'!$B$5:$AAA$10041,
       MATCH($B45,'생산수량Back-Data'!$B$5:$B$10041,0),
       MATCH(Y$3,'생산수량Back-Data'!$B$3:$AAA$3,0))</f>
        <v>0</v>
      </c>
      <c r="Z46" s="334">
        <f>INDEX('생산수량Back-Data'!$B$5:$AAA$10041,
       MATCH($B45,'생산수량Back-Data'!$B$5:$B$10041,0),
       MATCH(Z$3,'생산수량Back-Data'!$B$3:$AAA$3,0))</f>
        <v>0</v>
      </c>
      <c r="AA46" s="334">
        <f>INDEX('생산수량Back-Data'!$B$5:$AAA$10041,
       MATCH($B45,'생산수량Back-Data'!$B$5:$B$10041,0),
       MATCH(AA$3,'생산수량Back-Data'!$B$3:$AAA$3,0))</f>
        <v>0</v>
      </c>
      <c r="AB46" s="334">
        <f>INDEX('생산수량Back-Data'!$B$5:$AAA$10041,
       MATCH($B45,'생산수량Back-Data'!$B$5:$B$10041,0),
       MATCH(AB$3,'생산수량Back-Data'!$B$3:$AAA$3,0))</f>
        <v>0</v>
      </c>
      <c r="AC46" s="334">
        <f>INDEX('생산수량Back-Data'!$B$5:$AAA$10041,
       MATCH($B45,'생산수량Back-Data'!$B$5:$B$10041,0),
       MATCH(AC$3,'생산수량Back-Data'!$B$3:$AAA$3,0))</f>
        <v>0</v>
      </c>
      <c r="AD46" s="334">
        <f>INDEX('생산수량Back-Data'!$B$5:$AAA$10041,
       MATCH($B45,'생산수량Back-Data'!$B$5:$B$10041,0),
       MATCH(AD$3,'생산수량Back-Data'!$B$3:$AAA$3,0))</f>
        <v>0</v>
      </c>
      <c r="AE46" s="334">
        <f>INDEX('생산수량Back-Data'!$B$5:$AAA$10041,
       MATCH($B45,'생산수량Back-Data'!$B$5:$B$10041,0),
       MATCH(AE$3,'생산수량Back-Data'!$B$3:$AAA$3,0))</f>
        <v>0</v>
      </c>
      <c r="AF46" s="334">
        <f>INDEX('생산수량Back-Data'!$B$5:$AAA$10041,
       MATCH($B45,'생산수량Back-Data'!$B$5:$B$10041,0),
       MATCH(AF$3,'생산수량Back-Data'!$B$3:$AAA$3,0))</f>
        <v>0</v>
      </c>
      <c r="AG46" s="334">
        <f>INDEX('생산수량Back-Data'!$B$5:$AAA$10041,
       MATCH($B45,'생산수량Back-Data'!$B$5:$B$10041,0),
       MATCH(AG$3,'생산수량Back-Data'!$B$3:$AAA$3,0))</f>
        <v>0</v>
      </c>
      <c r="AH46" s="334">
        <f>INDEX('생산수량Back-Data'!$B$5:$AAA$10041,
       MATCH($B45,'생산수량Back-Data'!$B$5:$B$10041,0),
       MATCH(AH$3,'생산수량Back-Data'!$B$3:$AAA$3,0))</f>
        <v>0</v>
      </c>
      <c r="AI46" s="334">
        <f>INDEX('생산수량Back-Data'!$B$5:$AAA$10041,
       MATCH($B45,'생산수량Back-Data'!$B$5:$B$10041,0),
       MATCH(AI$3,'생산수량Back-Data'!$B$3:$AAA$3,0))</f>
        <v>0</v>
      </c>
      <c r="AJ46" s="334">
        <f>INDEX('생산수량Back-Data'!$B$5:$AAA$10041,
       MATCH($B45,'생산수량Back-Data'!$B$5:$B$10041,0),
       MATCH(AJ$3,'생산수량Back-Data'!$B$3:$AAA$3,0))</f>
        <v>0</v>
      </c>
      <c r="AK46" s="334">
        <f>INDEX('생산수량Back-Data'!$B$5:$AAA$10041,
       MATCH($B45,'생산수량Back-Data'!$B$5:$B$10041,0),
       MATCH(AK$3,'생산수량Back-Data'!$B$3:$AAA$3,0))</f>
        <v>0</v>
      </c>
      <c r="AL46" s="334">
        <f>INDEX('생산수량Back-Data'!$B$5:$AAA$10041,
       MATCH($B45,'생산수량Back-Data'!$B$5:$B$10041,0),
       MATCH(AL$3,'생산수량Back-Data'!$B$3:$AAA$3,0))</f>
        <v>0</v>
      </c>
      <c r="AM46" s="334">
        <f>INDEX('생산수량Back-Data'!$B$5:$AAA$10041,
       MATCH($B45,'생산수량Back-Data'!$B$5:$B$10041,0),
       MATCH(AM$3,'생산수량Back-Data'!$B$3:$AAA$3,0))</f>
        <v>0</v>
      </c>
      <c r="AN46" s="334">
        <f>INDEX('생산수량Back-Data'!$B$5:$AAA$10041,
       MATCH($B45,'생산수량Back-Data'!$B$5:$B$10041,0),
       MATCH(AN$3,'생산수량Back-Data'!$B$3:$AAA$3,0))</f>
        <v>0</v>
      </c>
      <c r="AO46" s="334">
        <f>INDEX('생산수량Back-Data'!$B$5:$AAA$10041,
       MATCH($B45,'생산수량Back-Data'!$B$5:$B$10041,0),
       MATCH(AO$3,'생산수량Back-Data'!$B$3:$AAA$3,0))</f>
        <v>0</v>
      </c>
      <c r="AP46" s="334">
        <f>INDEX('생산수량Back-Data'!$B$5:$AAA$10041,
       MATCH($B45,'생산수량Back-Data'!$B$5:$B$10041,0),
       MATCH(AP$3,'생산수량Back-Data'!$B$3:$AAA$3,0))</f>
        <v>0</v>
      </c>
      <c r="AQ46" s="334">
        <f>INDEX('생산수량Back-Data'!$B$5:$AAA$10041,
       MATCH($B45,'생산수량Back-Data'!$B$5:$B$10041,0),
       MATCH(AQ$3,'생산수량Back-Data'!$B$3:$AAA$3,0))</f>
        <v>0</v>
      </c>
      <c r="AR46" s="334">
        <f>INDEX('생산수량Back-Data'!$B$5:$AAA$10041,
       MATCH($B45,'생산수량Back-Data'!$B$5:$B$10041,0),
       MATCH(AR$3,'생산수량Back-Data'!$B$3:$AAA$3,0))</f>
        <v>0</v>
      </c>
      <c r="AS46" s="334">
        <f>INDEX('생산수량Back-Data'!$B$5:$AAA$10041,
       MATCH($B45,'생산수량Back-Data'!$B$5:$B$10041,0),
       MATCH(AS$3,'생산수량Back-Data'!$B$3:$AAA$3,0))</f>
        <v>0</v>
      </c>
      <c r="AT46" s="334">
        <f>INDEX('생산수량Back-Data'!$B$5:$AAA$10041,
       MATCH($B45,'생산수량Back-Data'!$B$5:$B$10041,0),
       MATCH(AT$3,'생산수량Back-Data'!$B$3:$AAA$3,0))</f>
        <v>0</v>
      </c>
      <c r="AU46" s="334">
        <f>INDEX('생산수량Back-Data'!$B$5:$AAA$10041,
       MATCH($B45,'생산수량Back-Data'!$B$5:$B$10041,0),
       MATCH(AU$3,'생산수량Back-Data'!$B$3:$AAA$3,0))</f>
        <v>0</v>
      </c>
      <c r="AV46" s="334">
        <f>INDEX('생산수량Back-Data'!$B$5:$AAA$10041,
       MATCH($B45,'생산수량Back-Data'!$B$5:$B$10041,0),
       MATCH(AV$3,'생산수량Back-Data'!$B$3:$AAA$3,0))</f>
        <v>0</v>
      </c>
      <c r="AW46" s="335">
        <f>INDEX('생산수량Back-Data'!$B$5:$AAA$10041,
       MATCH($B45,'생산수량Back-Data'!$B$5:$B$10041,0),
       MATCH(AW$3,'생산수량Back-Data'!$B$3:$AAA$3,0))</f>
        <v>0</v>
      </c>
    </row>
    <row r="47" spans="2:49" ht="32.1" customHeight="1" x14ac:dyDescent="0.3">
      <c r="B47" s="449" t="s">
        <v>48</v>
      </c>
      <c r="C47" s="449" t="s">
        <v>185</v>
      </c>
      <c r="D47" s="449" t="s">
        <v>193</v>
      </c>
      <c r="E47" s="446">
        <f>ABS(SUMIFS('Fixture 총 발주수량'!AH:AH,'Fixture 총 발주수량'!B:B,생산계획!B47,'Fixture 총 발주수량'!AH:AH,"&lt;0"))</f>
        <v>1386</v>
      </c>
      <c r="F47" s="434">
        <f>G47-E47</f>
        <v>614</v>
      </c>
      <c r="G47" s="435">
        <f>SUMIF(S47:AW47, "&gt;0")</f>
        <v>2000</v>
      </c>
      <c r="H47" s="435">
        <f>SUMIF(S48:AW48, "&gt;0")</f>
        <v>0</v>
      </c>
      <c r="I47" s="448">
        <f>IFERROR(H47/G47,)</f>
        <v>0</v>
      </c>
      <c r="J47" s="446">
        <f>ROUNDUP(E47/400,)</f>
        <v>4</v>
      </c>
      <c r="K47" s="449" t="s">
        <v>364</v>
      </c>
      <c r="L47" s="446">
        <v>0</v>
      </c>
      <c r="M47" s="446">
        <f>L47+J47</f>
        <v>4</v>
      </c>
      <c r="N47" s="447">
        <v>0</v>
      </c>
      <c r="O47" s="456">
        <v>1</v>
      </c>
      <c r="P47" s="456">
        <v>1</v>
      </c>
      <c r="Q47" s="456">
        <v>0</v>
      </c>
      <c r="R47" s="336" t="s">
        <v>264</v>
      </c>
      <c r="S47" s="337"/>
      <c r="T47" s="338"/>
      <c r="U47" s="338"/>
      <c r="V47" s="338"/>
      <c r="W47" s="338"/>
      <c r="X47" s="338"/>
      <c r="Y47" s="338"/>
      <c r="Z47" s="338"/>
      <c r="AA47" s="338"/>
      <c r="AB47" s="338"/>
      <c r="AC47" s="338"/>
      <c r="AD47" s="338"/>
      <c r="AE47" s="338"/>
      <c r="AF47" s="338"/>
      <c r="AG47" s="338"/>
      <c r="AH47" s="338"/>
      <c r="AI47" s="338"/>
      <c r="AJ47" s="338"/>
      <c r="AK47" s="338"/>
      <c r="AL47" s="338"/>
      <c r="AM47" s="338"/>
      <c r="AN47" s="338"/>
      <c r="AO47" s="338"/>
      <c r="AP47" s="338"/>
      <c r="AQ47" s="338">
        <v>400</v>
      </c>
      <c r="AR47" s="338">
        <v>400</v>
      </c>
      <c r="AS47" s="338">
        <v>400</v>
      </c>
      <c r="AT47" s="338">
        <v>400</v>
      </c>
      <c r="AU47" s="338">
        <v>400</v>
      </c>
      <c r="AV47" s="338"/>
      <c r="AW47" s="339"/>
    </row>
    <row r="48" spans="2:49" ht="32.1" customHeight="1" x14ac:dyDescent="0.3">
      <c r="B48" s="445"/>
      <c r="C48" s="445"/>
      <c r="D48" s="445"/>
      <c r="E48" s="439"/>
      <c r="F48" s="432"/>
      <c r="G48" s="436"/>
      <c r="H48" s="436"/>
      <c r="I48" s="443"/>
      <c r="J48" s="439"/>
      <c r="K48" s="445"/>
      <c r="L48" s="439"/>
      <c r="M48" s="439"/>
      <c r="N48" s="441"/>
      <c r="O48" s="432"/>
      <c r="P48" s="432"/>
      <c r="Q48" s="432"/>
      <c r="R48" s="306" t="s">
        <v>266</v>
      </c>
      <c r="S48" s="340">
        <f>INDEX('생산수량Back-Data'!$B$5:$AAA$10041,
       MATCH($B47,'생산수량Back-Data'!$B$5:$B$10041,0),
       MATCH(S$3,'생산수량Back-Data'!$B$3:$AAA$3,0))</f>
        <v>0</v>
      </c>
      <c r="T48" s="341">
        <f>INDEX('생산수량Back-Data'!$B$5:$AAA$10041,
       MATCH($B47,'생산수량Back-Data'!$B$5:$B$10041,0),
       MATCH(T$3,'생산수량Back-Data'!$B$3:$AAA$3,0))</f>
        <v>0</v>
      </c>
      <c r="U48" s="341">
        <f>INDEX('생산수량Back-Data'!$B$5:$AAA$10041,
       MATCH($B47,'생산수량Back-Data'!$B$5:$B$10041,0),
       MATCH(U$3,'생산수량Back-Data'!$B$3:$AAA$3,0))</f>
        <v>0</v>
      </c>
      <c r="V48" s="341">
        <f>INDEX('생산수량Back-Data'!$B$5:$AAA$10041,
       MATCH($B47,'생산수량Back-Data'!$B$5:$B$10041,0),
       MATCH(V$3,'생산수량Back-Data'!$B$3:$AAA$3,0))</f>
        <v>0</v>
      </c>
      <c r="W48" s="341">
        <f>INDEX('생산수량Back-Data'!$B$5:$AAA$10041,
       MATCH($B47,'생산수량Back-Data'!$B$5:$B$10041,0),
       MATCH(W$3,'생산수량Back-Data'!$B$3:$AAA$3,0))</f>
        <v>0</v>
      </c>
      <c r="X48" s="341">
        <f>INDEX('생산수량Back-Data'!$B$5:$AAA$10041,
       MATCH($B47,'생산수량Back-Data'!$B$5:$B$10041,0),
       MATCH(X$3,'생산수량Back-Data'!$B$3:$AAA$3,0))</f>
        <v>0</v>
      </c>
      <c r="Y48" s="341">
        <f>INDEX('생산수량Back-Data'!$B$5:$AAA$10041,
       MATCH($B47,'생산수량Back-Data'!$B$5:$B$10041,0),
       MATCH(Y$3,'생산수량Back-Data'!$B$3:$AAA$3,0))</f>
        <v>0</v>
      </c>
      <c r="Z48" s="341">
        <f>INDEX('생산수량Back-Data'!$B$5:$AAA$10041,
       MATCH($B47,'생산수량Back-Data'!$B$5:$B$10041,0),
       MATCH(Z$3,'생산수량Back-Data'!$B$3:$AAA$3,0))</f>
        <v>0</v>
      </c>
      <c r="AA48" s="341">
        <f>INDEX('생산수량Back-Data'!$B$5:$AAA$10041,
       MATCH($B47,'생산수량Back-Data'!$B$5:$B$10041,0),
       MATCH(AA$3,'생산수량Back-Data'!$B$3:$AAA$3,0))</f>
        <v>0</v>
      </c>
      <c r="AB48" s="341">
        <f>INDEX('생산수량Back-Data'!$B$5:$AAA$10041,
       MATCH($B47,'생산수량Back-Data'!$B$5:$B$10041,0),
       MATCH(AB$3,'생산수량Back-Data'!$B$3:$AAA$3,0))</f>
        <v>0</v>
      </c>
      <c r="AC48" s="341">
        <f>INDEX('생산수량Back-Data'!$B$5:$AAA$10041,
       MATCH($B47,'생산수량Back-Data'!$B$5:$B$10041,0),
       MATCH(AC$3,'생산수량Back-Data'!$B$3:$AAA$3,0))</f>
        <v>0</v>
      </c>
      <c r="AD48" s="341">
        <f>INDEX('생산수량Back-Data'!$B$5:$AAA$10041,
       MATCH($B47,'생산수량Back-Data'!$B$5:$B$10041,0),
       MATCH(AD$3,'생산수량Back-Data'!$B$3:$AAA$3,0))</f>
        <v>0</v>
      </c>
      <c r="AE48" s="341">
        <f>INDEX('생산수량Back-Data'!$B$5:$AAA$10041,
       MATCH($B47,'생산수량Back-Data'!$B$5:$B$10041,0),
       MATCH(AE$3,'생산수량Back-Data'!$B$3:$AAA$3,0))</f>
        <v>0</v>
      </c>
      <c r="AF48" s="341">
        <f>INDEX('생산수량Back-Data'!$B$5:$AAA$10041,
       MATCH($B47,'생산수량Back-Data'!$B$5:$B$10041,0),
       MATCH(AF$3,'생산수량Back-Data'!$B$3:$AAA$3,0))</f>
        <v>0</v>
      </c>
      <c r="AG48" s="341">
        <f>INDEX('생산수량Back-Data'!$B$5:$AAA$10041,
       MATCH($B47,'생산수량Back-Data'!$B$5:$B$10041,0),
       MATCH(AG$3,'생산수량Back-Data'!$B$3:$AAA$3,0))</f>
        <v>0</v>
      </c>
      <c r="AH48" s="341">
        <f>INDEX('생산수량Back-Data'!$B$5:$AAA$10041,
       MATCH($B47,'생산수량Back-Data'!$B$5:$B$10041,0),
       MATCH(AH$3,'생산수량Back-Data'!$B$3:$AAA$3,0))</f>
        <v>0</v>
      </c>
      <c r="AI48" s="341">
        <f>INDEX('생산수량Back-Data'!$B$5:$AAA$10041,
       MATCH($B47,'생산수량Back-Data'!$B$5:$B$10041,0),
       MATCH(AI$3,'생산수량Back-Data'!$B$3:$AAA$3,0))</f>
        <v>0</v>
      </c>
      <c r="AJ48" s="341">
        <f>INDEX('생산수량Back-Data'!$B$5:$AAA$10041,
       MATCH($B47,'생산수량Back-Data'!$B$5:$B$10041,0),
       MATCH(AJ$3,'생산수량Back-Data'!$B$3:$AAA$3,0))</f>
        <v>0</v>
      </c>
      <c r="AK48" s="341">
        <f>INDEX('생산수량Back-Data'!$B$5:$AAA$10041,
       MATCH($B47,'생산수량Back-Data'!$B$5:$B$10041,0),
       MATCH(AK$3,'생산수량Back-Data'!$B$3:$AAA$3,0))</f>
        <v>0</v>
      </c>
      <c r="AL48" s="341">
        <f>INDEX('생산수량Back-Data'!$B$5:$AAA$10041,
       MATCH($B47,'생산수량Back-Data'!$B$5:$B$10041,0),
       MATCH(AL$3,'생산수량Back-Data'!$B$3:$AAA$3,0))</f>
        <v>0</v>
      </c>
      <c r="AM48" s="341">
        <f>INDEX('생산수량Back-Data'!$B$5:$AAA$10041,
       MATCH($B47,'생산수량Back-Data'!$B$5:$B$10041,0),
       MATCH(AM$3,'생산수량Back-Data'!$B$3:$AAA$3,0))</f>
        <v>0</v>
      </c>
      <c r="AN48" s="341">
        <f>INDEX('생산수량Back-Data'!$B$5:$AAA$10041,
       MATCH($B47,'생산수량Back-Data'!$B$5:$B$10041,0),
       MATCH(AN$3,'생산수량Back-Data'!$B$3:$AAA$3,0))</f>
        <v>0</v>
      </c>
      <c r="AO48" s="341">
        <f>INDEX('생산수량Back-Data'!$B$5:$AAA$10041,
       MATCH($B47,'생산수량Back-Data'!$B$5:$B$10041,0),
       MATCH(AO$3,'생산수량Back-Data'!$B$3:$AAA$3,0))</f>
        <v>0</v>
      </c>
      <c r="AP48" s="341">
        <f>INDEX('생산수량Back-Data'!$B$5:$AAA$10041,
       MATCH($B47,'생산수량Back-Data'!$B$5:$B$10041,0),
       MATCH(AP$3,'생산수량Back-Data'!$B$3:$AAA$3,0))</f>
        <v>0</v>
      </c>
      <c r="AQ48" s="341">
        <f>INDEX('생산수량Back-Data'!$B$5:$AAA$10041,
       MATCH($B47,'생산수량Back-Data'!$B$5:$B$10041,0),
       MATCH(AQ$3,'생산수량Back-Data'!$B$3:$AAA$3,0))</f>
        <v>0</v>
      </c>
      <c r="AR48" s="341">
        <f>INDEX('생산수량Back-Data'!$B$5:$AAA$10041,
       MATCH($B47,'생산수량Back-Data'!$B$5:$B$10041,0),
       MATCH(AR$3,'생산수량Back-Data'!$B$3:$AAA$3,0))</f>
        <v>0</v>
      </c>
      <c r="AS48" s="341">
        <f>INDEX('생산수량Back-Data'!$B$5:$AAA$10041,
       MATCH($B47,'생산수량Back-Data'!$B$5:$B$10041,0),
       MATCH(AS$3,'생산수량Back-Data'!$B$3:$AAA$3,0))</f>
        <v>0</v>
      </c>
      <c r="AT48" s="341">
        <f>INDEX('생산수량Back-Data'!$B$5:$AAA$10041,
       MATCH($B47,'생산수량Back-Data'!$B$5:$B$10041,0),
       MATCH(AT$3,'생산수량Back-Data'!$B$3:$AAA$3,0))</f>
        <v>0</v>
      </c>
      <c r="AU48" s="341">
        <f>INDEX('생산수량Back-Data'!$B$5:$AAA$10041,
       MATCH($B47,'생산수량Back-Data'!$B$5:$B$10041,0),
       MATCH(AU$3,'생산수량Back-Data'!$B$3:$AAA$3,0))</f>
        <v>0</v>
      </c>
      <c r="AV48" s="341">
        <f>INDEX('생산수량Back-Data'!$B$5:$AAA$10041,
       MATCH($B47,'생산수량Back-Data'!$B$5:$B$10041,0),
       MATCH(AV$3,'생산수량Back-Data'!$B$3:$AAA$3,0))</f>
        <v>0</v>
      </c>
      <c r="AW48" s="342">
        <f>INDEX('생산수량Back-Data'!$B$5:$AAA$10041,
       MATCH($B47,'생산수량Back-Data'!$B$5:$B$10041,0),
       MATCH(AW$3,'생산수량Back-Data'!$B$3:$AAA$3,0))</f>
        <v>0</v>
      </c>
    </row>
    <row r="49" spans="2:49" ht="32.1" customHeight="1" x14ac:dyDescent="0.3">
      <c r="B49" s="444" t="s">
        <v>53</v>
      </c>
      <c r="C49" s="444" t="s">
        <v>185</v>
      </c>
      <c r="D49" s="444" t="s">
        <v>193</v>
      </c>
      <c r="E49" s="438">
        <f>ABS(SUMIFS('Fixture 총 발주수량'!AH:AH,'Fixture 총 발주수량'!B:B,생산계획!B49,'Fixture 총 발주수량'!AH:AH,"&lt;0"))</f>
        <v>3137</v>
      </c>
      <c r="F49" s="431">
        <f>G49-E49</f>
        <v>-3137</v>
      </c>
      <c r="G49" s="437">
        <f>SUMIF(S49:AW49, "&gt;0")</f>
        <v>0</v>
      </c>
      <c r="H49" s="437">
        <f>SUMIF(S50:AW50, "&gt;0")</f>
        <v>0</v>
      </c>
      <c r="I49" s="442">
        <f>IFERROR(H49/G49,)</f>
        <v>0</v>
      </c>
      <c r="J49" s="438">
        <f>ROUNDUP(E49/400,)</f>
        <v>8</v>
      </c>
      <c r="K49" s="444" t="str">
        <f>IF(O47&lt;=P47,
     IF(O47&lt;=Q47,"1호기","4호기"),
     IF(P47&lt;=Q47,"3호기","4호기")
)</f>
        <v>4호기</v>
      </c>
      <c r="L49" s="438">
        <f>IF(K49="1호기",O47,
 IF(K49="3호기",P47,
 Q47))</f>
        <v>0</v>
      </c>
      <c r="M49" s="438">
        <f>L49+J49</f>
        <v>8</v>
      </c>
      <c r="N49" s="440">
        <v>0</v>
      </c>
      <c r="O49" s="438">
        <f>O47 + IF(K49="1호기",J49,0)</f>
        <v>1</v>
      </c>
      <c r="P49" s="438">
        <f>P47 + IF(K49="3호기",J49,0)</f>
        <v>1</v>
      </c>
      <c r="Q49" s="438">
        <f>Q47 + IF(K49="4호기",J49,0)</f>
        <v>8</v>
      </c>
      <c r="R49" s="306" t="s">
        <v>264</v>
      </c>
      <c r="S49" s="311"/>
      <c r="T49" s="312"/>
      <c r="U49" s="312"/>
      <c r="V49" s="312"/>
      <c r="W49" s="312"/>
      <c r="X49" s="312"/>
      <c r="Y49" s="312"/>
      <c r="Z49" s="312"/>
      <c r="AA49" s="312"/>
      <c r="AB49" s="312"/>
      <c r="AC49" s="312"/>
      <c r="AD49" s="312"/>
      <c r="AE49" s="312"/>
      <c r="AF49" s="312"/>
      <c r="AG49" s="312"/>
      <c r="AH49" s="312"/>
      <c r="AI49" s="312"/>
      <c r="AJ49" s="312"/>
      <c r="AK49" s="312"/>
      <c r="AL49" s="312"/>
      <c r="AM49" s="312"/>
      <c r="AN49" s="312"/>
      <c r="AO49" s="312"/>
      <c r="AP49" s="312"/>
      <c r="AQ49" s="312"/>
      <c r="AR49" s="312"/>
      <c r="AS49" s="312"/>
      <c r="AT49" s="312"/>
      <c r="AU49" s="312"/>
      <c r="AV49" s="312"/>
      <c r="AW49" s="313"/>
    </row>
    <row r="50" spans="2:49" ht="32.1" customHeight="1" x14ac:dyDescent="0.3">
      <c r="B50" s="445"/>
      <c r="C50" s="445"/>
      <c r="D50" s="445"/>
      <c r="E50" s="439"/>
      <c r="F50" s="432"/>
      <c r="G50" s="436"/>
      <c r="H50" s="436"/>
      <c r="I50" s="443"/>
      <c r="J50" s="439"/>
      <c r="K50" s="445"/>
      <c r="L50" s="439"/>
      <c r="M50" s="439"/>
      <c r="N50" s="441"/>
      <c r="O50" s="439"/>
      <c r="P50" s="439"/>
      <c r="Q50" s="439"/>
      <c r="R50" s="306" t="s">
        <v>266</v>
      </c>
      <c r="S50" s="310">
        <f>INDEX('생산수량Back-Data'!$B$5:$AAA$10041,
       MATCH($B49,'생산수량Back-Data'!$B$5:$B$10041,0),
       MATCH(S$3,'생산수량Back-Data'!$B$3:$AAA$3,0))</f>
        <v>0</v>
      </c>
      <c r="T50" s="331">
        <f>INDEX('생산수량Back-Data'!$B$5:$AAA$10041,
       MATCH($B49,'생산수량Back-Data'!$B$5:$B$10041,0),
       MATCH(T$3,'생산수량Back-Data'!$B$3:$AAA$3,0))</f>
        <v>0</v>
      </c>
      <c r="U50" s="331">
        <f>INDEX('생산수량Back-Data'!$B$5:$AAA$10041,
       MATCH($B49,'생산수량Back-Data'!$B$5:$B$10041,0),
       MATCH(U$3,'생산수량Back-Data'!$B$3:$AAA$3,0))</f>
        <v>0</v>
      </c>
      <c r="V50" s="331">
        <f>INDEX('생산수량Back-Data'!$B$5:$AAA$10041,
       MATCH($B49,'생산수량Back-Data'!$B$5:$B$10041,0),
       MATCH(V$3,'생산수량Back-Data'!$B$3:$AAA$3,0))</f>
        <v>0</v>
      </c>
      <c r="W50" s="331">
        <f>INDEX('생산수량Back-Data'!$B$5:$AAA$10041,
       MATCH($B49,'생산수량Back-Data'!$B$5:$B$10041,0),
       MATCH(W$3,'생산수량Back-Data'!$B$3:$AAA$3,0))</f>
        <v>0</v>
      </c>
      <c r="X50" s="331">
        <f>INDEX('생산수량Back-Data'!$B$5:$AAA$10041,
       MATCH($B49,'생산수량Back-Data'!$B$5:$B$10041,0),
       MATCH(X$3,'생산수량Back-Data'!$B$3:$AAA$3,0))</f>
        <v>0</v>
      </c>
      <c r="Y50" s="331">
        <f>INDEX('생산수량Back-Data'!$B$5:$AAA$10041,
       MATCH($B49,'생산수량Back-Data'!$B$5:$B$10041,0),
       MATCH(Y$3,'생산수량Back-Data'!$B$3:$AAA$3,0))</f>
        <v>0</v>
      </c>
      <c r="Z50" s="331">
        <f>INDEX('생산수량Back-Data'!$B$5:$AAA$10041,
       MATCH($B49,'생산수량Back-Data'!$B$5:$B$10041,0),
       MATCH(Z$3,'생산수량Back-Data'!$B$3:$AAA$3,0))</f>
        <v>0</v>
      </c>
      <c r="AA50" s="331">
        <f>INDEX('생산수량Back-Data'!$B$5:$AAA$10041,
       MATCH($B49,'생산수량Back-Data'!$B$5:$B$10041,0),
       MATCH(AA$3,'생산수량Back-Data'!$B$3:$AAA$3,0))</f>
        <v>0</v>
      </c>
      <c r="AB50" s="331">
        <f>INDEX('생산수량Back-Data'!$B$5:$AAA$10041,
       MATCH($B49,'생산수량Back-Data'!$B$5:$B$10041,0),
       MATCH(AB$3,'생산수량Back-Data'!$B$3:$AAA$3,0))</f>
        <v>0</v>
      </c>
      <c r="AC50" s="331">
        <f>INDEX('생산수량Back-Data'!$B$5:$AAA$10041,
       MATCH($B49,'생산수량Back-Data'!$B$5:$B$10041,0),
       MATCH(AC$3,'생산수량Back-Data'!$B$3:$AAA$3,0))</f>
        <v>0</v>
      </c>
      <c r="AD50" s="331">
        <f>INDEX('생산수량Back-Data'!$B$5:$AAA$10041,
       MATCH($B49,'생산수량Back-Data'!$B$5:$B$10041,0),
       MATCH(AD$3,'생산수량Back-Data'!$B$3:$AAA$3,0))</f>
        <v>0</v>
      </c>
      <c r="AE50" s="331">
        <f>INDEX('생산수량Back-Data'!$B$5:$AAA$10041,
       MATCH($B49,'생산수량Back-Data'!$B$5:$B$10041,0),
       MATCH(AE$3,'생산수량Back-Data'!$B$3:$AAA$3,0))</f>
        <v>0</v>
      </c>
      <c r="AF50" s="331">
        <f>INDEX('생산수량Back-Data'!$B$5:$AAA$10041,
       MATCH($B49,'생산수량Back-Data'!$B$5:$B$10041,0),
       MATCH(AF$3,'생산수량Back-Data'!$B$3:$AAA$3,0))</f>
        <v>0</v>
      </c>
      <c r="AG50" s="331">
        <f>INDEX('생산수량Back-Data'!$B$5:$AAA$10041,
       MATCH($B49,'생산수량Back-Data'!$B$5:$B$10041,0),
       MATCH(AG$3,'생산수량Back-Data'!$B$3:$AAA$3,0))</f>
        <v>0</v>
      </c>
      <c r="AH50" s="331">
        <f>INDEX('생산수량Back-Data'!$B$5:$AAA$10041,
       MATCH($B49,'생산수량Back-Data'!$B$5:$B$10041,0),
       MATCH(AH$3,'생산수량Back-Data'!$B$3:$AAA$3,0))</f>
        <v>0</v>
      </c>
      <c r="AI50" s="331">
        <f>INDEX('생산수량Back-Data'!$B$5:$AAA$10041,
       MATCH($B49,'생산수량Back-Data'!$B$5:$B$10041,0),
       MATCH(AI$3,'생산수량Back-Data'!$B$3:$AAA$3,0))</f>
        <v>0</v>
      </c>
      <c r="AJ50" s="331">
        <f>INDEX('생산수량Back-Data'!$B$5:$AAA$10041,
       MATCH($B49,'생산수량Back-Data'!$B$5:$B$10041,0),
       MATCH(AJ$3,'생산수량Back-Data'!$B$3:$AAA$3,0))</f>
        <v>0</v>
      </c>
      <c r="AK50" s="331">
        <f>INDEX('생산수량Back-Data'!$B$5:$AAA$10041,
       MATCH($B49,'생산수량Back-Data'!$B$5:$B$10041,0),
       MATCH(AK$3,'생산수량Back-Data'!$B$3:$AAA$3,0))</f>
        <v>0</v>
      </c>
      <c r="AL50" s="331">
        <f>INDEX('생산수량Back-Data'!$B$5:$AAA$10041,
       MATCH($B49,'생산수량Back-Data'!$B$5:$B$10041,0),
       MATCH(AL$3,'생산수량Back-Data'!$B$3:$AAA$3,0))</f>
        <v>0</v>
      </c>
      <c r="AM50" s="331">
        <f>INDEX('생산수량Back-Data'!$B$5:$AAA$10041,
       MATCH($B49,'생산수량Back-Data'!$B$5:$B$10041,0),
       MATCH(AM$3,'생산수량Back-Data'!$B$3:$AAA$3,0))</f>
        <v>0</v>
      </c>
      <c r="AN50" s="331">
        <f>INDEX('생산수량Back-Data'!$B$5:$AAA$10041,
       MATCH($B49,'생산수량Back-Data'!$B$5:$B$10041,0),
       MATCH(AN$3,'생산수량Back-Data'!$B$3:$AAA$3,0))</f>
        <v>0</v>
      </c>
      <c r="AO50" s="331">
        <f>INDEX('생산수량Back-Data'!$B$5:$AAA$10041,
       MATCH($B49,'생산수량Back-Data'!$B$5:$B$10041,0),
       MATCH(AO$3,'생산수량Back-Data'!$B$3:$AAA$3,0))</f>
        <v>0</v>
      </c>
      <c r="AP50" s="331">
        <f>INDEX('생산수량Back-Data'!$B$5:$AAA$10041,
       MATCH($B49,'생산수량Back-Data'!$B$5:$B$10041,0),
       MATCH(AP$3,'생산수량Back-Data'!$B$3:$AAA$3,0))</f>
        <v>0</v>
      </c>
      <c r="AQ50" s="331">
        <f>INDEX('생산수량Back-Data'!$B$5:$AAA$10041,
       MATCH($B49,'생산수량Back-Data'!$B$5:$B$10041,0),
       MATCH(AQ$3,'생산수량Back-Data'!$B$3:$AAA$3,0))</f>
        <v>0</v>
      </c>
      <c r="AR50" s="331">
        <f>INDEX('생산수량Back-Data'!$B$5:$AAA$10041,
       MATCH($B49,'생산수량Back-Data'!$B$5:$B$10041,0),
       MATCH(AR$3,'생산수량Back-Data'!$B$3:$AAA$3,0))</f>
        <v>0</v>
      </c>
      <c r="AS50" s="331">
        <f>INDEX('생산수량Back-Data'!$B$5:$AAA$10041,
       MATCH($B49,'생산수량Back-Data'!$B$5:$B$10041,0),
       MATCH(AS$3,'생산수량Back-Data'!$B$3:$AAA$3,0))</f>
        <v>0</v>
      </c>
      <c r="AT50" s="331">
        <f>INDEX('생산수량Back-Data'!$B$5:$AAA$10041,
       MATCH($B49,'생산수량Back-Data'!$B$5:$B$10041,0),
       MATCH(AT$3,'생산수량Back-Data'!$B$3:$AAA$3,0))</f>
        <v>0</v>
      </c>
      <c r="AU50" s="331">
        <f>INDEX('생산수량Back-Data'!$B$5:$AAA$10041,
       MATCH($B49,'생산수량Back-Data'!$B$5:$B$10041,0),
       MATCH(AU$3,'생산수량Back-Data'!$B$3:$AAA$3,0))</f>
        <v>0</v>
      </c>
      <c r="AV50" s="331">
        <f>INDEX('생산수량Back-Data'!$B$5:$AAA$10041,
       MATCH($B49,'생산수량Back-Data'!$B$5:$B$10041,0),
       MATCH(AV$3,'생산수량Back-Data'!$B$3:$AAA$3,0))</f>
        <v>0</v>
      </c>
      <c r="AW50" s="332">
        <f>INDEX('생산수량Back-Data'!$B$5:$AAA$10041,
       MATCH($B49,'생산수량Back-Data'!$B$5:$B$10041,0),
       MATCH(AW$3,'생산수량Back-Data'!$B$3:$AAA$3,0))</f>
        <v>0</v>
      </c>
    </row>
    <row r="51" spans="2:49" ht="32.1" customHeight="1" x14ac:dyDescent="0.3">
      <c r="B51" s="444" t="s">
        <v>60</v>
      </c>
      <c r="C51" s="444" t="s">
        <v>185</v>
      </c>
      <c r="D51" s="444" t="s">
        <v>200</v>
      </c>
      <c r="E51" s="438">
        <f>ABS(SUMIFS('Fixture 총 발주수량'!AH:AH,'Fixture 총 발주수량'!B:B,생산계획!B51,'Fixture 총 발주수량'!AH:AH,"&lt;0"))</f>
        <v>8234</v>
      </c>
      <c r="F51" s="431">
        <f>G51-E51</f>
        <v>1766</v>
      </c>
      <c r="G51" s="437">
        <f>SUMIF(S51:AW51, "&gt;0")</f>
        <v>10000</v>
      </c>
      <c r="H51" s="437">
        <f>SUMIF(S52:AW52, "&gt;0")</f>
        <v>7800</v>
      </c>
      <c r="I51" s="442">
        <f>IFERROR(H51/G51,)</f>
        <v>0.78</v>
      </c>
      <c r="J51" s="438">
        <f>ROUNDUP(E51/400,)</f>
        <v>21</v>
      </c>
      <c r="K51" s="444" t="str">
        <f>IF(O49&lt;=P49,
     IF(O49&lt;=Q49,"1호기","4호기"),
     IF(P49&lt;=Q49,"3호기","4호기")
)</f>
        <v>1호기</v>
      </c>
      <c r="L51" s="438">
        <f>IF(K51="1호기",O49,
 IF(K51="3호기",P49,
 Q49))</f>
        <v>1</v>
      </c>
      <c r="M51" s="438">
        <f>L51+J51</f>
        <v>22</v>
      </c>
      <c r="N51" s="440">
        <v>0</v>
      </c>
      <c r="O51" s="438">
        <f>O49 + IF(K51="1호기",J51,0)</f>
        <v>22</v>
      </c>
      <c r="P51" s="438">
        <f>P49 + IF(K51="3호기",J51,0)</f>
        <v>1</v>
      </c>
      <c r="Q51" s="438">
        <f>Q49 + IF(K51="4호기",J51,0)</f>
        <v>8</v>
      </c>
      <c r="R51" s="306" t="s">
        <v>264</v>
      </c>
      <c r="S51" s="311">
        <v>400</v>
      </c>
      <c r="T51" s="312"/>
      <c r="U51" s="312"/>
      <c r="V51" s="312"/>
      <c r="W51" s="312"/>
      <c r="X51" s="312">
        <v>400</v>
      </c>
      <c r="Y51" s="312">
        <v>400</v>
      </c>
      <c r="Z51" s="312">
        <v>400</v>
      </c>
      <c r="AA51" s="312">
        <v>400</v>
      </c>
      <c r="AB51" s="312">
        <v>400</v>
      </c>
      <c r="AC51" s="312">
        <v>400</v>
      </c>
      <c r="AD51" s="312">
        <v>400</v>
      </c>
      <c r="AE51" s="312">
        <v>400</v>
      </c>
      <c r="AF51" s="312">
        <v>400</v>
      </c>
      <c r="AG51" s="312">
        <v>400</v>
      </c>
      <c r="AH51" s="312">
        <v>400</v>
      </c>
      <c r="AI51" s="312">
        <v>400</v>
      </c>
      <c r="AJ51" s="312">
        <v>400</v>
      </c>
      <c r="AK51" s="312">
        <v>400</v>
      </c>
      <c r="AL51" s="312">
        <v>400</v>
      </c>
      <c r="AM51" s="312">
        <v>400</v>
      </c>
      <c r="AN51" s="312">
        <v>400</v>
      </c>
      <c r="AO51" s="312">
        <v>400</v>
      </c>
      <c r="AP51" s="312">
        <v>400</v>
      </c>
      <c r="AQ51" s="312">
        <v>400</v>
      </c>
      <c r="AR51" s="312">
        <v>400</v>
      </c>
      <c r="AS51" s="312">
        <v>400</v>
      </c>
      <c r="AT51" s="312">
        <v>400</v>
      </c>
      <c r="AU51" s="312">
        <v>400</v>
      </c>
      <c r="AV51" s="312"/>
      <c r="AW51" s="313"/>
    </row>
    <row r="52" spans="2:49" ht="32.1" customHeight="1" x14ac:dyDescent="0.3">
      <c r="B52" s="445"/>
      <c r="C52" s="445"/>
      <c r="D52" s="445"/>
      <c r="E52" s="439"/>
      <c r="F52" s="432"/>
      <c r="G52" s="436"/>
      <c r="H52" s="436"/>
      <c r="I52" s="443"/>
      <c r="J52" s="439"/>
      <c r="K52" s="445"/>
      <c r="L52" s="439"/>
      <c r="M52" s="439"/>
      <c r="N52" s="441"/>
      <c r="O52" s="439"/>
      <c r="P52" s="439"/>
      <c r="Q52" s="439"/>
      <c r="R52" s="306" t="s">
        <v>266</v>
      </c>
      <c r="S52" s="310">
        <f>INDEX('생산수량Back-Data'!$B$5:$AAA$10041,
       MATCH($B51,'생산수량Back-Data'!$B$5:$B$10041,0),
       MATCH(S$3,'생산수량Back-Data'!$B$3:$AAA$3,0))</f>
        <v>400</v>
      </c>
      <c r="T52" s="331">
        <f>INDEX('생산수량Back-Data'!$B$5:$AAA$10041,
       MATCH($B51,'생산수량Back-Data'!$B$5:$B$10041,0),
       MATCH(T$3,'생산수량Back-Data'!$B$3:$AAA$3,0))</f>
        <v>0</v>
      </c>
      <c r="U52" s="331">
        <f>INDEX('생산수량Back-Data'!$B$5:$AAA$10041,
       MATCH($B51,'생산수량Back-Data'!$B$5:$B$10041,0),
       MATCH(U$3,'생산수량Back-Data'!$B$3:$AAA$3,0))</f>
        <v>0</v>
      </c>
      <c r="V52" s="331">
        <f>INDEX('생산수량Back-Data'!$B$5:$AAA$10041,
       MATCH($B51,'생산수량Back-Data'!$B$5:$B$10041,0),
       MATCH(V$3,'생산수량Back-Data'!$B$3:$AAA$3,0))</f>
        <v>0</v>
      </c>
      <c r="W52" s="331">
        <f>INDEX('생산수량Back-Data'!$B$5:$AAA$10041,
       MATCH($B51,'생산수량Back-Data'!$B$5:$B$10041,0),
       MATCH(W$3,'생산수량Back-Data'!$B$3:$AAA$3,0))</f>
        <v>0</v>
      </c>
      <c r="X52" s="331">
        <f>INDEX('생산수량Back-Data'!$B$5:$AAA$10041,
       MATCH($B51,'생산수량Back-Data'!$B$5:$B$10041,0),
       MATCH(X$3,'생산수량Back-Data'!$B$3:$AAA$3,0))</f>
        <v>400</v>
      </c>
      <c r="Y52" s="331">
        <f>INDEX('생산수량Back-Data'!$B$5:$AAA$10041,
       MATCH($B51,'생산수량Back-Data'!$B$5:$B$10041,0),
       MATCH(Y$3,'생산수량Back-Data'!$B$3:$AAA$3,0))</f>
        <v>400</v>
      </c>
      <c r="Z52" s="331">
        <f>INDEX('생산수량Back-Data'!$B$5:$AAA$10041,
       MATCH($B51,'생산수량Back-Data'!$B$5:$B$10041,0),
       MATCH(Z$3,'생산수량Back-Data'!$B$3:$AAA$3,0))</f>
        <v>400</v>
      </c>
      <c r="AA52" s="331">
        <f>INDEX('생산수량Back-Data'!$B$5:$AAA$10041,
       MATCH($B51,'생산수량Back-Data'!$B$5:$B$10041,0),
       MATCH(AA$3,'생산수량Back-Data'!$B$3:$AAA$3,0))</f>
        <v>400</v>
      </c>
      <c r="AB52" s="331">
        <f>INDEX('생산수량Back-Data'!$B$5:$AAA$10041,
       MATCH($B51,'생산수량Back-Data'!$B$5:$B$10041,0),
       MATCH(AB$3,'생산수량Back-Data'!$B$3:$AAA$3,0))</f>
        <v>400</v>
      </c>
      <c r="AC52" s="331">
        <f>INDEX('생산수량Back-Data'!$B$5:$AAA$10041,
       MATCH($B51,'생산수량Back-Data'!$B$5:$B$10041,0),
       MATCH(AC$3,'생산수량Back-Data'!$B$3:$AAA$3,0))</f>
        <v>200</v>
      </c>
      <c r="AD52" s="331">
        <f>INDEX('생산수량Back-Data'!$B$5:$AAA$10041,
       MATCH($B51,'생산수량Back-Data'!$B$5:$B$10041,0),
       MATCH(AD$3,'생산수량Back-Data'!$B$3:$AAA$3,0))</f>
        <v>400</v>
      </c>
      <c r="AE52" s="331">
        <f>INDEX('생산수량Back-Data'!$B$5:$AAA$10041,
       MATCH($B51,'생산수량Back-Data'!$B$5:$B$10041,0),
       MATCH(AE$3,'생산수량Back-Data'!$B$3:$AAA$3,0))</f>
        <v>400</v>
      </c>
      <c r="AF52" s="331">
        <f>INDEX('생산수량Back-Data'!$B$5:$AAA$10041,
       MATCH($B51,'생산수량Back-Data'!$B$5:$B$10041,0),
       MATCH(AF$3,'생산수량Back-Data'!$B$3:$AAA$3,0))</f>
        <v>400</v>
      </c>
      <c r="AG52" s="331">
        <f>INDEX('생산수량Back-Data'!$B$5:$AAA$10041,
       MATCH($B51,'생산수량Back-Data'!$B$5:$B$10041,0),
       MATCH(AG$3,'생산수량Back-Data'!$B$3:$AAA$3,0))</f>
        <v>400</v>
      </c>
      <c r="AH52" s="331">
        <f>INDEX('생산수량Back-Data'!$B$5:$AAA$10041,
       MATCH($B51,'생산수량Back-Data'!$B$5:$B$10041,0),
       MATCH(AH$3,'생산수량Back-Data'!$B$3:$AAA$3,0))</f>
        <v>400</v>
      </c>
      <c r="AI52" s="331">
        <f>INDEX('생산수량Back-Data'!$B$5:$AAA$10041,
       MATCH($B51,'생산수량Back-Data'!$B$5:$B$10041,0),
       MATCH(AI$3,'생산수량Back-Data'!$B$3:$AAA$3,0))</f>
        <v>400</v>
      </c>
      <c r="AJ52" s="331">
        <f>INDEX('생산수량Back-Data'!$B$5:$AAA$10041,
       MATCH($B51,'생산수량Back-Data'!$B$5:$B$10041,0),
       MATCH(AJ$3,'생산수량Back-Data'!$B$3:$AAA$3,0))</f>
        <v>400</v>
      </c>
      <c r="AK52" s="331">
        <f>INDEX('생산수량Back-Data'!$B$5:$AAA$10041,
       MATCH($B51,'생산수량Back-Data'!$B$5:$B$10041,0),
       MATCH(AK$3,'생산수량Back-Data'!$B$3:$AAA$3,0))</f>
        <v>400</v>
      </c>
      <c r="AL52" s="331">
        <f>INDEX('생산수량Back-Data'!$B$5:$AAA$10041,
       MATCH($B51,'생산수량Back-Data'!$B$5:$B$10041,0),
       MATCH(AL$3,'생산수량Back-Data'!$B$3:$AAA$3,0))</f>
        <v>400</v>
      </c>
      <c r="AM52" s="331">
        <f>INDEX('생산수량Back-Data'!$B$5:$AAA$10041,
       MATCH($B51,'생산수량Back-Data'!$B$5:$B$10041,0),
       MATCH(AM$3,'생산수량Back-Data'!$B$3:$AAA$3,0))</f>
        <v>400</v>
      </c>
      <c r="AN52" s="331">
        <f>INDEX('생산수량Back-Data'!$B$5:$AAA$10041,
       MATCH($B51,'생산수량Back-Data'!$B$5:$B$10041,0),
       MATCH(AN$3,'생산수량Back-Data'!$B$3:$AAA$3,0))</f>
        <v>400</v>
      </c>
      <c r="AO52" s="331">
        <f>INDEX('생산수량Back-Data'!$B$5:$AAA$10041,
       MATCH($B51,'생산수량Back-Data'!$B$5:$B$10041,0),
       MATCH(AO$3,'생산수량Back-Data'!$B$3:$AAA$3,0))</f>
        <v>400</v>
      </c>
      <c r="AP52" s="331">
        <f>INDEX('생산수량Back-Data'!$B$5:$AAA$10041,
       MATCH($B51,'생산수량Back-Data'!$B$5:$B$10041,0),
       MATCH(AP$3,'생산수량Back-Data'!$B$3:$AAA$3,0))</f>
        <v>400</v>
      </c>
      <c r="AQ52" s="331">
        <f>INDEX('생산수량Back-Data'!$B$5:$AAA$10041,
       MATCH($B51,'생산수량Back-Data'!$B$5:$B$10041,0),
       MATCH(AQ$3,'생산수량Back-Data'!$B$3:$AAA$3,0))</f>
        <v>0</v>
      </c>
      <c r="AR52" s="331">
        <f>INDEX('생산수량Back-Data'!$B$5:$AAA$10041,
       MATCH($B51,'생산수량Back-Data'!$B$5:$B$10041,0),
       MATCH(AR$3,'생산수량Back-Data'!$B$3:$AAA$3,0))</f>
        <v>0</v>
      </c>
      <c r="AS52" s="331">
        <f>INDEX('생산수량Back-Data'!$B$5:$AAA$10041,
       MATCH($B51,'생산수량Back-Data'!$B$5:$B$10041,0),
       MATCH(AS$3,'생산수량Back-Data'!$B$3:$AAA$3,0))</f>
        <v>0</v>
      </c>
      <c r="AT52" s="331">
        <f>INDEX('생산수량Back-Data'!$B$5:$AAA$10041,
       MATCH($B51,'생산수량Back-Data'!$B$5:$B$10041,0),
       MATCH(AT$3,'생산수량Back-Data'!$B$3:$AAA$3,0))</f>
        <v>0</v>
      </c>
      <c r="AU52" s="331">
        <f>INDEX('생산수량Back-Data'!$B$5:$AAA$10041,
       MATCH($B51,'생산수량Back-Data'!$B$5:$B$10041,0),
       MATCH(AU$3,'생산수량Back-Data'!$B$3:$AAA$3,0))</f>
        <v>0</v>
      </c>
      <c r="AV52" s="331">
        <f>INDEX('생산수량Back-Data'!$B$5:$AAA$10041,
       MATCH($B51,'생산수량Back-Data'!$B$5:$B$10041,0),
       MATCH(AV$3,'생산수량Back-Data'!$B$3:$AAA$3,0))</f>
        <v>0</v>
      </c>
      <c r="AW52" s="332">
        <f>INDEX('생산수량Back-Data'!$B$5:$AAA$10041,
       MATCH($B51,'생산수량Back-Data'!$B$5:$B$10041,0),
       MATCH(AW$3,'생산수량Back-Data'!$B$3:$AAA$3,0))</f>
        <v>0</v>
      </c>
    </row>
    <row r="53" spans="2:49" ht="32.1" customHeight="1" x14ac:dyDescent="0.3">
      <c r="B53" s="444" t="s">
        <v>50</v>
      </c>
      <c r="C53" s="444" t="s">
        <v>185</v>
      </c>
      <c r="D53" s="444" t="s">
        <v>195</v>
      </c>
      <c r="E53" s="438">
        <f>ABS(SUMIFS('Fixture 총 발주수량'!AH:AH,'Fixture 총 발주수량'!B:B,생산계획!B53,'Fixture 총 발주수량'!AH:AH,"&lt;0"))</f>
        <v>10131</v>
      </c>
      <c r="F53" s="431">
        <f>G53-E53</f>
        <v>-131</v>
      </c>
      <c r="G53" s="437">
        <f>SUMIF(S53:AW53, "&gt;0")</f>
        <v>10000</v>
      </c>
      <c r="H53" s="437">
        <f>SUMIF(S54:AW54, "&gt;0")</f>
        <v>7900</v>
      </c>
      <c r="I53" s="442">
        <f>IFERROR(H53/G53,)</f>
        <v>0.79</v>
      </c>
      <c r="J53" s="438">
        <f>ROUNDUP(E53/400,)</f>
        <v>26</v>
      </c>
      <c r="K53" s="444" t="str">
        <f>IF(O51&lt;=P51,
     IF(O51&lt;=Q51,"1호기","4호기"),
     IF(P51&lt;=Q51,"3호기","4호기")
)</f>
        <v>3호기</v>
      </c>
      <c r="L53" s="438">
        <f>IF(K53="1호기",O51,
 IF(K53="3호기",P51,
 Q51))</f>
        <v>1</v>
      </c>
      <c r="M53" s="438">
        <f>L53+J53</f>
        <v>27</v>
      </c>
      <c r="N53" s="440">
        <v>0</v>
      </c>
      <c r="O53" s="438">
        <f>O51 + IF(K53="1호기",J53,0)</f>
        <v>22</v>
      </c>
      <c r="P53" s="438">
        <f>P51 + IF(K53="3호기",J53,0)</f>
        <v>27</v>
      </c>
      <c r="Q53" s="438">
        <f>Q51 + IF(K53="4호기",J53,0)</f>
        <v>8</v>
      </c>
      <c r="R53" s="306" t="s">
        <v>264</v>
      </c>
      <c r="S53" s="311">
        <v>400</v>
      </c>
      <c r="T53" s="312"/>
      <c r="U53" s="312"/>
      <c r="V53" s="312"/>
      <c r="W53" s="312"/>
      <c r="X53" s="311">
        <v>400</v>
      </c>
      <c r="Y53" s="311">
        <v>400</v>
      </c>
      <c r="Z53" s="311">
        <v>400</v>
      </c>
      <c r="AA53" s="311">
        <v>400</v>
      </c>
      <c r="AB53" s="311">
        <v>400</v>
      </c>
      <c r="AC53" s="311">
        <v>400</v>
      </c>
      <c r="AD53" s="311">
        <v>400</v>
      </c>
      <c r="AE53" s="311">
        <v>400</v>
      </c>
      <c r="AF53" s="311">
        <v>400</v>
      </c>
      <c r="AG53" s="311">
        <v>400</v>
      </c>
      <c r="AH53" s="311">
        <v>400</v>
      </c>
      <c r="AI53" s="311">
        <v>400</v>
      </c>
      <c r="AJ53" s="311">
        <v>400</v>
      </c>
      <c r="AK53" s="311">
        <v>400</v>
      </c>
      <c r="AL53" s="311">
        <v>400</v>
      </c>
      <c r="AM53" s="311">
        <v>400</v>
      </c>
      <c r="AN53" s="311">
        <v>400</v>
      </c>
      <c r="AO53" s="311">
        <v>400</v>
      </c>
      <c r="AP53" s="311">
        <v>400</v>
      </c>
      <c r="AQ53" s="311">
        <v>400</v>
      </c>
      <c r="AR53" s="311">
        <v>400</v>
      </c>
      <c r="AS53" s="311">
        <v>400</v>
      </c>
      <c r="AT53" s="311">
        <v>400</v>
      </c>
      <c r="AU53" s="311">
        <v>400</v>
      </c>
      <c r="AV53" s="312"/>
      <c r="AW53" s="313"/>
    </row>
    <row r="54" spans="2:49" ht="32.1" customHeight="1" x14ac:dyDescent="0.3">
      <c r="B54" s="445"/>
      <c r="C54" s="445"/>
      <c r="D54" s="445"/>
      <c r="E54" s="439"/>
      <c r="F54" s="432"/>
      <c r="G54" s="436"/>
      <c r="H54" s="436"/>
      <c r="I54" s="443"/>
      <c r="J54" s="439"/>
      <c r="K54" s="445"/>
      <c r="L54" s="439"/>
      <c r="M54" s="439"/>
      <c r="N54" s="441"/>
      <c r="O54" s="439"/>
      <c r="P54" s="439"/>
      <c r="Q54" s="439"/>
      <c r="R54" s="306" t="s">
        <v>266</v>
      </c>
      <c r="S54" s="310">
        <f>INDEX('생산수량Back-Data'!$B$5:$AAA$10041,
       MATCH($B53,'생산수량Back-Data'!$B$5:$B$10041,0),
       MATCH(S$3,'생산수량Back-Data'!$B$3:$AAA$3,0))</f>
        <v>400</v>
      </c>
      <c r="T54" s="331">
        <f>INDEX('생산수량Back-Data'!$B$5:$AAA$10041,
       MATCH($B53,'생산수량Back-Data'!$B$5:$B$10041,0),
       MATCH(T$3,'생산수량Back-Data'!$B$3:$AAA$3,0))</f>
        <v>0</v>
      </c>
      <c r="U54" s="331">
        <f>INDEX('생산수량Back-Data'!$B$5:$AAA$10041,
       MATCH($B53,'생산수량Back-Data'!$B$5:$B$10041,0),
       MATCH(U$3,'생산수량Back-Data'!$B$3:$AAA$3,0))</f>
        <v>0</v>
      </c>
      <c r="V54" s="331">
        <f>INDEX('생산수량Back-Data'!$B$5:$AAA$10041,
       MATCH($B53,'생산수량Back-Data'!$B$5:$B$10041,0),
       MATCH(V$3,'생산수량Back-Data'!$B$3:$AAA$3,0))</f>
        <v>0</v>
      </c>
      <c r="W54" s="331">
        <f>INDEX('생산수량Back-Data'!$B$5:$AAA$10041,
       MATCH($B53,'생산수량Back-Data'!$B$5:$B$10041,0),
       MATCH(W$3,'생산수량Back-Data'!$B$3:$AAA$3,0))</f>
        <v>0</v>
      </c>
      <c r="X54" s="331">
        <f>INDEX('생산수량Back-Data'!$B$5:$AAA$10041,
       MATCH($B53,'생산수량Back-Data'!$B$5:$B$10041,0),
       MATCH(X$3,'생산수량Back-Data'!$B$3:$AAA$3,0))</f>
        <v>400</v>
      </c>
      <c r="Y54" s="331">
        <f>INDEX('생산수량Back-Data'!$B$5:$AAA$10041,
       MATCH($B53,'생산수량Back-Data'!$B$5:$B$10041,0),
       MATCH(Y$3,'생산수량Back-Data'!$B$3:$AAA$3,0))</f>
        <v>400</v>
      </c>
      <c r="Z54" s="331">
        <f>INDEX('생산수량Back-Data'!$B$5:$AAA$10041,
       MATCH($B53,'생산수량Back-Data'!$B$5:$B$10041,0),
       MATCH(Z$3,'생산수량Back-Data'!$B$3:$AAA$3,0))</f>
        <v>400</v>
      </c>
      <c r="AA54" s="331">
        <f>INDEX('생산수량Back-Data'!$B$5:$AAA$10041,
       MATCH($B53,'생산수량Back-Data'!$B$5:$B$10041,0),
       MATCH(AA$3,'생산수량Back-Data'!$B$3:$AAA$3,0))</f>
        <v>400</v>
      </c>
      <c r="AB54" s="331">
        <f>INDEX('생산수량Back-Data'!$B$5:$AAA$10041,
       MATCH($B53,'생산수량Back-Data'!$B$5:$B$10041,0),
       MATCH(AB$3,'생산수량Back-Data'!$B$3:$AAA$3,0))</f>
        <v>400</v>
      </c>
      <c r="AC54" s="331">
        <f>INDEX('생산수량Back-Data'!$B$5:$AAA$10041,
       MATCH($B53,'생산수량Back-Data'!$B$5:$B$10041,0),
       MATCH(AC$3,'생산수량Back-Data'!$B$3:$AAA$3,0))</f>
        <v>300</v>
      </c>
      <c r="AD54" s="331">
        <f>INDEX('생산수량Back-Data'!$B$5:$AAA$10041,
       MATCH($B53,'생산수량Back-Data'!$B$5:$B$10041,0),
       MATCH(AD$3,'생산수량Back-Data'!$B$3:$AAA$3,0))</f>
        <v>400</v>
      </c>
      <c r="AE54" s="331">
        <f>INDEX('생산수량Back-Data'!$B$5:$AAA$10041,
       MATCH($B53,'생산수량Back-Data'!$B$5:$B$10041,0),
       MATCH(AE$3,'생산수량Back-Data'!$B$3:$AAA$3,0))</f>
        <v>400</v>
      </c>
      <c r="AF54" s="331">
        <f>INDEX('생산수량Back-Data'!$B$5:$AAA$10041,
       MATCH($B53,'생산수량Back-Data'!$B$5:$B$10041,0),
       MATCH(AF$3,'생산수량Back-Data'!$B$3:$AAA$3,0))</f>
        <v>400</v>
      </c>
      <c r="AG54" s="331">
        <f>INDEX('생산수량Back-Data'!$B$5:$AAA$10041,
       MATCH($B53,'생산수량Back-Data'!$B$5:$B$10041,0),
       MATCH(AG$3,'생산수량Back-Data'!$B$3:$AAA$3,0))</f>
        <v>400</v>
      </c>
      <c r="AH54" s="331">
        <f>INDEX('생산수량Back-Data'!$B$5:$AAA$10041,
       MATCH($B53,'생산수량Back-Data'!$B$5:$B$10041,0),
       MATCH(AH$3,'생산수량Back-Data'!$B$3:$AAA$3,0))</f>
        <v>400</v>
      </c>
      <c r="AI54" s="331">
        <f>INDEX('생산수량Back-Data'!$B$5:$AAA$10041,
       MATCH($B53,'생산수량Back-Data'!$B$5:$B$10041,0),
       MATCH(AI$3,'생산수량Back-Data'!$B$3:$AAA$3,0))</f>
        <v>400</v>
      </c>
      <c r="AJ54" s="331">
        <f>INDEX('생산수량Back-Data'!$B$5:$AAA$10041,
       MATCH($B53,'생산수량Back-Data'!$B$5:$B$10041,0),
       MATCH(AJ$3,'생산수량Back-Data'!$B$3:$AAA$3,0))</f>
        <v>400</v>
      </c>
      <c r="AK54" s="331">
        <f>INDEX('생산수량Back-Data'!$B$5:$AAA$10041,
       MATCH($B53,'생산수량Back-Data'!$B$5:$B$10041,0),
       MATCH(AK$3,'생산수량Back-Data'!$B$3:$AAA$3,0))</f>
        <v>400</v>
      </c>
      <c r="AL54" s="331">
        <f>INDEX('생산수량Back-Data'!$B$5:$AAA$10041,
       MATCH($B53,'생산수량Back-Data'!$B$5:$B$10041,0),
       MATCH(AL$3,'생산수량Back-Data'!$B$3:$AAA$3,0))</f>
        <v>400</v>
      </c>
      <c r="AM54" s="331">
        <f>INDEX('생산수량Back-Data'!$B$5:$AAA$10041,
       MATCH($B53,'생산수량Back-Data'!$B$5:$B$10041,0),
       MATCH(AM$3,'생산수량Back-Data'!$B$3:$AAA$3,0))</f>
        <v>400</v>
      </c>
      <c r="AN54" s="331">
        <f>INDEX('생산수량Back-Data'!$B$5:$AAA$10041,
       MATCH($B53,'생산수량Back-Data'!$B$5:$B$10041,0),
       MATCH(AN$3,'생산수량Back-Data'!$B$3:$AAA$3,0))</f>
        <v>400</v>
      </c>
      <c r="AO54" s="331">
        <f>INDEX('생산수량Back-Data'!$B$5:$AAA$10041,
       MATCH($B53,'생산수량Back-Data'!$B$5:$B$10041,0),
       MATCH(AO$3,'생산수량Back-Data'!$B$3:$AAA$3,0))</f>
        <v>400</v>
      </c>
      <c r="AP54" s="331">
        <f>INDEX('생산수량Back-Data'!$B$5:$AAA$10041,
       MATCH($B53,'생산수량Back-Data'!$B$5:$B$10041,0),
       MATCH(AP$3,'생산수량Back-Data'!$B$3:$AAA$3,0))</f>
        <v>400</v>
      </c>
      <c r="AQ54" s="331">
        <f>INDEX('생산수량Back-Data'!$B$5:$AAA$10041,
       MATCH($B53,'생산수량Back-Data'!$B$5:$B$10041,0),
       MATCH(AQ$3,'생산수량Back-Data'!$B$3:$AAA$3,0))</f>
        <v>0</v>
      </c>
      <c r="AR54" s="331">
        <f>INDEX('생산수량Back-Data'!$B$5:$AAA$10041,
       MATCH($B53,'생산수량Back-Data'!$B$5:$B$10041,0),
       MATCH(AR$3,'생산수량Back-Data'!$B$3:$AAA$3,0))</f>
        <v>0</v>
      </c>
      <c r="AS54" s="331">
        <f>INDEX('생산수량Back-Data'!$B$5:$AAA$10041,
       MATCH($B53,'생산수량Back-Data'!$B$5:$B$10041,0),
       MATCH(AS$3,'생산수량Back-Data'!$B$3:$AAA$3,0))</f>
        <v>0</v>
      </c>
      <c r="AT54" s="331">
        <f>INDEX('생산수량Back-Data'!$B$5:$AAA$10041,
       MATCH($B53,'생산수량Back-Data'!$B$5:$B$10041,0),
       MATCH(AT$3,'생산수량Back-Data'!$B$3:$AAA$3,0))</f>
        <v>0</v>
      </c>
      <c r="AU54" s="331">
        <f>INDEX('생산수량Back-Data'!$B$5:$AAA$10041,
       MATCH($B53,'생산수량Back-Data'!$B$5:$B$10041,0),
       MATCH(AU$3,'생산수량Back-Data'!$B$3:$AAA$3,0))</f>
        <v>0</v>
      </c>
      <c r="AV54" s="331">
        <f>INDEX('생산수량Back-Data'!$B$5:$AAA$10041,
       MATCH($B53,'생산수량Back-Data'!$B$5:$B$10041,0),
       MATCH(AV$3,'생산수량Back-Data'!$B$3:$AAA$3,0))</f>
        <v>0</v>
      </c>
      <c r="AW54" s="332">
        <f>INDEX('생산수량Back-Data'!$B$5:$AAA$10041,
       MATCH($B53,'생산수량Back-Data'!$B$5:$B$10041,0),
       MATCH(AW$3,'생산수량Back-Data'!$B$3:$AAA$3,0))</f>
        <v>0</v>
      </c>
    </row>
    <row r="55" spans="2:49" ht="32.1" customHeight="1" x14ac:dyDescent="0.3">
      <c r="B55" s="444" t="s">
        <v>49</v>
      </c>
      <c r="C55" s="444" t="s">
        <v>185</v>
      </c>
      <c r="D55" s="444" t="s">
        <v>194</v>
      </c>
      <c r="E55" s="438">
        <f>ABS(SUMIFS('Fixture 총 발주수량'!AH:AH,'Fixture 총 발주수량'!B:B,생산계획!B55,'Fixture 총 발주수량'!AH:AH,"&lt;0"))</f>
        <v>3873</v>
      </c>
      <c r="F55" s="431">
        <f>G55-E55</f>
        <v>-3873</v>
      </c>
      <c r="G55" s="437">
        <f>SUMIF(S55:AW55, "&gt;0")</f>
        <v>0</v>
      </c>
      <c r="H55" s="437">
        <f>SUMIF(S56:AW56, "&gt;0")</f>
        <v>0</v>
      </c>
      <c r="I55" s="442">
        <f>IFERROR(H55/G55,)</f>
        <v>0</v>
      </c>
      <c r="J55" s="438">
        <f>ROUNDUP(E55/400,)</f>
        <v>10</v>
      </c>
      <c r="K55" s="444" t="str">
        <f>IF(O53&lt;=P53,
     IF(O53&lt;=Q53,"1호기","4호기"),
     IF(P53&lt;=Q53,"3호기","4호기")
)</f>
        <v>4호기</v>
      </c>
      <c r="L55" s="438">
        <f>IF(K55="1호기",O53,
 IF(K55="3호기",P53,
 Q53))</f>
        <v>8</v>
      </c>
      <c r="M55" s="438">
        <f>L55+J55</f>
        <v>18</v>
      </c>
      <c r="N55" s="440">
        <v>0</v>
      </c>
      <c r="O55" s="438">
        <f>O53 + IF(K55="1호기",J55,0)</f>
        <v>22</v>
      </c>
      <c r="P55" s="438">
        <f>P53 + IF(K55="3호기",J55,0)</f>
        <v>27</v>
      </c>
      <c r="Q55" s="438">
        <f>Q53 + IF(K55="4호기",J55,0)</f>
        <v>18</v>
      </c>
      <c r="R55" s="306" t="s">
        <v>264</v>
      </c>
      <c r="S55" s="311"/>
      <c r="T55" s="312"/>
      <c r="U55" s="312"/>
      <c r="V55" s="312"/>
      <c r="W55" s="312"/>
      <c r="X55" s="312"/>
      <c r="Y55" s="312"/>
      <c r="Z55" s="312"/>
      <c r="AA55" s="312"/>
      <c r="AB55" s="312"/>
      <c r="AC55" s="312"/>
      <c r="AD55" s="312"/>
      <c r="AE55" s="312"/>
      <c r="AF55" s="312"/>
      <c r="AG55" s="312"/>
      <c r="AH55" s="312"/>
      <c r="AI55" s="312"/>
      <c r="AJ55" s="312"/>
      <c r="AK55" s="312"/>
      <c r="AL55" s="312"/>
      <c r="AM55" s="312"/>
      <c r="AN55" s="312"/>
      <c r="AO55" s="312"/>
      <c r="AP55" s="312"/>
      <c r="AQ55" s="312"/>
      <c r="AR55" s="312"/>
      <c r="AS55" s="312"/>
      <c r="AT55" s="312"/>
      <c r="AU55" s="312"/>
      <c r="AV55" s="312"/>
      <c r="AW55" s="313"/>
    </row>
    <row r="56" spans="2:49" ht="32.1" customHeight="1" x14ac:dyDescent="0.3">
      <c r="B56" s="445"/>
      <c r="C56" s="445"/>
      <c r="D56" s="445"/>
      <c r="E56" s="439"/>
      <c r="F56" s="432"/>
      <c r="G56" s="436"/>
      <c r="H56" s="436"/>
      <c r="I56" s="443"/>
      <c r="J56" s="439"/>
      <c r="K56" s="445"/>
      <c r="L56" s="439"/>
      <c r="M56" s="439"/>
      <c r="N56" s="441"/>
      <c r="O56" s="439"/>
      <c r="P56" s="439"/>
      <c r="Q56" s="439"/>
      <c r="R56" s="306" t="s">
        <v>266</v>
      </c>
      <c r="S56" s="310">
        <f>INDEX('생산수량Back-Data'!$B$5:$AAA$10041,
       MATCH($B55,'생산수량Back-Data'!$B$5:$B$10041,0),
       MATCH(S$3,'생산수량Back-Data'!$B$3:$AAA$3,0))</f>
        <v>0</v>
      </c>
      <c r="T56" s="331">
        <f>INDEX('생산수량Back-Data'!$B$5:$AAA$10041,
       MATCH($B55,'생산수량Back-Data'!$B$5:$B$10041,0),
       MATCH(T$3,'생산수량Back-Data'!$B$3:$AAA$3,0))</f>
        <v>0</v>
      </c>
      <c r="U56" s="331">
        <f>INDEX('생산수량Back-Data'!$B$5:$AAA$10041,
       MATCH($B55,'생산수량Back-Data'!$B$5:$B$10041,0),
       MATCH(U$3,'생산수량Back-Data'!$B$3:$AAA$3,0))</f>
        <v>0</v>
      </c>
      <c r="V56" s="331">
        <f>INDEX('생산수량Back-Data'!$B$5:$AAA$10041,
       MATCH($B55,'생산수량Back-Data'!$B$5:$B$10041,0),
       MATCH(V$3,'생산수량Back-Data'!$B$3:$AAA$3,0))</f>
        <v>0</v>
      </c>
      <c r="W56" s="331">
        <f>INDEX('생산수량Back-Data'!$B$5:$AAA$10041,
       MATCH($B55,'생산수량Back-Data'!$B$5:$B$10041,0),
       MATCH(W$3,'생산수량Back-Data'!$B$3:$AAA$3,0))</f>
        <v>0</v>
      </c>
      <c r="X56" s="331">
        <f>INDEX('생산수량Back-Data'!$B$5:$AAA$10041,
       MATCH($B55,'생산수량Back-Data'!$B$5:$B$10041,0),
       MATCH(X$3,'생산수량Back-Data'!$B$3:$AAA$3,0))</f>
        <v>0</v>
      </c>
      <c r="Y56" s="331">
        <f>INDEX('생산수량Back-Data'!$B$5:$AAA$10041,
       MATCH($B55,'생산수량Back-Data'!$B$5:$B$10041,0),
       MATCH(Y$3,'생산수량Back-Data'!$B$3:$AAA$3,0))</f>
        <v>0</v>
      </c>
      <c r="Z56" s="331">
        <f>INDEX('생산수량Back-Data'!$B$5:$AAA$10041,
       MATCH($B55,'생산수량Back-Data'!$B$5:$B$10041,0),
       MATCH(Z$3,'생산수량Back-Data'!$B$3:$AAA$3,0))</f>
        <v>0</v>
      </c>
      <c r="AA56" s="331">
        <f>INDEX('생산수량Back-Data'!$B$5:$AAA$10041,
       MATCH($B55,'생산수량Back-Data'!$B$5:$B$10041,0),
       MATCH(AA$3,'생산수량Back-Data'!$B$3:$AAA$3,0))</f>
        <v>0</v>
      </c>
      <c r="AB56" s="331">
        <f>INDEX('생산수량Back-Data'!$B$5:$AAA$10041,
       MATCH($B55,'생산수량Back-Data'!$B$5:$B$10041,0),
       MATCH(AB$3,'생산수량Back-Data'!$B$3:$AAA$3,0))</f>
        <v>0</v>
      </c>
      <c r="AC56" s="331">
        <f>INDEX('생산수량Back-Data'!$B$5:$AAA$10041,
       MATCH($B55,'생산수량Back-Data'!$B$5:$B$10041,0),
       MATCH(AC$3,'생산수량Back-Data'!$B$3:$AAA$3,0))</f>
        <v>0</v>
      </c>
      <c r="AD56" s="331">
        <f>INDEX('생산수량Back-Data'!$B$5:$AAA$10041,
       MATCH($B55,'생산수량Back-Data'!$B$5:$B$10041,0),
       MATCH(AD$3,'생산수량Back-Data'!$B$3:$AAA$3,0))</f>
        <v>0</v>
      </c>
      <c r="AE56" s="331">
        <f>INDEX('생산수량Back-Data'!$B$5:$AAA$10041,
       MATCH($B55,'생산수량Back-Data'!$B$5:$B$10041,0),
       MATCH(AE$3,'생산수량Back-Data'!$B$3:$AAA$3,0))</f>
        <v>0</v>
      </c>
      <c r="AF56" s="331">
        <f>INDEX('생산수량Back-Data'!$B$5:$AAA$10041,
       MATCH($B55,'생산수량Back-Data'!$B$5:$B$10041,0),
       MATCH(AF$3,'생산수량Back-Data'!$B$3:$AAA$3,0))</f>
        <v>0</v>
      </c>
      <c r="AG56" s="331">
        <f>INDEX('생산수량Back-Data'!$B$5:$AAA$10041,
       MATCH($B55,'생산수량Back-Data'!$B$5:$B$10041,0),
       MATCH(AG$3,'생산수량Back-Data'!$B$3:$AAA$3,0))</f>
        <v>0</v>
      </c>
      <c r="AH56" s="331">
        <f>INDEX('생산수량Back-Data'!$B$5:$AAA$10041,
       MATCH($B55,'생산수량Back-Data'!$B$5:$B$10041,0),
       MATCH(AH$3,'생산수량Back-Data'!$B$3:$AAA$3,0))</f>
        <v>0</v>
      </c>
      <c r="AI56" s="331">
        <f>INDEX('생산수량Back-Data'!$B$5:$AAA$10041,
       MATCH($B55,'생산수량Back-Data'!$B$5:$B$10041,0),
       MATCH(AI$3,'생산수량Back-Data'!$B$3:$AAA$3,0))</f>
        <v>0</v>
      </c>
      <c r="AJ56" s="331">
        <f>INDEX('생산수량Back-Data'!$B$5:$AAA$10041,
       MATCH($B55,'생산수량Back-Data'!$B$5:$B$10041,0),
       MATCH(AJ$3,'생산수량Back-Data'!$B$3:$AAA$3,0))</f>
        <v>0</v>
      </c>
      <c r="AK56" s="331">
        <f>INDEX('생산수량Back-Data'!$B$5:$AAA$10041,
       MATCH($B55,'생산수량Back-Data'!$B$5:$B$10041,0),
       MATCH(AK$3,'생산수량Back-Data'!$B$3:$AAA$3,0))</f>
        <v>0</v>
      </c>
      <c r="AL56" s="331">
        <f>INDEX('생산수량Back-Data'!$B$5:$AAA$10041,
       MATCH($B55,'생산수량Back-Data'!$B$5:$B$10041,0),
       MATCH(AL$3,'생산수량Back-Data'!$B$3:$AAA$3,0))</f>
        <v>0</v>
      </c>
      <c r="AM56" s="331">
        <f>INDEX('생산수량Back-Data'!$B$5:$AAA$10041,
       MATCH($B55,'생산수량Back-Data'!$B$5:$B$10041,0),
       MATCH(AM$3,'생산수량Back-Data'!$B$3:$AAA$3,0))</f>
        <v>0</v>
      </c>
      <c r="AN56" s="331">
        <f>INDEX('생산수량Back-Data'!$B$5:$AAA$10041,
       MATCH($B55,'생산수량Back-Data'!$B$5:$B$10041,0),
       MATCH(AN$3,'생산수량Back-Data'!$B$3:$AAA$3,0))</f>
        <v>0</v>
      </c>
      <c r="AO56" s="331">
        <f>INDEX('생산수량Back-Data'!$B$5:$AAA$10041,
       MATCH($B55,'생산수량Back-Data'!$B$5:$B$10041,0),
       MATCH(AO$3,'생산수량Back-Data'!$B$3:$AAA$3,0))</f>
        <v>0</v>
      </c>
      <c r="AP56" s="331">
        <f>INDEX('생산수량Back-Data'!$B$5:$AAA$10041,
       MATCH($B55,'생산수량Back-Data'!$B$5:$B$10041,0),
       MATCH(AP$3,'생산수량Back-Data'!$B$3:$AAA$3,0))</f>
        <v>0</v>
      </c>
      <c r="AQ56" s="331">
        <f>INDEX('생산수량Back-Data'!$B$5:$AAA$10041,
       MATCH($B55,'생산수량Back-Data'!$B$5:$B$10041,0),
       MATCH(AQ$3,'생산수량Back-Data'!$B$3:$AAA$3,0))</f>
        <v>0</v>
      </c>
      <c r="AR56" s="331">
        <f>INDEX('생산수량Back-Data'!$B$5:$AAA$10041,
       MATCH($B55,'생산수량Back-Data'!$B$5:$B$10041,0),
       MATCH(AR$3,'생산수량Back-Data'!$B$3:$AAA$3,0))</f>
        <v>0</v>
      </c>
      <c r="AS56" s="331">
        <f>INDEX('생산수량Back-Data'!$B$5:$AAA$10041,
       MATCH($B55,'생산수량Back-Data'!$B$5:$B$10041,0),
       MATCH(AS$3,'생산수량Back-Data'!$B$3:$AAA$3,0))</f>
        <v>0</v>
      </c>
      <c r="AT56" s="331">
        <f>INDEX('생산수량Back-Data'!$B$5:$AAA$10041,
       MATCH($B55,'생산수량Back-Data'!$B$5:$B$10041,0),
       MATCH(AT$3,'생산수량Back-Data'!$B$3:$AAA$3,0))</f>
        <v>0</v>
      </c>
      <c r="AU56" s="331">
        <f>INDEX('생산수량Back-Data'!$B$5:$AAA$10041,
       MATCH($B55,'생산수량Back-Data'!$B$5:$B$10041,0),
       MATCH(AU$3,'생산수량Back-Data'!$B$3:$AAA$3,0))</f>
        <v>0</v>
      </c>
      <c r="AV56" s="331">
        <f>INDEX('생산수량Back-Data'!$B$5:$AAA$10041,
       MATCH($B55,'생산수량Back-Data'!$B$5:$B$10041,0),
       MATCH(AV$3,'생산수량Back-Data'!$B$3:$AAA$3,0))</f>
        <v>0</v>
      </c>
      <c r="AW56" s="332">
        <f>INDEX('생산수량Back-Data'!$B$5:$AAA$10041,
       MATCH($B55,'생산수량Back-Data'!$B$5:$B$10041,0),
       MATCH(AW$3,'생산수량Back-Data'!$B$3:$AAA$3,0))</f>
        <v>0</v>
      </c>
    </row>
    <row r="57" spans="2:49" ht="32.1" customHeight="1" x14ac:dyDescent="0.3">
      <c r="B57" s="444" t="s">
        <v>54</v>
      </c>
      <c r="C57" s="444" t="s">
        <v>185</v>
      </c>
      <c r="D57" s="444" t="s">
        <v>194</v>
      </c>
      <c r="E57" s="438">
        <f>ABS(SUMIFS('Fixture 총 발주수량'!AH:AH,'Fixture 총 발주수량'!B:B,생산계획!B57,'Fixture 총 발주수량'!AH:AH,"&lt;0"))</f>
        <v>0</v>
      </c>
      <c r="F57" s="431">
        <f>G57-E57</f>
        <v>0</v>
      </c>
      <c r="G57" s="437">
        <f>SUMIF(S57:AW57, "&gt;0")</f>
        <v>0</v>
      </c>
      <c r="H57" s="437">
        <f>SUMIF(S58:AW58, "&gt;0")</f>
        <v>0</v>
      </c>
      <c r="I57" s="442">
        <f>IFERROR(H57/G57,)</f>
        <v>0</v>
      </c>
      <c r="J57" s="438">
        <f>ROUNDUP(E57/400,)</f>
        <v>0</v>
      </c>
      <c r="K57" s="444" t="str">
        <f>IF(O55&lt;=P55,
     IF(O55&lt;=Q55,"1호기","4호기"),
     IF(P55&lt;=Q55,"3호기","4호기")
)</f>
        <v>4호기</v>
      </c>
      <c r="L57" s="438">
        <f>IF(K57="1호기",O55,
 IF(K57="3호기",P55,
 Q55))</f>
        <v>18</v>
      </c>
      <c r="M57" s="438">
        <f>L57+J57</f>
        <v>18</v>
      </c>
      <c r="N57" s="440">
        <v>0</v>
      </c>
      <c r="O57" s="438">
        <f>O55 + IF(K57="1호기",J57,0)</f>
        <v>22</v>
      </c>
      <c r="P57" s="438">
        <f>P55 + IF(K57="3호기",J57,0)</f>
        <v>27</v>
      </c>
      <c r="Q57" s="438">
        <f>Q55 + IF(K57="4호기",J57,0)</f>
        <v>18</v>
      </c>
      <c r="R57" s="306" t="s">
        <v>264</v>
      </c>
      <c r="S57" s="311"/>
      <c r="T57" s="312"/>
      <c r="U57" s="312"/>
      <c r="V57" s="312"/>
      <c r="W57" s="312"/>
      <c r="X57" s="312"/>
      <c r="Y57" s="312"/>
      <c r="Z57" s="312"/>
      <c r="AA57" s="312"/>
      <c r="AB57" s="312"/>
      <c r="AC57" s="312"/>
      <c r="AD57" s="312"/>
      <c r="AE57" s="312"/>
      <c r="AF57" s="312"/>
      <c r="AG57" s="312"/>
      <c r="AH57" s="312"/>
      <c r="AI57" s="312"/>
      <c r="AJ57" s="312"/>
      <c r="AK57" s="312"/>
      <c r="AL57" s="312"/>
      <c r="AM57" s="312"/>
      <c r="AN57" s="312"/>
      <c r="AO57" s="312"/>
      <c r="AP57" s="312"/>
      <c r="AQ57" s="312"/>
      <c r="AR57" s="312"/>
      <c r="AS57" s="312"/>
      <c r="AT57" s="312"/>
      <c r="AU57" s="312"/>
      <c r="AV57" s="312"/>
      <c r="AW57" s="313"/>
    </row>
    <row r="58" spans="2:49" ht="32.1" customHeight="1" x14ac:dyDescent="0.3">
      <c r="B58" s="445"/>
      <c r="C58" s="445"/>
      <c r="D58" s="445"/>
      <c r="E58" s="439"/>
      <c r="F58" s="432"/>
      <c r="G58" s="436"/>
      <c r="H58" s="436"/>
      <c r="I58" s="443"/>
      <c r="J58" s="439"/>
      <c r="K58" s="445"/>
      <c r="L58" s="439"/>
      <c r="M58" s="439"/>
      <c r="N58" s="441"/>
      <c r="O58" s="439"/>
      <c r="P58" s="439"/>
      <c r="Q58" s="439"/>
      <c r="R58" s="306" t="s">
        <v>266</v>
      </c>
      <c r="S58" s="310">
        <f>INDEX('생산수량Back-Data'!$B$5:$AAA$10041,
       MATCH($B57,'생산수량Back-Data'!$B$5:$B$10041,0),
       MATCH(S$3,'생산수량Back-Data'!$B$3:$AAA$3,0))</f>
        <v>0</v>
      </c>
      <c r="T58" s="331">
        <f>INDEX('생산수량Back-Data'!$B$5:$AAA$10041,
       MATCH($B57,'생산수량Back-Data'!$B$5:$B$10041,0),
       MATCH(T$3,'생산수량Back-Data'!$B$3:$AAA$3,0))</f>
        <v>0</v>
      </c>
      <c r="U58" s="331">
        <f>INDEX('생산수량Back-Data'!$B$5:$AAA$10041,
       MATCH($B57,'생산수량Back-Data'!$B$5:$B$10041,0),
       MATCH(U$3,'생산수량Back-Data'!$B$3:$AAA$3,0))</f>
        <v>0</v>
      </c>
      <c r="V58" s="331">
        <f>INDEX('생산수량Back-Data'!$B$5:$AAA$10041,
       MATCH($B57,'생산수량Back-Data'!$B$5:$B$10041,0),
       MATCH(V$3,'생산수량Back-Data'!$B$3:$AAA$3,0))</f>
        <v>0</v>
      </c>
      <c r="W58" s="331">
        <f>INDEX('생산수량Back-Data'!$B$5:$AAA$10041,
       MATCH($B57,'생산수량Back-Data'!$B$5:$B$10041,0),
       MATCH(W$3,'생산수량Back-Data'!$B$3:$AAA$3,0))</f>
        <v>0</v>
      </c>
      <c r="X58" s="331">
        <f>INDEX('생산수량Back-Data'!$B$5:$AAA$10041,
       MATCH($B57,'생산수량Back-Data'!$B$5:$B$10041,0),
       MATCH(X$3,'생산수량Back-Data'!$B$3:$AAA$3,0))</f>
        <v>0</v>
      </c>
      <c r="Y58" s="331">
        <f>INDEX('생산수량Back-Data'!$B$5:$AAA$10041,
       MATCH($B57,'생산수량Back-Data'!$B$5:$B$10041,0),
       MATCH(Y$3,'생산수량Back-Data'!$B$3:$AAA$3,0))</f>
        <v>0</v>
      </c>
      <c r="Z58" s="331">
        <f>INDEX('생산수량Back-Data'!$B$5:$AAA$10041,
       MATCH($B57,'생산수량Back-Data'!$B$5:$B$10041,0),
       MATCH(Z$3,'생산수량Back-Data'!$B$3:$AAA$3,0))</f>
        <v>0</v>
      </c>
      <c r="AA58" s="331">
        <f>INDEX('생산수량Back-Data'!$B$5:$AAA$10041,
       MATCH($B57,'생산수량Back-Data'!$B$5:$B$10041,0),
       MATCH(AA$3,'생산수량Back-Data'!$B$3:$AAA$3,0))</f>
        <v>0</v>
      </c>
      <c r="AB58" s="331">
        <f>INDEX('생산수량Back-Data'!$B$5:$AAA$10041,
       MATCH($B57,'생산수량Back-Data'!$B$5:$B$10041,0),
       MATCH(AB$3,'생산수량Back-Data'!$B$3:$AAA$3,0))</f>
        <v>0</v>
      </c>
      <c r="AC58" s="331">
        <f>INDEX('생산수량Back-Data'!$B$5:$AAA$10041,
       MATCH($B57,'생산수량Back-Data'!$B$5:$B$10041,0),
       MATCH(AC$3,'생산수량Back-Data'!$B$3:$AAA$3,0))</f>
        <v>0</v>
      </c>
      <c r="AD58" s="331">
        <f>INDEX('생산수량Back-Data'!$B$5:$AAA$10041,
       MATCH($B57,'생산수량Back-Data'!$B$5:$B$10041,0),
       MATCH(AD$3,'생산수량Back-Data'!$B$3:$AAA$3,0))</f>
        <v>0</v>
      </c>
      <c r="AE58" s="331">
        <f>INDEX('생산수량Back-Data'!$B$5:$AAA$10041,
       MATCH($B57,'생산수량Back-Data'!$B$5:$B$10041,0),
       MATCH(AE$3,'생산수량Back-Data'!$B$3:$AAA$3,0))</f>
        <v>0</v>
      </c>
      <c r="AF58" s="331">
        <f>INDEX('생산수량Back-Data'!$B$5:$AAA$10041,
       MATCH($B57,'생산수량Back-Data'!$B$5:$B$10041,0),
       MATCH(AF$3,'생산수량Back-Data'!$B$3:$AAA$3,0))</f>
        <v>0</v>
      </c>
      <c r="AG58" s="331">
        <f>INDEX('생산수량Back-Data'!$B$5:$AAA$10041,
       MATCH($B57,'생산수량Back-Data'!$B$5:$B$10041,0),
       MATCH(AG$3,'생산수량Back-Data'!$B$3:$AAA$3,0))</f>
        <v>0</v>
      </c>
      <c r="AH58" s="331">
        <f>INDEX('생산수량Back-Data'!$B$5:$AAA$10041,
       MATCH($B57,'생산수량Back-Data'!$B$5:$B$10041,0),
       MATCH(AH$3,'생산수량Back-Data'!$B$3:$AAA$3,0))</f>
        <v>0</v>
      </c>
      <c r="AI58" s="331">
        <f>INDEX('생산수량Back-Data'!$B$5:$AAA$10041,
       MATCH($B57,'생산수량Back-Data'!$B$5:$B$10041,0),
       MATCH(AI$3,'생산수량Back-Data'!$B$3:$AAA$3,0))</f>
        <v>0</v>
      </c>
      <c r="AJ58" s="331">
        <f>INDEX('생산수량Back-Data'!$B$5:$AAA$10041,
       MATCH($B57,'생산수량Back-Data'!$B$5:$B$10041,0),
       MATCH(AJ$3,'생산수량Back-Data'!$B$3:$AAA$3,0))</f>
        <v>0</v>
      </c>
      <c r="AK58" s="331">
        <f>INDEX('생산수량Back-Data'!$B$5:$AAA$10041,
       MATCH($B57,'생산수량Back-Data'!$B$5:$B$10041,0),
       MATCH(AK$3,'생산수량Back-Data'!$B$3:$AAA$3,0))</f>
        <v>0</v>
      </c>
      <c r="AL58" s="331">
        <f>INDEX('생산수량Back-Data'!$B$5:$AAA$10041,
       MATCH($B57,'생산수량Back-Data'!$B$5:$B$10041,0),
       MATCH(AL$3,'생산수량Back-Data'!$B$3:$AAA$3,0))</f>
        <v>0</v>
      </c>
      <c r="AM58" s="331">
        <f>INDEX('생산수량Back-Data'!$B$5:$AAA$10041,
       MATCH($B57,'생산수량Back-Data'!$B$5:$B$10041,0),
       MATCH(AM$3,'생산수량Back-Data'!$B$3:$AAA$3,0))</f>
        <v>0</v>
      </c>
      <c r="AN58" s="331">
        <f>INDEX('생산수량Back-Data'!$B$5:$AAA$10041,
       MATCH($B57,'생산수량Back-Data'!$B$5:$B$10041,0),
       MATCH(AN$3,'생산수량Back-Data'!$B$3:$AAA$3,0))</f>
        <v>0</v>
      </c>
      <c r="AO58" s="331">
        <f>INDEX('생산수량Back-Data'!$B$5:$AAA$10041,
       MATCH($B57,'생산수량Back-Data'!$B$5:$B$10041,0),
       MATCH(AO$3,'생산수량Back-Data'!$B$3:$AAA$3,0))</f>
        <v>0</v>
      </c>
      <c r="AP58" s="331">
        <f>INDEX('생산수량Back-Data'!$B$5:$AAA$10041,
       MATCH($B57,'생산수량Back-Data'!$B$5:$B$10041,0),
       MATCH(AP$3,'생산수량Back-Data'!$B$3:$AAA$3,0))</f>
        <v>0</v>
      </c>
      <c r="AQ58" s="331">
        <f>INDEX('생산수량Back-Data'!$B$5:$AAA$10041,
       MATCH($B57,'생산수량Back-Data'!$B$5:$B$10041,0),
       MATCH(AQ$3,'생산수량Back-Data'!$B$3:$AAA$3,0))</f>
        <v>0</v>
      </c>
      <c r="AR58" s="331">
        <f>INDEX('생산수량Back-Data'!$B$5:$AAA$10041,
       MATCH($B57,'생산수량Back-Data'!$B$5:$B$10041,0),
       MATCH(AR$3,'생산수량Back-Data'!$B$3:$AAA$3,0))</f>
        <v>0</v>
      </c>
      <c r="AS58" s="331">
        <f>INDEX('생산수량Back-Data'!$B$5:$AAA$10041,
       MATCH($B57,'생산수량Back-Data'!$B$5:$B$10041,0),
       MATCH(AS$3,'생산수량Back-Data'!$B$3:$AAA$3,0))</f>
        <v>0</v>
      </c>
      <c r="AT58" s="331">
        <f>INDEX('생산수량Back-Data'!$B$5:$AAA$10041,
       MATCH($B57,'생산수량Back-Data'!$B$5:$B$10041,0),
       MATCH(AT$3,'생산수량Back-Data'!$B$3:$AAA$3,0))</f>
        <v>0</v>
      </c>
      <c r="AU58" s="331">
        <f>INDEX('생산수량Back-Data'!$B$5:$AAA$10041,
       MATCH($B57,'생산수량Back-Data'!$B$5:$B$10041,0),
       MATCH(AU$3,'생산수량Back-Data'!$B$3:$AAA$3,0))</f>
        <v>0</v>
      </c>
      <c r="AV58" s="331">
        <f>INDEX('생산수량Back-Data'!$B$5:$AAA$10041,
       MATCH($B57,'생산수량Back-Data'!$B$5:$B$10041,0),
       MATCH(AV$3,'생산수량Back-Data'!$B$3:$AAA$3,0))</f>
        <v>0</v>
      </c>
      <c r="AW58" s="332">
        <f>INDEX('생산수량Back-Data'!$B$5:$AAA$10041,
       MATCH($B57,'생산수량Back-Data'!$B$5:$B$10041,0),
       MATCH(AW$3,'생산수량Back-Data'!$B$3:$AAA$3,0))</f>
        <v>0</v>
      </c>
    </row>
    <row r="59" spans="2:49" ht="32.1" customHeight="1" x14ac:dyDescent="0.3">
      <c r="B59" s="444" t="s">
        <v>55</v>
      </c>
      <c r="C59" s="444" t="s">
        <v>185</v>
      </c>
      <c r="D59" s="444" t="s">
        <v>195</v>
      </c>
      <c r="E59" s="438">
        <f>ABS(SUMIFS('Fixture 총 발주수량'!AH:AH,'Fixture 총 발주수량'!B:B,생산계획!B59,'Fixture 총 발주수량'!AH:AH,"&lt;0"))</f>
        <v>0</v>
      </c>
      <c r="F59" s="431">
        <f>G59-E59</f>
        <v>0</v>
      </c>
      <c r="G59" s="437">
        <f>SUMIF(S59:AW59, "&gt;0")</f>
        <v>0</v>
      </c>
      <c r="H59" s="437">
        <f>SUMIF(S60:AW60, "&gt;0")</f>
        <v>0</v>
      </c>
      <c r="I59" s="442">
        <f>IFERROR(H59/G59,)</f>
        <v>0</v>
      </c>
      <c r="J59" s="438">
        <f>ROUNDUP(E59/400,)</f>
        <v>0</v>
      </c>
      <c r="K59" s="444" t="str">
        <f>IF(O57&lt;=P57,
     IF(O57&lt;=Q57,"1호기","4호기"),
     IF(P57&lt;=Q57,"3호기","4호기")
)</f>
        <v>4호기</v>
      </c>
      <c r="L59" s="438">
        <f>IF(K59="1호기",O57,
 IF(K59="3호기",P57,
 Q57))</f>
        <v>18</v>
      </c>
      <c r="M59" s="438">
        <f>L59+J59</f>
        <v>18</v>
      </c>
      <c r="N59" s="440">
        <v>0</v>
      </c>
      <c r="O59" s="438">
        <f>O57 + IF(K59="1호기",J59,0)</f>
        <v>22</v>
      </c>
      <c r="P59" s="438">
        <f>P57 + IF(K59="3호기",J59,0)</f>
        <v>27</v>
      </c>
      <c r="Q59" s="438">
        <f>Q57 + IF(K59="4호기",J59,0)</f>
        <v>18</v>
      </c>
      <c r="R59" s="306" t="s">
        <v>264</v>
      </c>
      <c r="S59" s="311"/>
      <c r="T59" s="312"/>
      <c r="U59" s="312"/>
      <c r="V59" s="312"/>
      <c r="W59" s="312"/>
      <c r="X59" s="312"/>
      <c r="Y59" s="312"/>
      <c r="Z59" s="312"/>
      <c r="AA59" s="312"/>
      <c r="AB59" s="312"/>
      <c r="AC59" s="312"/>
      <c r="AD59" s="312"/>
      <c r="AE59" s="312"/>
      <c r="AF59" s="312"/>
      <c r="AG59" s="312"/>
      <c r="AH59" s="312"/>
      <c r="AI59" s="312"/>
      <c r="AJ59" s="312"/>
      <c r="AK59" s="312"/>
      <c r="AL59" s="312"/>
      <c r="AM59" s="312"/>
      <c r="AN59" s="312"/>
      <c r="AO59" s="312"/>
      <c r="AP59" s="312"/>
      <c r="AQ59" s="312"/>
      <c r="AR59" s="312"/>
      <c r="AS59" s="312"/>
      <c r="AT59" s="312"/>
      <c r="AU59" s="312"/>
      <c r="AV59" s="312"/>
      <c r="AW59" s="313"/>
    </row>
    <row r="60" spans="2:49" ht="32.1" customHeight="1" x14ac:dyDescent="0.3">
      <c r="B60" s="445"/>
      <c r="C60" s="445"/>
      <c r="D60" s="445"/>
      <c r="E60" s="439"/>
      <c r="F60" s="432"/>
      <c r="G60" s="436"/>
      <c r="H60" s="436"/>
      <c r="I60" s="443"/>
      <c r="J60" s="439"/>
      <c r="K60" s="445"/>
      <c r="L60" s="439"/>
      <c r="M60" s="439"/>
      <c r="N60" s="441"/>
      <c r="O60" s="439"/>
      <c r="P60" s="439"/>
      <c r="Q60" s="439"/>
      <c r="R60" s="306" t="s">
        <v>266</v>
      </c>
      <c r="S60" s="310">
        <f>INDEX('생산수량Back-Data'!$B$5:$AAA$10041,
       MATCH($B59,'생산수량Back-Data'!$B$5:$B$10041,0),
       MATCH(S$3,'생산수량Back-Data'!$B$3:$AAA$3,0))</f>
        <v>0</v>
      </c>
      <c r="T60" s="331">
        <f>INDEX('생산수량Back-Data'!$B$5:$AAA$10041,
       MATCH($B59,'생산수량Back-Data'!$B$5:$B$10041,0),
       MATCH(T$3,'생산수량Back-Data'!$B$3:$AAA$3,0))</f>
        <v>0</v>
      </c>
      <c r="U60" s="331">
        <f>INDEX('생산수량Back-Data'!$B$5:$AAA$10041,
       MATCH($B59,'생산수량Back-Data'!$B$5:$B$10041,0),
       MATCH(U$3,'생산수량Back-Data'!$B$3:$AAA$3,0))</f>
        <v>0</v>
      </c>
      <c r="V60" s="331">
        <f>INDEX('생산수량Back-Data'!$B$5:$AAA$10041,
       MATCH($B59,'생산수량Back-Data'!$B$5:$B$10041,0),
       MATCH(V$3,'생산수량Back-Data'!$B$3:$AAA$3,0))</f>
        <v>0</v>
      </c>
      <c r="W60" s="331">
        <f>INDEX('생산수량Back-Data'!$B$5:$AAA$10041,
       MATCH($B59,'생산수량Back-Data'!$B$5:$B$10041,0),
       MATCH(W$3,'생산수량Back-Data'!$B$3:$AAA$3,0))</f>
        <v>0</v>
      </c>
      <c r="X60" s="331">
        <f>INDEX('생산수량Back-Data'!$B$5:$AAA$10041,
       MATCH($B59,'생산수량Back-Data'!$B$5:$B$10041,0),
       MATCH(X$3,'생산수량Back-Data'!$B$3:$AAA$3,0))</f>
        <v>0</v>
      </c>
      <c r="Y60" s="331">
        <f>INDEX('생산수량Back-Data'!$B$5:$AAA$10041,
       MATCH($B59,'생산수량Back-Data'!$B$5:$B$10041,0),
       MATCH(Y$3,'생산수량Back-Data'!$B$3:$AAA$3,0))</f>
        <v>0</v>
      </c>
      <c r="Z60" s="331">
        <f>INDEX('생산수량Back-Data'!$B$5:$AAA$10041,
       MATCH($B59,'생산수량Back-Data'!$B$5:$B$10041,0),
       MATCH(Z$3,'생산수량Back-Data'!$B$3:$AAA$3,0))</f>
        <v>0</v>
      </c>
      <c r="AA60" s="331">
        <f>INDEX('생산수량Back-Data'!$B$5:$AAA$10041,
       MATCH($B59,'생산수량Back-Data'!$B$5:$B$10041,0),
       MATCH(AA$3,'생산수량Back-Data'!$B$3:$AAA$3,0))</f>
        <v>0</v>
      </c>
      <c r="AB60" s="331">
        <f>INDEX('생산수량Back-Data'!$B$5:$AAA$10041,
       MATCH($B59,'생산수량Back-Data'!$B$5:$B$10041,0),
       MATCH(AB$3,'생산수량Back-Data'!$B$3:$AAA$3,0))</f>
        <v>0</v>
      </c>
      <c r="AC60" s="331">
        <f>INDEX('생산수량Back-Data'!$B$5:$AAA$10041,
       MATCH($B59,'생산수량Back-Data'!$B$5:$B$10041,0),
       MATCH(AC$3,'생산수량Back-Data'!$B$3:$AAA$3,0))</f>
        <v>0</v>
      </c>
      <c r="AD60" s="331">
        <f>INDEX('생산수량Back-Data'!$B$5:$AAA$10041,
       MATCH($B59,'생산수량Back-Data'!$B$5:$B$10041,0),
       MATCH(AD$3,'생산수량Back-Data'!$B$3:$AAA$3,0))</f>
        <v>0</v>
      </c>
      <c r="AE60" s="331">
        <f>INDEX('생산수량Back-Data'!$B$5:$AAA$10041,
       MATCH($B59,'생산수량Back-Data'!$B$5:$B$10041,0),
       MATCH(AE$3,'생산수량Back-Data'!$B$3:$AAA$3,0))</f>
        <v>0</v>
      </c>
      <c r="AF60" s="331">
        <f>INDEX('생산수량Back-Data'!$B$5:$AAA$10041,
       MATCH($B59,'생산수량Back-Data'!$B$5:$B$10041,0),
       MATCH(AF$3,'생산수량Back-Data'!$B$3:$AAA$3,0))</f>
        <v>0</v>
      </c>
      <c r="AG60" s="331">
        <f>INDEX('생산수량Back-Data'!$B$5:$AAA$10041,
       MATCH($B59,'생산수량Back-Data'!$B$5:$B$10041,0),
       MATCH(AG$3,'생산수량Back-Data'!$B$3:$AAA$3,0))</f>
        <v>0</v>
      </c>
      <c r="AH60" s="331">
        <f>INDEX('생산수량Back-Data'!$B$5:$AAA$10041,
       MATCH($B59,'생산수량Back-Data'!$B$5:$B$10041,0),
       MATCH(AH$3,'생산수량Back-Data'!$B$3:$AAA$3,0))</f>
        <v>0</v>
      </c>
      <c r="AI60" s="331">
        <f>INDEX('생산수량Back-Data'!$B$5:$AAA$10041,
       MATCH($B59,'생산수량Back-Data'!$B$5:$B$10041,0),
       MATCH(AI$3,'생산수량Back-Data'!$B$3:$AAA$3,0))</f>
        <v>0</v>
      </c>
      <c r="AJ60" s="331">
        <f>INDEX('생산수량Back-Data'!$B$5:$AAA$10041,
       MATCH($B59,'생산수량Back-Data'!$B$5:$B$10041,0),
       MATCH(AJ$3,'생산수량Back-Data'!$B$3:$AAA$3,0))</f>
        <v>0</v>
      </c>
      <c r="AK60" s="331">
        <f>INDEX('생산수량Back-Data'!$B$5:$AAA$10041,
       MATCH($B59,'생산수량Back-Data'!$B$5:$B$10041,0),
       MATCH(AK$3,'생산수량Back-Data'!$B$3:$AAA$3,0))</f>
        <v>0</v>
      </c>
      <c r="AL60" s="331">
        <f>INDEX('생산수량Back-Data'!$B$5:$AAA$10041,
       MATCH($B59,'생산수량Back-Data'!$B$5:$B$10041,0),
       MATCH(AL$3,'생산수량Back-Data'!$B$3:$AAA$3,0))</f>
        <v>0</v>
      </c>
      <c r="AM60" s="331">
        <f>INDEX('생산수량Back-Data'!$B$5:$AAA$10041,
       MATCH($B59,'생산수량Back-Data'!$B$5:$B$10041,0),
       MATCH(AM$3,'생산수량Back-Data'!$B$3:$AAA$3,0))</f>
        <v>0</v>
      </c>
      <c r="AN60" s="331">
        <f>INDEX('생산수량Back-Data'!$B$5:$AAA$10041,
       MATCH($B59,'생산수량Back-Data'!$B$5:$B$10041,0),
       MATCH(AN$3,'생산수량Back-Data'!$B$3:$AAA$3,0))</f>
        <v>0</v>
      </c>
      <c r="AO60" s="331">
        <f>INDEX('생산수량Back-Data'!$B$5:$AAA$10041,
       MATCH($B59,'생산수량Back-Data'!$B$5:$B$10041,0),
       MATCH(AO$3,'생산수량Back-Data'!$B$3:$AAA$3,0))</f>
        <v>0</v>
      </c>
      <c r="AP60" s="331">
        <f>INDEX('생산수량Back-Data'!$B$5:$AAA$10041,
       MATCH($B59,'생산수량Back-Data'!$B$5:$B$10041,0),
       MATCH(AP$3,'생산수량Back-Data'!$B$3:$AAA$3,0))</f>
        <v>0</v>
      </c>
      <c r="AQ60" s="331">
        <f>INDEX('생산수량Back-Data'!$B$5:$AAA$10041,
       MATCH($B59,'생산수량Back-Data'!$B$5:$B$10041,0),
       MATCH(AQ$3,'생산수량Back-Data'!$B$3:$AAA$3,0))</f>
        <v>0</v>
      </c>
      <c r="AR60" s="331">
        <f>INDEX('생산수량Back-Data'!$B$5:$AAA$10041,
       MATCH($B59,'생산수량Back-Data'!$B$5:$B$10041,0),
       MATCH(AR$3,'생산수량Back-Data'!$B$3:$AAA$3,0))</f>
        <v>0</v>
      </c>
      <c r="AS60" s="331">
        <f>INDEX('생산수량Back-Data'!$B$5:$AAA$10041,
       MATCH($B59,'생산수량Back-Data'!$B$5:$B$10041,0),
       MATCH(AS$3,'생산수량Back-Data'!$B$3:$AAA$3,0))</f>
        <v>0</v>
      </c>
      <c r="AT60" s="331">
        <f>INDEX('생산수량Back-Data'!$B$5:$AAA$10041,
       MATCH($B59,'생산수량Back-Data'!$B$5:$B$10041,0),
       MATCH(AT$3,'생산수량Back-Data'!$B$3:$AAA$3,0))</f>
        <v>0</v>
      </c>
      <c r="AU60" s="331">
        <f>INDEX('생산수량Back-Data'!$B$5:$AAA$10041,
       MATCH($B59,'생산수량Back-Data'!$B$5:$B$10041,0),
       MATCH(AU$3,'생산수량Back-Data'!$B$3:$AAA$3,0))</f>
        <v>0</v>
      </c>
      <c r="AV60" s="331">
        <f>INDEX('생산수량Back-Data'!$B$5:$AAA$10041,
       MATCH($B59,'생산수량Back-Data'!$B$5:$B$10041,0),
       MATCH(AV$3,'생산수량Back-Data'!$B$3:$AAA$3,0))</f>
        <v>0</v>
      </c>
      <c r="AW60" s="332">
        <f>INDEX('생산수량Back-Data'!$B$5:$AAA$10041,
       MATCH($B59,'생산수량Back-Data'!$B$5:$B$10041,0),
       MATCH(AW$3,'생산수량Back-Data'!$B$3:$AAA$3,0))</f>
        <v>0</v>
      </c>
    </row>
    <row r="61" spans="2:49" ht="32.1" customHeight="1" x14ac:dyDescent="0.3">
      <c r="B61" s="444" t="s">
        <v>363</v>
      </c>
      <c r="C61" s="444" t="s">
        <v>185</v>
      </c>
      <c r="D61" s="444" t="s">
        <v>196</v>
      </c>
      <c r="E61" s="438">
        <f>ABS(SUMIFS('Fixture 총 발주수량'!AH:AH,'Fixture 총 발주수량'!B:B,생산계획!B61,'Fixture 총 발주수량'!AH:AH,"&lt;0"))</f>
        <v>6338</v>
      </c>
      <c r="F61" s="431">
        <f>G61-E61</f>
        <v>1662</v>
      </c>
      <c r="G61" s="437">
        <f>SUMIF(S61:AW61, "&gt;0")</f>
        <v>8000</v>
      </c>
      <c r="H61" s="437">
        <f>SUMIF(S62:AW62, "&gt;0")</f>
        <v>8000</v>
      </c>
      <c r="I61" s="442">
        <f>IFERROR(H61/G61,)</f>
        <v>1</v>
      </c>
      <c r="J61" s="438">
        <f>ROUNDUP(E61/400,)</f>
        <v>16</v>
      </c>
      <c r="K61" s="444" t="str">
        <f>IF(O59&lt;=P59,
     IF(O59&lt;=Q59,"1호기","4호기"),
     IF(P59&lt;=Q59,"3호기","4호기")
)</f>
        <v>4호기</v>
      </c>
      <c r="L61" s="438">
        <f>IF(K61="1호기",O59,
 IF(K61="3호기",P59,
 Q59))</f>
        <v>18</v>
      </c>
      <c r="M61" s="438">
        <f>L61+J61</f>
        <v>34</v>
      </c>
      <c r="N61" s="440">
        <v>0</v>
      </c>
      <c r="O61" s="438">
        <f>O59 + IF(K61="1호기",J61,0)</f>
        <v>22</v>
      </c>
      <c r="P61" s="438">
        <f>P59 + IF(K61="3호기",J61,0)</f>
        <v>27</v>
      </c>
      <c r="Q61" s="438">
        <f>Q59 + IF(K61="4호기",J61,0)</f>
        <v>34</v>
      </c>
      <c r="R61" s="306" t="s">
        <v>264</v>
      </c>
      <c r="S61" s="311">
        <v>400</v>
      </c>
      <c r="T61" s="312"/>
      <c r="U61" s="312"/>
      <c r="V61" s="312"/>
      <c r="W61" s="312"/>
      <c r="X61" s="311">
        <v>400</v>
      </c>
      <c r="Y61" s="311">
        <v>400</v>
      </c>
      <c r="Z61" s="311">
        <v>400</v>
      </c>
      <c r="AA61" s="311">
        <v>400</v>
      </c>
      <c r="AB61" s="311">
        <v>400</v>
      </c>
      <c r="AC61" s="311">
        <v>400</v>
      </c>
      <c r="AD61" s="311">
        <v>400</v>
      </c>
      <c r="AE61" s="311">
        <v>400</v>
      </c>
      <c r="AF61" s="311">
        <v>400</v>
      </c>
      <c r="AG61" s="311">
        <v>400</v>
      </c>
      <c r="AH61" s="311">
        <v>400</v>
      </c>
      <c r="AI61" s="311">
        <v>400</v>
      </c>
      <c r="AJ61" s="311">
        <v>400</v>
      </c>
      <c r="AK61" s="311">
        <v>400</v>
      </c>
      <c r="AL61" s="311">
        <v>400</v>
      </c>
      <c r="AM61" s="311">
        <v>400</v>
      </c>
      <c r="AN61" s="311">
        <v>400</v>
      </c>
      <c r="AO61" s="311">
        <v>400</v>
      </c>
      <c r="AP61" s="311">
        <v>400</v>
      </c>
      <c r="AQ61" s="312"/>
      <c r="AR61" s="312"/>
      <c r="AS61" s="312"/>
      <c r="AT61" s="312"/>
      <c r="AU61" s="312"/>
      <c r="AV61" s="312"/>
      <c r="AW61" s="313"/>
    </row>
    <row r="62" spans="2:49" ht="32.1" customHeight="1" x14ac:dyDescent="0.3">
      <c r="B62" s="445"/>
      <c r="C62" s="445"/>
      <c r="D62" s="445"/>
      <c r="E62" s="439"/>
      <c r="F62" s="432"/>
      <c r="G62" s="436"/>
      <c r="H62" s="436"/>
      <c r="I62" s="443"/>
      <c r="J62" s="439"/>
      <c r="K62" s="445"/>
      <c r="L62" s="439"/>
      <c r="M62" s="439"/>
      <c r="N62" s="441"/>
      <c r="O62" s="439"/>
      <c r="P62" s="439"/>
      <c r="Q62" s="439"/>
      <c r="R62" s="306" t="s">
        <v>266</v>
      </c>
      <c r="S62" s="310">
        <f>INDEX('생산수량Back-Data'!$B$5:$AAA$10041,
       MATCH($B61,'생산수량Back-Data'!$B$5:$B$10041,0),
       MATCH(S$3,'생산수량Back-Data'!$B$3:$AAA$3,0))</f>
        <v>400</v>
      </c>
      <c r="T62" s="331">
        <f>INDEX('생산수량Back-Data'!$B$5:$AAA$10041,
       MATCH($B61,'생산수량Back-Data'!$B$5:$B$10041,0),
       MATCH(T$3,'생산수량Back-Data'!$B$3:$AAA$3,0))</f>
        <v>0</v>
      </c>
      <c r="U62" s="331">
        <f>INDEX('생산수량Back-Data'!$B$5:$AAA$10041,
       MATCH($B61,'생산수량Back-Data'!$B$5:$B$10041,0),
       MATCH(U$3,'생산수량Back-Data'!$B$3:$AAA$3,0))</f>
        <v>0</v>
      </c>
      <c r="V62" s="331">
        <f>INDEX('생산수량Back-Data'!$B$5:$AAA$10041,
       MATCH($B61,'생산수량Back-Data'!$B$5:$B$10041,0),
       MATCH(V$3,'생산수량Back-Data'!$B$3:$AAA$3,0))</f>
        <v>0</v>
      </c>
      <c r="W62" s="331">
        <f>INDEX('생산수량Back-Data'!$B$5:$AAA$10041,
       MATCH($B61,'생산수량Back-Data'!$B$5:$B$10041,0),
       MATCH(W$3,'생산수량Back-Data'!$B$3:$AAA$3,0))</f>
        <v>0</v>
      </c>
      <c r="X62" s="331">
        <f>INDEX('생산수량Back-Data'!$B$5:$AAA$10041,
       MATCH($B61,'생산수량Back-Data'!$B$5:$B$10041,0),
       MATCH(X$3,'생산수량Back-Data'!$B$3:$AAA$3,0))</f>
        <v>400</v>
      </c>
      <c r="Y62" s="331">
        <f>INDEX('생산수량Back-Data'!$B$5:$AAA$10041,
       MATCH($B61,'생산수량Back-Data'!$B$5:$B$10041,0),
       MATCH(Y$3,'생산수량Back-Data'!$B$3:$AAA$3,0))</f>
        <v>400</v>
      </c>
      <c r="Z62" s="331">
        <f>INDEX('생산수량Back-Data'!$B$5:$AAA$10041,
       MATCH($B61,'생산수량Back-Data'!$B$5:$B$10041,0),
       MATCH(Z$3,'생산수량Back-Data'!$B$3:$AAA$3,0))</f>
        <v>400</v>
      </c>
      <c r="AA62" s="331">
        <f>INDEX('생산수량Back-Data'!$B$5:$AAA$10041,
       MATCH($B61,'생산수량Back-Data'!$B$5:$B$10041,0),
       MATCH(AA$3,'생산수량Back-Data'!$B$3:$AAA$3,0))</f>
        <v>400</v>
      </c>
      <c r="AB62" s="331">
        <f>INDEX('생산수량Back-Data'!$B$5:$AAA$10041,
       MATCH($B61,'생산수량Back-Data'!$B$5:$B$10041,0),
       MATCH(AB$3,'생산수량Back-Data'!$B$3:$AAA$3,0))</f>
        <v>400</v>
      </c>
      <c r="AC62" s="331">
        <f>INDEX('생산수량Back-Data'!$B$5:$AAA$10041,
       MATCH($B61,'생산수량Back-Data'!$B$5:$B$10041,0),
       MATCH(AC$3,'생산수량Back-Data'!$B$3:$AAA$3,0))</f>
        <v>400</v>
      </c>
      <c r="AD62" s="331">
        <f>INDEX('생산수량Back-Data'!$B$5:$AAA$10041,
       MATCH($B61,'생산수량Back-Data'!$B$5:$B$10041,0),
       MATCH(AD$3,'생산수량Back-Data'!$B$3:$AAA$3,0))</f>
        <v>400</v>
      </c>
      <c r="AE62" s="331">
        <f>INDEX('생산수량Back-Data'!$B$5:$AAA$10041,
       MATCH($B61,'생산수량Back-Data'!$B$5:$B$10041,0),
       MATCH(AE$3,'생산수량Back-Data'!$B$3:$AAA$3,0))</f>
        <v>400</v>
      </c>
      <c r="AF62" s="331">
        <f>INDEX('생산수량Back-Data'!$B$5:$AAA$10041,
       MATCH($B61,'생산수량Back-Data'!$B$5:$B$10041,0),
       MATCH(AF$3,'생산수량Back-Data'!$B$3:$AAA$3,0))</f>
        <v>400</v>
      </c>
      <c r="AG62" s="331">
        <f>INDEX('생산수량Back-Data'!$B$5:$AAA$10041,
       MATCH($B61,'생산수량Back-Data'!$B$5:$B$10041,0),
       MATCH(AG$3,'생산수량Back-Data'!$B$3:$AAA$3,0))</f>
        <v>400</v>
      </c>
      <c r="AH62" s="331">
        <f>INDEX('생산수량Back-Data'!$B$5:$AAA$10041,
       MATCH($B61,'생산수량Back-Data'!$B$5:$B$10041,0),
       MATCH(AH$3,'생산수량Back-Data'!$B$3:$AAA$3,0))</f>
        <v>400</v>
      </c>
      <c r="AI62" s="331">
        <f>INDEX('생산수량Back-Data'!$B$5:$AAA$10041,
       MATCH($B61,'생산수량Back-Data'!$B$5:$B$10041,0),
       MATCH(AI$3,'생산수량Back-Data'!$B$3:$AAA$3,0))</f>
        <v>400</v>
      </c>
      <c r="AJ62" s="331">
        <f>INDEX('생산수량Back-Data'!$B$5:$AAA$10041,
       MATCH($B61,'생산수량Back-Data'!$B$5:$B$10041,0),
       MATCH(AJ$3,'생산수량Back-Data'!$B$3:$AAA$3,0))</f>
        <v>400</v>
      </c>
      <c r="AK62" s="331">
        <f>INDEX('생산수량Back-Data'!$B$5:$AAA$10041,
       MATCH($B61,'생산수량Back-Data'!$B$5:$B$10041,0),
       MATCH(AK$3,'생산수량Back-Data'!$B$3:$AAA$3,0))</f>
        <v>400</v>
      </c>
      <c r="AL62" s="331">
        <f>INDEX('생산수량Back-Data'!$B$5:$AAA$10041,
       MATCH($B61,'생산수량Back-Data'!$B$5:$B$10041,0),
       MATCH(AL$3,'생산수량Back-Data'!$B$3:$AAA$3,0))</f>
        <v>400</v>
      </c>
      <c r="AM62" s="331">
        <f>INDEX('생산수량Back-Data'!$B$5:$AAA$10041,
       MATCH($B61,'생산수량Back-Data'!$B$5:$B$10041,0),
       MATCH(AM$3,'생산수량Back-Data'!$B$3:$AAA$3,0))</f>
        <v>400</v>
      </c>
      <c r="AN62" s="331">
        <f>INDEX('생산수량Back-Data'!$B$5:$AAA$10041,
       MATCH($B61,'생산수량Back-Data'!$B$5:$B$10041,0),
       MATCH(AN$3,'생산수량Back-Data'!$B$3:$AAA$3,0))</f>
        <v>400</v>
      </c>
      <c r="AO62" s="331">
        <f>INDEX('생산수량Back-Data'!$B$5:$AAA$10041,
       MATCH($B61,'생산수량Back-Data'!$B$5:$B$10041,0),
       MATCH(AO$3,'생산수량Back-Data'!$B$3:$AAA$3,0))</f>
        <v>400</v>
      </c>
      <c r="AP62" s="331">
        <f>INDEX('생산수량Back-Data'!$B$5:$AAA$10041,
       MATCH($B61,'생산수량Back-Data'!$B$5:$B$10041,0),
       MATCH(AP$3,'생산수량Back-Data'!$B$3:$AAA$3,0))</f>
        <v>400</v>
      </c>
      <c r="AQ62" s="331">
        <f>INDEX('생산수량Back-Data'!$B$5:$AAA$10041,
       MATCH($B61,'생산수량Back-Data'!$B$5:$B$10041,0),
       MATCH(AQ$3,'생산수량Back-Data'!$B$3:$AAA$3,0))</f>
        <v>0</v>
      </c>
      <c r="AR62" s="331">
        <f>INDEX('생산수량Back-Data'!$B$5:$AAA$10041,
       MATCH($B61,'생산수량Back-Data'!$B$5:$B$10041,0),
       MATCH(AR$3,'생산수량Back-Data'!$B$3:$AAA$3,0))</f>
        <v>0</v>
      </c>
      <c r="AS62" s="331">
        <f>INDEX('생산수량Back-Data'!$B$5:$AAA$10041,
       MATCH($B61,'생산수량Back-Data'!$B$5:$B$10041,0),
       MATCH(AS$3,'생산수량Back-Data'!$B$3:$AAA$3,0))</f>
        <v>0</v>
      </c>
      <c r="AT62" s="331">
        <f>INDEX('생산수량Back-Data'!$B$5:$AAA$10041,
       MATCH($B61,'생산수량Back-Data'!$B$5:$B$10041,0),
       MATCH(AT$3,'생산수량Back-Data'!$B$3:$AAA$3,0))</f>
        <v>0</v>
      </c>
      <c r="AU62" s="331">
        <f>INDEX('생산수량Back-Data'!$B$5:$AAA$10041,
       MATCH($B61,'생산수량Back-Data'!$B$5:$B$10041,0),
       MATCH(AU$3,'생산수량Back-Data'!$B$3:$AAA$3,0))</f>
        <v>0</v>
      </c>
      <c r="AV62" s="331">
        <f>INDEX('생산수량Back-Data'!$B$5:$AAA$10041,
       MATCH($B61,'생산수량Back-Data'!$B$5:$B$10041,0),
       MATCH(AV$3,'생산수량Back-Data'!$B$3:$AAA$3,0))</f>
        <v>0</v>
      </c>
      <c r="AW62" s="332">
        <f>INDEX('생산수량Back-Data'!$B$5:$AAA$10041,
       MATCH($B61,'생산수량Back-Data'!$B$5:$B$10041,0),
       MATCH(AW$3,'생산수량Back-Data'!$B$3:$AAA$3,0))</f>
        <v>0</v>
      </c>
    </row>
    <row r="63" spans="2:49" ht="32.1" customHeight="1" x14ac:dyDescent="0.3">
      <c r="B63" s="444" t="s">
        <v>56</v>
      </c>
      <c r="C63" s="444" t="s">
        <v>185</v>
      </c>
      <c r="D63" s="444" t="s">
        <v>196</v>
      </c>
      <c r="E63" s="438">
        <f>ABS(SUMIFS('Fixture 총 발주수량'!AH:AH,'Fixture 총 발주수량'!B:B,생산계획!B63,'Fixture 총 발주수량'!AH:AH,"&lt;0"))</f>
        <v>0</v>
      </c>
      <c r="F63" s="431">
        <f>G63-E63</f>
        <v>0</v>
      </c>
      <c r="G63" s="437">
        <f>SUMIF(S63:AW63, "&gt;0")</f>
        <v>0</v>
      </c>
      <c r="H63" s="437">
        <f>SUMIF(S64:AW64, "&gt;0")</f>
        <v>0</v>
      </c>
      <c r="I63" s="442">
        <f>IFERROR(H63/G63,)</f>
        <v>0</v>
      </c>
      <c r="J63" s="438">
        <f>ROUNDUP(E63/400,)</f>
        <v>0</v>
      </c>
      <c r="K63" s="444" t="str">
        <f>IF(O61&lt;=P61,
     IF(O61&lt;=Q61,"1호기","4호기"),
     IF(P61&lt;=Q61,"3호기","4호기")
)</f>
        <v>1호기</v>
      </c>
      <c r="L63" s="438">
        <f>IF(K63="1호기",O61,
 IF(K63="3호기",P61,
 Q61))</f>
        <v>22</v>
      </c>
      <c r="M63" s="438">
        <f>L63+J63</f>
        <v>22</v>
      </c>
      <c r="N63" s="440">
        <v>0</v>
      </c>
      <c r="O63" s="438">
        <f>O61 + IF(K63="1호기",J63,0)</f>
        <v>22</v>
      </c>
      <c r="P63" s="438">
        <f>P61 + IF(K63="3호기",J63,0)</f>
        <v>27</v>
      </c>
      <c r="Q63" s="438">
        <f>Q61 + IF(K63="4호기",J63,0)</f>
        <v>34</v>
      </c>
      <c r="R63" s="306" t="s">
        <v>264</v>
      </c>
      <c r="S63" s="311"/>
      <c r="T63" s="312"/>
      <c r="U63" s="312"/>
      <c r="V63" s="312"/>
      <c r="W63" s="312"/>
      <c r="X63" s="312"/>
      <c r="Y63" s="312"/>
      <c r="Z63" s="312"/>
      <c r="AA63" s="312"/>
      <c r="AB63" s="312"/>
      <c r="AC63" s="312"/>
      <c r="AD63" s="312"/>
      <c r="AE63" s="312"/>
      <c r="AF63" s="312"/>
      <c r="AG63" s="312"/>
      <c r="AH63" s="312"/>
      <c r="AI63" s="312"/>
      <c r="AJ63" s="312"/>
      <c r="AK63" s="312"/>
      <c r="AL63" s="312"/>
      <c r="AM63" s="312"/>
      <c r="AN63" s="312"/>
      <c r="AO63" s="312"/>
      <c r="AP63" s="312"/>
      <c r="AQ63" s="312"/>
      <c r="AR63" s="312"/>
      <c r="AS63" s="312"/>
      <c r="AT63" s="312"/>
      <c r="AU63" s="312"/>
      <c r="AV63" s="312"/>
      <c r="AW63" s="313"/>
    </row>
    <row r="64" spans="2:49" ht="32.1" customHeight="1" x14ac:dyDescent="0.3">
      <c r="B64" s="445"/>
      <c r="C64" s="445"/>
      <c r="D64" s="445"/>
      <c r="E64" s="439"/>
      <c r="F64" s="432"/>
      <c r="G64" s="436"/>
      <c r="H64" s="436"/>
      <c r="I64" s="443"/>
      <c r="J64" s="439"/>
      <c r="K64" s="445"/>
      <c r="L64" s="439"/>
      <c r="M64" s="439"/>
      <c r="N64" s="441"/>
      <c r="O64" s="439"/>
      <c r="P64" s="439"/>
      <c r="Q64" s="439"/>
      <c r="R64" s="306" t="s">
        <v>266</v>
      </c>
      <c r="S64" s="310">
        <f>INDEX('생산수량Back-Data'!$B$5:$AAA$10041,
       MATCH($B63,'생산수량Back-Data'!$B$5:$B$10041,0),
       MATCH(S$3,'생산수량Back-Data'!$B$3:$AAA$3,0))</f>
        <v>0</v>
      </c>
      <c r="T64" s="331">
        <f>INDEX('생산수량Back-Data'!$B$5:$AAA$10041,
       MATCH($B63,'생산수량Back-Data'!$B$5:$B$10041,0),
       MATCH(T$3,'생산수량Back-Data'!$B$3:$AAA$3,0))</f>
        <v>0</v>
      </c>
      <c r="U64" s="331">
        <f>INDEX('생산수량Back-Data'!$B$5:$AAA$10041,
       MATCH($B63,'생산수량Back-Data'!$B$5:$B$10041,0),
       MATCH(U$3,'생산수량Back-Data'!$B$3:$AAA$3,0))</f>
        <v>0</v>
      </c>
      <c r="V64" s="331">
        <f>INDEX('생산수량Back-Data'!$B$5:$AAA$10041,
       MATCH($B63,'생산수량Back-Data'!$B$5:$B$10041,0),
       MATCH(V$3,'생산수량Back-Data'!$B$3:$AAA$3,0))</f>
        <v>0</v>
      </c>
      <c r="W64" s="331">
        <f>INDEX('생산수량Back-Data'!$B$5:$AAA$10041,
       MATCH($B63,'생산수량Back-Data'!$B$5:$B$10041,0),
       MATCH(W$3,'생산수량Back-Data'!$B$3:$AAA$3,0))</f>
        <v>0</v>
      </c>
      <c r="X64" s="331">
        <f>INDEX('생산수량Back-Data'!$B$5:$AAA$10041,
       MATCH($B63,'생산수량Back-Data'!$B$5:$B$10041,0),
       MATCH(X$3,'생산수량Back-Data'!$B$3:$AAA$3,0))</f>
        <v>0</v>
      </c>
      <c r="Y64" s="331">
        <f>INDEX('생산수량Back-Data'!$B$5:$AAA$10041,
       MATCH($B63,'생산수량Back-Data'!$B$5:$B$10041,0),
       MATCH(Y$3,'생산수량Back-Data'!$B$3:$AAA$3,0))</f>
        <v>0</v>
      </c>
      <c r="Z64" s="331">
        <f>INDEX('생산수량Back-Data'!$B$5:$AAA$10041,
       MATCH($B63,'생산수량Back-Data'!$B$5:$B$10041,0),
       MATCH(Z$3,'생산수량Back-Data'!$B$3:$AAA$3,0))</f>
        <v>0</v>
      </c>
      <c r="AA64" s="331">
        <f>INDEX('생산수량Back-Data'!$B$5:$AAA$10041,
       MATCH($B63,'생산수량Back-Data'!$B$5:$B$10041,0),
       MATCH(AA$3,'생산수량Back-Data'!$B$3:$AAA$3,0))</f>
        <v>0</v>
      </c>
      <c r="AB64" s="331">
        <f>INDEX('생산수량Back-Data'!$B$5:$AAA$10041,
       MATCH($B63,'생산수량Back-Data'!$B$5:$B$10041,0),
       MATCH(AB$3,'생산수량Back-Data'!$B$3:$AAA$3,0))</f>
        <v>0</v>
      </c>
      <c r="AC64" s="331">
        <f>INDEX('생산수량Back-Data'!$B$5:$AAA$10041,
       MATCH($B63,'생산수량Back-Data'!$B$5:$B$10041,0),
       MATCH(AC$3,'생산수량Back-Data'!$B$3:$AAA$3,0))</f>
        <v>0</v>
      </c>
      <c r="AD64" s="331">
        <f>INDEX('생산수량Back-Data'!$B$5:$AAA$10041,
       MATCH($B63,'생산수량Back-Data'!$B$5:$B$10041,0),
       MATCH(AD$3,'생산수량Back-Data'!$B$3:$AAA$3,0))</f>
        <v>0</v>
      </c>
      <c r="AE64" s="331">
        <f>INDEX('생산수량Back-Data'!$B$5:$AAA$10041,
       MATCH($B63,'생산수량Back-Data'!$B$5:$B$10041,0),
       MATCH(AE$3,'생산수량Back-Data'!$B$3:$AAA$3,0))</f>
        <v>0</v>
      </c>
      <c r="AF64" s="331">
        <f>INDEX('생산수량Back-Data'!$B$5:$AAA$10041,
       MATCH($B63,'생산수량Back-Data'!$B$5:$B$10041,0),
       MATCH(AF$3,'생산수량Back-Data'!$B$3:$AAA$3,0))</f>
        <v>0</v>
      </c>
      <c r="AG64" s="331">
        <f>INDEX('생산수량Back-Data'!$B$5:$AAA$10041,
       MATCH($B63,'생산수량Back-Data'!$B$5:$B$10041,0),
       MATCH(AG$3,'생산수량Back-Data'!$B$3:$AAA$3,0))</f>
        <v>0</v>
      </c>
      <c r="AH64" s="331">
        <f>INDEX('생산수량Back-Data'!$B$5:$AAA$10041,
       MATCH($B63,'생산수량Back-Data'!$B$5:$B$10041,0),
       MATCH(AH$3,'생산수량Back-Data'!$B$3:$AAA$3,0))</f>
        <v>0</v>
      </c>
      <c r="AI64" s="331">
        <f>INDEX('생산수량Back-Data'!$B$5:$AAA$10041,
       MATCH($B63,'생산수량Back-Data'!$B$5:$B$10041,0),
       MATCH(AI$3,'생산수량Back-Data'!$B$3:$AAA$3,0))</f>
        <v>0</v>
      </c>
      <c r="AJ64" s="331">
        <f>INDEX('생산수량Back-Data'!$B$5:$AAA$10041,
       MATCH($B63,'생산수량Back-Data'!$B$5:$B$10041,0),
       MATCH(AJ$3,'생산수량Back-Data'!$B$3:$AAA$3,0))</f>
        <v>0</v>
      </c>
      <c r="AK64" s="331">
        <f>INDEX('생산수량Back-Data'!$B$5:$AAA$10041,
       MATCH($B63,'생산수량Back-Data'!$B$5:$B$10041,0),
       MATCH(AK$3,'생산수량Back-Data'!$B$3:$AAA$3,0))</f>
        <v>0</v>
      </c>
      <c r="AL64" s="331">
        <f>INDEX('생산수량Back-Data'!$B$5:$AAA$10041,
       MATCH($B63,'생산수량Back-Data'!$B$5:$B$10041,0),
       MATCH(AL$3,'생산수량Back-Data'!$B$3:$AAA$3,0))</f>
        <v>0</v>
      </c>
      <c r="AM64" s="331">
        <f>INDEX('생산수량Back-Data'!$B$5:$AAA$10041,
       MATCH($B63,'생산수량Back-Data'!$B$5:$B$10041,0),
       MATCH(AM$3,'생산수량Back-Data'!$B$3:$AAA$3,0))</f>
        <v>0</v>
      </c>
      <c r="AN64" s="331">
        <f>INDEX('생산수량Back-Data'!$B$5:$AAA$10041,
       MATCH($B63,'생산수량Back-Data'!$B$5:$B$10041,0),
       MATCH(AN$3,'생산수량Back-Data'!$B$3:$AAA$3,0))</f>
        <v>0</v>
      </c>
      <c r="AO64" s="331">
        <f>INDEX('생산수량Back-Data'!$B$5:$AAA$10041,
       MATCH($B63,'생산수량Back-Data'!$B$5:$B$10041,0),
       MATCH(AO$3,'생산수량Back-Data'!$B$3:$AAA$3,0))</f>
        <v>0</v>
      </c>
      <c r="AP64" s="331">
        <f>INDEX('생산수량Back-Data'!$B$5:$AAA$10041,
       MATCH($B63,'생산수량Back-Data'!$B$5:$B$10041,0),
       MATCH(AP$3,'생산수량Back-Data'!$B$3:$AAA$3,0))</f>
        <v>0</v>
      </c>
      <c r="AQ64" s="331">
        <f>INDEX('생산수량Back-Data'!$B$5:$AAA$10041,
       MATCH($B63,'생산수량Back-Data'!$B$5:$B$10041,0),
       MATCH(AQ$3,'생산수량Back-Data'!$B$3:$AAA$3,0))</f>
        <v>0</v>
      </c>
      <c r="AR64" s="331">
        <f>INDEX('생산수량Back-Data'!$B$5:$AAA$10041,
       MATCH($B63,'생산수량Back-Data'!$B$5:$B$10041,0),
       MATCH(AR$3,'생산수량Back-Data'!$B$3:$AAA$3,0))</f>
        <v>0</v>
      </c>
      <c r="AS64" s="331">
        <f>INDEX('생산수량Back-Data'!$B$5:$AAA$10041,
       MATCH($B63,'생산수량Back-Data'!$B$5:$B$10041,0),
       MATCH(AS$3,'생산수량Back-Data'!$B$3:$AAA$3,0))</f>
        <v>0</v>
      </c>
      <c r="AT64" s="331">
        <f>INDEX('생산수량Back-Data'!$B$5:$AAA$10041,
       MATCH($B63,'생산수량Back-Data'!$B$5:$B$10041,0),
       MATCH(AT$3,'생산수량Back-Data'!$B$3:$AAA$3,0))</f>
        <v>0</v>
      </c>
      <c r="AU64" s="331">
        <f>INDEX('생산수량Back-Data'!$B$5:$AAA$10041,
       MATCH($B63,'생산수량Back-Data'!$B$5:$B$10041,0),
       MATCH(AU$3,'생산수량Back-Data'!$B$3:$AAA$3,0))</f>
        <v>0</v>
      </c>
      <c r="AV64" s="331">
        <f>INDEX('생산수량Back-Data'!$B$5:$AAA$10041,
       MATCH($B63,'생산수량Back-Data'!$B$5:$B$10041,0),
       MATCH(AV$3,'생산수량Back-Data'!$B$3:$AAA$3,0))</f>
        <v>0</v>
      </c>
      <c r="AW64" s="332">
        <f>INDEX('생산수량Back-Data'!$B$5:$AAA$10041,
       MATCH($B63,'생산수량Back-Data'!$B$5:$B$10041,0),
       MATCH(AW$3,'생산수량Back-Data'!$B$3:$AAA$3,0))</f>
        <v>0</v>
      </c>
    </row>
    <row r="65" spans="2:49" ht="32.1" customHeight="1" x14ac:dyDescent="0.3">
      <c r="B65" s="444" t="s">
        <v>52</v>
      </c>
      <c r="C65" s="444" t="s">
        <v>185</v>
      </c>
      <c r="D65" s="444" t="s">
        <v>197</v>
      </c>
      <c r="E65" s="438">
        <f>ABS(SUMIFS('Fixture 총 발주수량'!AH:AH,'Fixture 총 발주수량'!B:B,생산계획!B65,'Fixture 총 발주수량'!AH:AH,"&lt;0"))</f>
        <v>1480</v>
      </c>
      <c r="F65" s="431">
        <f>G65-E65</f>
        <v>-1480</v>
      </c>
      <c r="G65" s="437">
        <f>SUMIF(S65:AW65, "&gt;0")</f>
        <v>0</v>
      </c>
      <c r="H65" s="437">
        <f>SUMIF(S66:AW66, "&gt;0")</f>
        <v>0</v>
      </c>
      <c r="I65" s="442">
        <f>IFERROR(H65/G65,)</f>
        <v>0</v>
      </c>
      <c r="J65" s="438">
        <f>ROUNDUP(E65/400,)</f>
        <v>4</v>
      </c>
      <c r="K65" s="444" t="str">
        <f>IF(O63&lt;=P63,
     IF(O63&lt;=Q63,"1호기","4호기"),
     IF(P63&lt;=Q63,"3호기","4호기")
)</f>
        <v>1호기</v>
      </c>
      <c r="L65" s="438">
        <f>IF(K65="1호기",O63,
 IF(K65="3호기",P63,
 Q63))</f>
        <v>22</v>
      </c>
      <c r="M65" s="438">
        <f>L65+J65</f>
        <v>26</v>
      </c>
      <c r="N65" s="440">
        <v>0</v>
      </c>
      <c r="O65" s="438">
        <f>O63 + IF(K65="1호기",J65,0)</f>
        <v>26</v>
      </c>
      <c r="P65" s="438">
        <f>P63 + IF(K65="3호기",J65,0)</f>
        <v>27</v>
      </c>
      <c r="Q65" s="438">
        <f>Q63 + IF(K65="4호기",J65,0)</f>
        <v>34</v>
      </c>
      <c r="R65" s="306" t="s">
        <v>264</v>
      </c>
      <c r="S65" s="311"/>
      <c r="T65" s="312"/>
      <c r="U65" s="312"/>
      <c r="V65" s="312"/>
      <c r="W65" s="312"/>
      <c r="X65" s="312"/>
      <c r="Y65" s="312"/>
      <c r="Z65" s="312"/>
      <c r="AA65" s="312"/>
      <c r="AB65" s="312"/>
      <c r="AC65" s="312"/>
      <c r="AD65" s="312"/>
      <c r="AE65" s="312"/>
      <c r="AF65" s="312"/>
      <c r="AG65" s="312"/>
      <c r="AH65" s="312"/>
      <c r="AI65" s="312"/>
      <c r="AJ65" s="312"/>
      <c r="AK65" s="312"/>
      <c r="AL65" s="312"/>
      <c r="AM65" s="312"/>
      <c r="AN65" s="312"/>
      <c r="AO65" s="312"/>
      <c r="AP65" s="312"/>
      <c r="AQ65" s="312"/>
      <c r="AR65" s="312"/>
      <c r="AS65" s="312"/>
      <c r="AT65" s="312"/>
      <c r="AU65" s="312"/>
      <c r="AV65" s="312"/>
      <c r="AW65" s="313"/>
    </row>
    <row r="66" spans="2:49" ht="32.1" customHeight="1" x14ac:dyDescent="0.3">
      <c r="B66" s="445"/>
      <c r="C66" s="445"/>
      <c r="D66" s="445"/>
      <c r="E66" s="439"/>
      <c r="F66" s="432"/>
      <c r="G66" s="436"/>
      <c r="H66" s="436"/>
      <c r="I66" s="443"/>
      <c r="J66" s="439"/>
      <c r="K66" s="445"/>
      <c r="L66" s="439"/>
      <c r="M66" s="439"/>
      <c r="N66" s="441"/>
      <c r="O66" s="439"/>
      <c r="P66" s="439"/>
      <c r="Q66" s="439"/>
      <c r="R66" s="306" t="s">
        <v>266</v>
      </c>
      <c r="S66" s="310">
        <f>INDEX('생산수량Back-Data'!$B$5:$AAA$10041,
       MATCH($B65,'생산수량Back-Data'!$B$5:$B$10041,0),
       MATCH(S$3,'생산수량Back-Data'!$B$3:$AAA$3,0))</f>
        <v>0</v>
      </c>
      <c r="T66" s="331">
        <f>INDEX('생산수량Back-Data'!$B$5:$AAA$10041,
       MATCH($B65,'생산수량Back-Data'!$B$5:$B$10041,0),
       MATCH(T$3,'생산수량Back-Data'!$B$3:$AAA$3,0))</f>
        <v>0</v>
      </c>
      <c r="U66" s="331">
        <f>INDEX('생산수량Back-Data'!$B$5:$AAA$10041,
       MATCH($B65,'생산수량Back-Data'!$B$5:$B$10041,0),
       MATCH(U$3,'생산수량Back-Data'!$B$3:$AAA$3,0))</f>
        <v>0</v>
      </c>
      <c r="V66" s="331">
        <f>INDEX('생산수량Back-Data'!$B$5:$AAA$10041,
       MATCH($B65,'생산수량Back-Data'!$B$5:$B$10041,0),
       MATCH(V$3,'생산수량Back-Data'!$B$3:$AAA$3,0))</f>
        <v>0</v>
      </c>
      <c r="W66" s="331">
        <f>INDEX('생산수량Back-Data'!$B$5:$AAA$10041,
       MATCH($B65,'생산수량Back-Data'!$B$5:$B$10041,0),
       MATCH(W$3,'생산수량Back-Data'!$B$3:$AAA$3,0))</f>
        <v>0</v>
      </c>
      <c r="X66" s="331">
        <f>INDEX('생산수량Back-Data'!$B$5:$AAA$10041,
       MATCH($B65,'생산수량Back-Data'!$B$5:$B$10041,0),
       MATCH(X$3,'생산수량Back-Data'!$B$3:$AAA$3,0))</f>
        <v>0</v>
      </c>
      <c r="Y66" s="331">
        <f>INDEX('생산수량Back-Data'!$B$5:$AAA$10041,
       MATCH($B65,'생산수량Back-Data'!$B$5:$B$10041,0),
       MATCH(Y$3,'생산수량Back-Data'!$B$3:$AAA$3,0))</f>
        <v>0</v>
      </c>
      <c r="Z66" s="331">
        <f>INDEX('생산수량Back-Data'!$B$5:$AAA$10041,
       MATCH($B65,'생산수량Back-Data'!$B$5:$B$10041,0),
       MATCH(Z$3,'생산수량Back-Data'!$B$3:$AAA$3,0))</f>
        <v>0</v>
      </c>
      <c r="AA66" s="331">
        <f>INDEX('생산수량Back-Data'!$B$5:$AAA$10041,
       MATCH($B65,'생산수량Back-Data'!$B$5:$B$10041,0),
       MATCH(AA$3,'생산수량Back-Data'!$B$3:$AAA$3,0))</f>
        <v>0</v>
      </c>
      <c r="AB66" s="331">
        <f>INDEX('생산수량Back-Data'!$B$5:$AAA$10041,
       MATCH($B65,'생산수량Back-Data'!$B$5:$B$10041,0),
       MATCH(AB$3,'생산수량Back-Data'!$B$3:$AAA$3,0))</f>
        <v>0</v>
      </c>
      <c r="AC66" s="331">
        <f>INDEX('생산수량Back-Data'!$B$5:$AAA$10041,
       MATCH($B65,'생산수량Back-Data'!$B$5:$B$10041,0),
       MATCH(AC$3,'생산수량Back-Data'!$B$3:$AAA$3,0))</f>
        <v>0</v>
      </c>
      <c r="AD66" s="331">
        <f>INDEX('생산수량Back-Data'!$B$5:$AAA$10041,
       MATCH($B65,'생산수량Back-Data'!$B$5:$B$10041,0),
       MATCH(AD$3,'생산수량Back-Data'!$B$3:$AAA$3,0))</f>
        <v>0</v>
      </c>
      <c r="AE66" s="331">
        <f>INDEX('생산수량Back-Data'!$B$5:$AAA$10041,
       MATCH($B65,'생산수량Back-Data'!$B$5:$B$10041,0),
       MATCH(AE$3,'생산수량Back-Data'!$B$3:$AAA$3,0))</f>
        <v>0</v>
      </c>
      <c r="AF66" s="331">
        <f>INDEX('생산수량Back-Data'!$B$5:$AAA$10041,
       MATCH($B65,'생산수량Back-Data'!$B$5:$B$10041,0),
       MATCH(AF$3,'생산수량Back-Data'!$B$3:$AAA$3,0))</f>
        <v>0</v>
      </c>
      <c r="AG66" s="331">
        <f>INDEX('생산수량Back-Data'!$B$5:$AAA$10041,
       MATCH($B65,'생산수량Back-Data'!$B$5:$B$10041,0),
       MATCH(AG$3,'생산수량Back-Data'!$B$3:$AAA$3,0))</f>
        <v>0</v>
      </c>
      <c r="AH66" s="331">
        <f>INDEX('생산수량Back-Data'!$B$5:$AAA$10041,
       MATCH($B65,'생산수량Back-Data'!$B$5:$B$10041,0),
       MATCH(AH$3,'생산수량Back-Data'!$B$3:$AAA$3,0))</f>
        <v>0</v>
      </c>
      <c r="AI66" s="331">
        <f>INDEX('생산수량Back-Data'!$B$5:$AAA$10041,
       MATCH($B65,'생산수량Back-Data'!$B$5:$B$10041,0),
       MATCH(AI$3,'생산수량Back-Data'!$B$3:$AAA$3,0))</f>
        <v>0</v>
      </c>
      <c r="AJ66" s="331">
        <f>INDEX('생산수량Back-Data'!$B$5:$AAA$10041,
       MATCH($B65,'생산수량Back-Data'!$B$5:$B$10041,0),
       MATCH(AJ$3,'생산수량Back-Data'!$B$3:$AAA$3,0))</f>
        <v>0</v>
      </c>
      <c r="AK66" s="331">
        <f>INDEX('생산수량Back-Data'!$B$5:$AAA$10041,
       MATCH($B65,'생산수량Back-Data'!$B$5:$B$10041,0),
       MATCH(AK$3,'생산수량Back-Data'!$B$3:$AAA$3,0))</f>
        <v>0</v>
      </c>
      <c r="AL66" s="331">
        <f>INDEX('생산수량Back-Data'!$B$5:$AAA$10041,
       MATCH($B65,'생산수량Back-Data'!$B$5:$B$10041,0),
       MATCH(AL$3,'생산수량Back-Data'!$B$3:$AAA$3,0))</f>
        <v>0</v>
      </c>
      <c r="AM66" s="331">
        <f>INDEX('생산수량Back-Data'!$B$5:$AAA$10041,
       MATCH($B65,'생산수량Back-Data'!$B$5:$B$10041,0),
       MATCH(AM$3,'생산수량Back-Data'!$B$3:$AAA$3,0))</f>
        <v>0</v>
      </c>
      <c r="AN66" s="331">
        <f>INDEX('생산수량Back-Data'!$B$5:$AAA$10041,
       MATCH($B65,'생산수량Back-Data'!$B$5:$B$10041,0),
       MATCH(AN$3,'생산수량Back-Data'!$B$3:$AAA$3,0))</f>
        <v>0</v>
      </c>
      <c r="AO66" s="331">
        <f>INDEX('생산수량Back-Data'!$B$5:$AAA$10041,
       MATCH($B65,'생산수량Back-Data'!$B$5:$B$10041,0),
       MATCH(AO$3,'생산수량Back-Data'!$B$3:$AAA$3,0))</f>
        <v>0</v>
      </c>
      <c r="AP66" s="331">
        <f>INDEX('생산수량Back-Data'!$B$5:$AAA$10041,
       MATCH($B65,'생산수량Back-Data'!$B$5:$B$10041,0),
       MATCH(AP$3,'생산수량Back-Data'!$B$3:$AAA$3,0))</f>
        <v>0</v>
      </c>
      <c r="AQ66" s="331">
        <f>INDEX('생산수량Back-Data'!$B$5:$AAA$10041,
       MATCH($B65,'생산수량Back-Data'!$B$5:$B$10041,0),
       MATCH(AQ$3,'생산수량Back-Data'!$B$3:$AAA$3,0))</f>
        <v>0</v>
      </c>
      <c r="AR66" s="331">
        <f>INDEX('생산수량Back-Data'!$B$5:$AAA$10041,
       MATCH($B65,'생산수량Back-Data'!$B$5:$B$10041,0),
       MATCH(AR$3,'생산수량Back-Data'!$B$3:$AAA$3,0))</f>
        <v>0</v>
      </c>
      <c r="AS66" s="331">
        <f>INDEX('생산수량Back-Data'!$B$5:$AAA$10041,
       MATCH($B65,'생산수량Back-Data'!$B$5:$B$10041,0),
       MATCH(AS$3,'생산수량Back-Data'!$B$3:$AAA$3,0))</f>
        <v>0</v>
      </c>
      <c r="AT66" s="331">
        <f>INDEX('생산수량Back-Data'!$B$5:$AAA$10041,
       MATCH($B65,'생산수량Back-Data'!$B$5:$B$10041,0),
       MATCH(AT$3,'생산수량Back-Data'!$B$3:$AAA$3,0))</f>
        <v>0</v>
      </c>
      <c r="AU66" s="331">
        <f>INDEX('생산수량Back-Data'!$B$5:$AAA$10041,
       MATCH($B65,'생산수량Back-Data'!$B$5:$B$10041,0),
       MATCH(AU$3,'생산수량Back-Data'!$B$3:$AAA$3,0))</f>
        <v>0</v>
      </c>
      <c r="AV66" s="331">
        <f>INDEX('생산수량Back-Data'!$B$5:$AAA$10041,
       MATCH($B65,'생산수량Back-Data'!$B$5:$B$10041,0),
       MATCH(AV$3,'생산수량Back-Data'!$B$3:$AAA$3,0))</f>
        <v>0</v>
      </c>
      <c r="AW66" s="332">
        <f>INDEX('생산수량Back-Data'!$B$5:$AAA$10041,
       MATCH($B65,'생산수량Back-Data'!$B$5:$B$10041,0),
       MATCH(AW$3,'생산수량Back-Data'!$B$3:$AAA$3,0))</f>
        <v>0</v>
      </c>
    </row>
    <row r="67" spans="2:49" ht="32.1" customHeight="1" x14ac:dyDescent="0.3">
      <c r="B67" s="444" t="s">
        <v>57</v>
      </c>
      <c r="C67" s="444" t="s">
        <v>185</v>
      </c>
      <c r="D67" s="444" t="s">
        <v>197</v>
      </c>
      <c r="E67" s="438">
        <f>ABS(SUMIFS('Fixture 총 발주수량'!AH:AH,'Fixture 총 발주수량'!B:B,생산계획!B67,'Fixture 총 발주수량'!AH:AH,"&lt;0"))</f>
        <v>0</v>
      </c>
      <c r="F67" s="431">
        <f>G67-E67</f>
        <v>0</v>
      </c>
      <c r="G67" s="437">
        <f>SUMIF(S67:AW67, "&gt;0")</f>
        <v>0</v>
      </c>
      <c r="H67" s="437">
        <f>SUMIF(S68:AW68, "&gt;0")</f>
        <v>0</v>
      </c>
      <c r="I67" s="442">
        <f>IFERROR(H67/G67,)</f>
        <v>0</v>
      </c>
      <c r="J67" s="438">
        <f>ROUNDUP(E67/400,)</f>
        <v>0</v>
      </c>
      <c r="K67" s="444" t="str">
        <f>IF(O65&lt;=P65,
     IF(O65&lt;=Q65,"1호기","4호기"),
     IF(P65&lt;=Q65,"3호기","4호기")
)</f>
        <v>1호기</v>
      </c>
      <c r="L67" s="438">
        <f>IF(K67="1호기",O65,
 IF(K67="3호기",P65,
 Q65))</f>
        <v>26</v>
      </c>
      <c r="M67" s="438">
        <f>L67+J67</f>
        <v>26</v>
      </c>
      <c r="N67" s="440">
        <v>0</v>
      </c>
      <c r="O67" s="438">
        <f>O65 + IF(K67="1호기",J67,0)</f>
        <v>26</v>
      </c>
      <c r="P67" s="438">
        <f>P65 + IF(K67="3호기",J67,0)</f>
        <v>27</v>
      </c>
      <c r="Q67" s="438">
        <f>Q65 + IF(K67="4호기",J67,0)</f>
        <v>34</v>
      </c>
      <c r="R67" s="306" t="s">
        <v>264</v>
      </c>
      <c r="S67" s="311"/>
      <c r="T67" s="312"/>
      <c r="U67" s="312"/>
      <c r="V67" s="312"/>
      <c r="W67" s="312"/>
      <c r="X67" s="312"/>
      <c r="Y67" s="312"/>
      <c r="Z67" s="312"/>
      <c r="AA67" s="312"/>
      <c r="AB67" s="312"/>
      <c r="AC67" s="312"/>
      <c r="AD67" s="312"/>
      <c r="AE67" s="312"/>
      <c r="AF67" s="312"/>
      <c r="AG67" s="312"/>
      <c r="AH67" s="312"/>
      <c r="AI67" s="312"/>
      <c r="AJ67" s="312"/>
      <c r="AK67" s="312"/>
      <c r="AL67" s="312"/>
      <c r="AM67" s="312"/>
      <c r="AN67" s="312"/>
      <c r="AO67" s="312"/>
      <c r="AP67" s="312"/>
      <c r="AQ67" s="312"/>
      <c r="AR67" s="312"/>
      <c r="AS67" s="312"/>
      <c r="AT67" s="312"/>
      <c r="AU67" s="312"/>
      <c r="AV67" s="312"/>
      <c r="AW67" s="313"/>
    </row>
    <row r="68" spans="2:49" ht="32.1" customHeight="1" thickBot="1" x14ac:dyDescent="0.35">
      <c r="B68" s="454"/>
      <c r="C68" s="454"/>
      <c r="D68" s="454"/>
      <c r="E68" s="450"/>
      <c r="F68" s="433"/>
      <c r="G68" s="452"/>
      <c r="H68" s="452"/>
      <c r="I68" s="453"/>
      <c r="J68" s="450"/>
      <c r="K68" s="454"/>
      <c r="L68" s="450"/>
      <c r="M68" s="450"/>
      <c r="N68" s="451"/>
      <c r="O68" s="450"/>
      <c r="P68" s="450"/>
      <c r="Q68" s="450"/>
      <c r="R68" s="305" t="s">
        <v>266</v>
      </c>
      <c r="S68" s="310">
        <f>INDEX('생산수량Back-Data'!$B$5:$AAA$10041,
       MATCH($B67,'생산수량Back-Data'!$B$5:$B$10041,0),
       MATCH(S$3,'생산수량Back-Data'!$B$3:$AAA$3,0))</f>
        <v>0</v>
      </c>
      <c r="T68" s="331">
        <f>INDEX('생산수량Back-Data'!$B$5:$AAA$10041,
       MATCH($B67,'생산수량Back-Data'!$B$5:$B$10041,0),
       MATCH(T$3,'생산수량Back-Data'!$B$3:$AAA$3,0))</f>
        <v>0</v>
      </c>
      <c r="U68" s="331">
        <f>INDEX('생산수량Back-Data'!$B$5:$AAA$10041,
       MATCH($B67,'생산수량Back-Data'!$B$5:$B$10041,0),
       MATCH(U$3,'생산수량Back-Data'!$B$3:$AAA$3,0))</f>
        <v>0</v>
      </c>
      <c r="V68" s="331">
        <f>INDEX('생산수량Back-Data'!$B$5:$AAA$10041,
       MATCH($B67,'생산수량Back-Data'!$B$5:$B$10041,0),
       MATCH(V$3,'생산수량Back-Data'!$B$3:$AAA$3,0))</f>
        <v>0</v>
      </c>
      <c r="W68" s="331">
        <f>INDEX('생산수량Back-Data'!$B$5:$AAA$10041,
       MATCH($B67,'생산수량Back-Data'!$B$5:$B$10041,0),
       MATCH(W$3,'생산수량Back-Data'!$B$3:$AAA$3,0))</f>
        <v>0</v>
      </c>
      <c r="X68" s="331">
        <f>INDEX('생산수량Back-Data'!$B$5:$AAA$10041,
       MATCH($B67,'생산수량Back-Data'!$B$5:$B$10041,0),
       MATCH(X$3,'생산수량Back-Data'!$B$3:$AAA$3,0))</f>
        <v>0</v>
      </c>
      <c r="Y68" s="331">
        <f>INDEX('생산수량Back-Data'!$B$5:$AAA$10041,
       MATCH($B67,'생산수량Back-Data'!$B$5:$B$10041,0),
       MATCH(Y$3,'생산수량Back-Data'!$B$3:$AAA$3,0))</f>
        <v>0</v>
      </c>
      <c r="Z68" s="331">
        <f>INDEX('생산수량Back-Data'!$B$5:$AAA$10041,
       MATCH($B67,'생산수량Back-Data'!$B$5:$B$10041,0),
       MATCH(Z$3,'생산수량Back-Data'!$B$3:$AAA$3,0))</f>
        <v>0</v>
      </c>
      <c r="AA68" s="331">
        <f>INDEX('생산수량Back-Data'!$B$5:$AAA$10041,
       MATCH($B67,'생산수량Back-Data'!$B$5:$B$10041,0),
       MATCH(AA$3,'생산수량Back-Data'!$B$3:$AAA$3,0))</f>
        <v>0</v>
      </c>
      <c r="AB68" s="331">
        <f>INDEX('생산수량Back-Data'!$B$5:$AAA$10041,
       MATCH($B67,'생산수량Back-Data'!$B$5:$B$10041,0),
       MATCH(AB$3,'생산수량Back-Data'!$B$3:$AAA$3,0))</f>
        <v>0</v>
      </c>
      <c r="AC68" s="331">
        <f>INDEX('생산수량Back-Data'!$B$5:$AAA$10041,
       MATCH($B67,'생산수량Back-Data'!$B$5:$B$10041,0),
       MATCH(AC$3,'생산수량Back-Data'!$B$3:$AAA$3,0))</f>
        <v>0</v>
      </c>
      <c r="AD68" s="331">
        <f>INDEX('생산수량Back-Data'!$B$5:$AAA$10041,
       MATCH($B67,'생산수량Back-Data'!$B$5:$B$10041,0),
       MATCH(AD$3,'생산수량Back-Data'!$B$3:$AAA$3,0))</f>
        <v>0</v>
      </c>
      <c r="AE68" s="331">
        <f>INDEX('생산수량Back-Data'!$B$5:$AAA$10041,
       MATCH($B67,'생산수량Back-Data'!$B$5:$B$10041,0),
       MATCH(AE$3,'생산수량Back-Data'!$B$3:$AAA$3,0))</f>
        <v>0</v>
      </c>
      <c r="AF68" s="331">
        <f>INDEX('생산수량Back-Data'!$B$5:$AAA$10041,
       MATCH($B67,'생산수량Back-Data'!$B$5:$B$10041,0),
       MATCH(AF$3,'생산수량Back-Data'!$B$3:$AAA$3,0))</f>
        <v>0</v>
      </c>
      <c r="AG68" s="331">
        <f>INDEX('생산수량Back-Data'!$B$5:$AAA$10041,
       MATCH($B67,'생산수량Back-Data'!$B$5:$B$10041,0),
       MATCH(AG$3,'생산수량Back-Data'!$B$3:$AAA$3,0))</f>
        <v>0</v>
      </c>
      <c r="AH68" s="331">
        <f>INDEX('생산수량Back-Data'!$B$5:$AAA$10041,
       MATCH($B67,'생산수량Back-Data'!$B$5:$B$10041,0),
       MATCH(AH$3,'생산수량Back-Data'!$B$3:$AAA$3,0))</f>
        <v>0</v>
      </c>
      <c r="AI68" s="331">
        <f>INDEX('생산수량Back-Data'!$B$5:$AAA$10041,
       MATCH($B67,'생산수량Back-Data'!$B$5:$B$10041,0),
       MATCH(AI$3,'생산수량Back-Data'!$B$3:$AAA$3,0))</f>
        <v>0</v>
      </c>
      <c r="AJ68" s="331">
        <f>INDEX('생산수량Back-Data'!$B$5:$AAA$10041,
       MATCH($B67,'생산수량Back-Data'!$B$5:$B$10041,0),
       MATCH(AJ$3,'생산수량Back-Data'!$B$3:$AAA$3,0))</f>
        <v>0</v>
      </c>
      <c r="AK68" s="331">
        <f>INDEX('생산수량Back-Data'!$B$5:$AAA$10041,
       MATCH($B67,'생산수량Back-Data'!$B$5:$B$10041,0),
       MATCH(AK$3,'생산수량Back-Data'!$B$3:$AAA$3,0))</f>
        <v>0</v>
      </c>
      <c r="AL68" s="331">
        <f>INDEX('생산수량Back-Data'!$B$5:$AAA$10041,
       MATCH($B67,'생산수량Back-Data'!$B$5:$B$10041,0),
       MATCH(AL$3,'생산수량Back-Data'!$B$3:$AAA$3,0))</f>
        <v>0</v>
      </c>
      <c r="AM68" s="331">
        <f>INDEX('생산수량Back-Data'!$B$5:$AAA$10041,
       MATCH($B67,'생산수량Back-Data'!$B$5:$B$10041,0),
       MATCH(AM$3,'생산수량Back-Data'!$B$3:$AAA$3,0))</f>
        <v>0</v>
      </c>
      <c r="AN68" s="331">
        <f>INDEX('생산수량Back-Data'!$B$5:$AAA$10041,
       MATCH($B67,'생산수량Back-Data'!$B$5:$B$10041,0),
       MATCH(AN$3,'생산수량Back-Data'!$B$3:$AAA$3,0))</f>
        <v>0</v>
      </c>
      <c r="AO68" s="331">
        <f>INDEX('생산수량Back-Data'!$B$5:$AAA$10041,
       MATCH($B67,'생산수량Back-Data'!$B$5:$B$10041,0),
       MATCH(AO$3,'생산수량Back-Data'!$B$3:$AAA$3,0))</f>
        <v>0</v>
      </c>
      <c r="AP68" s="331">
        <f>INDEX('생산수량Back-Data'!$B$5:$AAA$10041,
       MATCH($B67,'생산수량Back-Data'!$B$5:$B$10041,0),
       MATCH(AP$3,'생산수량Back-Data'!$B$3:$AAA$3,0))</f>
        <v>0</v>
      </c>
      <c r="AQ68" s="331">
        <f>INDEX('생산수량Back-Data'!$B$5:$AAA$10041,
       MATCH($B67,'생산수량Back-Data'!$B$5:$B$10041,0),
       MATCH(AQ$3,'생산수량Back-Data'!$B$3:$AAA$3,0))</f>
        <v>0</v>
      </c>
      <c r="AR68" s="331">
        <f>INDEX('생산수량Back-Data'!$B$5:$AAA$10041,
       MATCH($B67,'생산수량Back-Data'!$B$5:$B$10041,0),
       MATCH(AR$3,'생산수량Back-Data'!$B$3:$AAA$3,0))</f>
        <v>0</v>
      </c>
      <c r="AS68" s="331">
        <f>INDEX('생산수량Back-Data'!$B$5:$AAA$10041,
       MATCH($B67,'생산수량Back-Data'!$B$5:$B$10041,0),
       MATCH(AS$3,'생산수량Back-Data'!$B$3:$AAA$3,0))</f>
        <v>0</v>
      </c>
      <c r="AT68" s="331">
        <f>INDEX('생산수량Back-Data'!$B$5:$AAA$10041,
       MATCH($B67,'생산수량Back-Data'!$B$5:$B$10041,0),
       MATCH(AT$3,'생산수량Back-Data'!$B$3:$AAA$3,0))</f>
        <v>0</v>
      </c>
      <c r="AU68" s="331">
        <f>INDEX('생산수량Back-Data'!$B$5:$AAA$10041,
       MATCH($B67,'생산수량Back-Data'!$B$5:$B$10041,0),
       MATCH(AU$3,'생산수량Back-Data'!$B$3:$AAA$3,0))</f>
        <v>0</v>
      </c>
      <c r="AV68" s="331">
        <f>INDEX('생산수량Back-Data'!$B$5:$AAA$10041,
       MATCH($B67,'생산수량Back-Data'!$B$5:$B$10041,0),
       MATCH(AV$3,'생산수량Back-Data'!$B$3:$AAA$3,0))</f>
        <v>0</v>
      </c>
      <c r="AW68" s="332">
        <f>INDEX('생산수량Back-Data'!$B$5:$AAA$10041,
       MATCH($B67,'생산수량Back-Data'!$B$5:$B$10041,0),
       MATCH(AW$3,'생산수량Back-Data'!$B$3:$AAA$3,0))</f>
        <v>0</v>
      </c>
    </row>
    <row r="69" spans="2:49" ht="32.1" customHeight="1" x14ac:dyDescent="0.3">
      <c r="B69" s="449" t="s">
        <v>58</v>
      </c>
      <c r="C69" s="449" t="s">
        <v>185</v>
      </c>
      <c r="D69" s="449" t="s">
        <v>198</v>
      </c>
      <c r="E69" s="446">
        <f>ABS(SUMIFS('Fixture 총 발주수량'!AH:AH,'Fixture 총 발주수량'!B:B,생산계획!B69,'Fixture 총 발주수량'!AH:AH,"&lt;0"))</f>
        <v>125</v>
      </c>
      <c r="F69" s="434">
        <f>G69-E69</f>
        <v>-125</v>
      </c>
      <c r="G69" s="435">
        <f>SUMIF(S69:AW69, "&gt;0")</f>
        <v>0</v>
      </c>
      <c r="H69" s="435">
        <f>SUMIF(S70:AW70, "&gt;0")</f>
        <v>0</v>
      </c>
      <c r="I69" s="448">
        <f>IFERROR(H69/G69,)</f>
        <v>0</v>
      </c>
      <c r="J69" s="446">
        <f>ROUNDUP(E69/400,)</f>
        <v>1</v>
      </c>
      <c r="K69" s="449" t="str">
        <f>IF(O67&lt;=P67,
     IF(O67&lt;=Q67,"1호기","4호기"),
     IF(P67&lt;=Q67,"3호기","4호기")
)</f>
        <v>1호기</v>
      </c>
      <c r="L69" s="446">
        <f>IF(K69="1호기",O67,
 IF(K69="3호기",P67,
 Q67))</f>
        <v>26</v>
      </c>
      <c r="M69" s="446">
        <f>L69+J69</f>
        <v>27</v>
      </c>
      <c r="N69" s="447">
        <v>0</v>
      </c>
      <c r="O69" s="446">
        <f>O67 + IF(K69="1호기",J69,0)</f>
        <v>27</v>
      </c>
      <c r="P69" s="446">
        <f>P67 + IF(K69="3호기",J69,0)</f>
        <v>27</v>
      </c>
      <c r="Q69" s="446">
        <f>Q67 + IF(K69="4호기",J69,0)</f>
        <v>34</v>
      </c>
      <c r="R69" s="336" t="s">
        <v>264</v>
      </c>
      <c r="S69" s="416"/>
      <c r="T69" s="417"/>
      <c r="U69" s="417"/>
      <c r="V69" s="417"/>
      <c r="W69" s="417"/>
      <c r="X69" s="417"/>
      <c r="Y69" s="417"/>
      <c r="Z69" s="417"/>
      <c r="AA69" s="417"/>
      <c r="AB69" s="417"/>
      <c r="AC69" s="417"/>
      <c r="AD69" s="417"/>
      <c r="AE69" s="417"/>
      <c r="AF69" s="417"/>
      <c r="AG69" s="417"/>
      <c r="AH69" s="417"/>
      <c r="AI69" s="417"/>
      <c r="AJ69" s="417"/>
      <c r="AK69" s="417"/>
      <c r="AL69" s="417"/>
      <c r="AM69" s="417"/>
      <c r="AN69" s="417"/>
      <c r="AO69" s="417"/>
      <c r="AP69" s="417"/>
      <c r="AQ69" s="417"/>
      <c r="AR69" s="417"/>
      <c r="AS69" s="417"/>
      <c r="AT69" s="417"/>
      <c r="AU69" s="417"/>
      <c r="AV69" s="417"/>
      <c r="AW69" s="418"/>
    </row>
    <row r="70" spans="2:49" ht="32.1" customHeight="1" x14ac:dyDescent="0.3">
      <c r="B70" s="445"/>
      <c r="C70" s="445"/>
      <c r="D70" s="445"/>
      <c r="E70" s="439"/>
      <c r="F70" s="432"/>
      <c r="G70" s="436"/>
      <c r="H70" s="436"/>
      <c r="I70" s="443"/>
      <c r="J70" s="439"/>
      <c r="K70" s="445"/>
      <c r="L70" s="439"/>
      <c r="M70" s="439"/>
      <c r="N70" s="441"/>
      <c r="O70" s="439"/>
      <c r="P70" s="439"/>
      <c r="Q70" s="439"/>
      <c r="R70" s="306" t="s">
        <v>266</v>
      </c>
      <c r="S70" s="328">
        <f>INDEX('생산수량Back-Data'!$B$5:$AAA$10041,
       MATCH($B69,'생산수량Back-Data'!$B$5:$B$10041,0),
       MATCH(S$3,'생산수량Back-Data'!$B$3:$AAA$3,0))</f>
        <v>0</v>
      </c>
      <c r="T70" s="343">
        <f>INDEX('생산수량Back-Data'!$B$5:$AAA$10041,
       MATCH($B69,'생산수량Back-Data'!$B$5:$B$10041,0),
       MATCH(T$3,'생산수량Back-Data'!$B$3:$AAA$3,0))</f>
        <v>0</v>
      </c>
      <c r="U70" s="343">
        <f>INDEX('생산수량Back-Data'!$B$5:$AAA$10041,
       MATCH($B69,'생산수량Back-Data'!$B$5:$B$10041,0),
       MATCH(U$3,'생산수량Back-Data'!$B$3:$AAA$3,0))</f>
        <v>0</v>
      </c>
      <c r="V70" s="343">
        <f>INDEX('생산수량Back-Data'!$B$5:$AAA$10041,
       MATCH($B69,'생산수량Back-Data'!$B$5:$B$10041,0),
       MATCH(V$3,'생산수량Back-Data'!$B$3:$AAA$3,0))</f>
        <v>0</v>
      </c>
      <c r="W70" s="343">
        <f>INDEX('생산수량Back-Data'!$B$5:$AAA$10041,
       MATCH($B69,'생산수량Back-Data'!$B$5:$B$10041,0),
       MATCH(W$3,'생산수량Back-Data'!$B$3:$AAA$3,0))</f>
        <v>0</v>
      </c>
      <c r="X70" s="343">
        <f>INDEX('생산수량Back-Data'!$B$5:$AAA$10041,
       MATCH($B69,'생산수량Back-Data'!$B$5:$B$10041,0),
       MATCH(X$3,'생산수량Back-Data'!$B$3:$AAA$3,0))</f>
        <v>0</v>
      </c>
      <c r="Y70" s="343">
        <f>INDEX('생산수량Back-Data'!$B$5:$AAA$10041,
       MATCH($B69,'생산수량Back-Data'!$B$5:$B$10041,0),
       MATCH(Y$3,'생산수량Back-Data'!$B$3:$AAA$3,0))</f>
        <v>0</v>
      </c>
      <c r="Z70" s="343">
        <f>INDEX('생산수량Back-Data'!$B$5:$AAA$10041,
       MATCH($B69,'생산수량Back-Data'!$B$5:$B$10041,0),
       MATCH(Z$3,'생산수량Back-Data'!$B$3:$AAA$3,0))</f>
        <v>0</v>
      </c>
      <c r="AA70" s="343">
        <f>INDEX('생산수량Back-Data'!$B$5:$AAA$10041,
       MATCH($B69,'생산수량Back-Data'!$B$5:$B$10041,0),
       MATCH(AA$3,'생산수량Back-Data'!$B$3:$AAA$3,0))</f>
        <v>0</v>
      </c>
      <c r="AB70" s="343">
        <f>INDEX('생산수량Back-Data'!$B$5:$AAA$10041,
       MATCH($B69,'생산수량Back-Data'!$B$5:$B$10041,0),
       MATCH(AB$3,'생산수량Back-Data'!$B$3:$AAA$3,0))</f>
        <v>0</v>
      </c>
      <c r="AC70" s="343">
        <f>INDEX('생산수량Back-Data'!$B$5:$AAA$10041,
       MATCH($B69,'생산수량Back-Data'!$B$5:$B$10041,0),
       MATCH(AC$3,'생산수량Back-Data'!$B$3:$AAA$3,0))</f>
        <v>0</v>
      </c>
      <c r="AD70" s="343">
        <f>INDEX('생산수량Back-Data'!$B$5:$AAA$10041,
       MATCH($B69,'생산수량Back-Data'!$B$5:$B$10041,0),
       MATCH(AD$3,'생산수량Back-Data'!$B$3:$AAA$3,0))</f>
        <v>0</v>
      </c>
      <c r="AE70" s="343">
        <f>INDEX('생산수량Back-Data'!$B$5:$AAA$10041,
       MATCH($B69,'생산수량Back-Data'!$B$5:$B$10041,0),
       MATCH(AE$3,'생산수량Back-Data'!$B$3:$AAA$3,0))</f>
        <v>0</v>
      </c>
      <c r="AF70" s="343">
        <f>INDEX('생산수량Back-Data'!$B$5:$AAA$10041,
       MATCH($B69,'생산수량Back-Data'!$B$5:$B$10041,0),
       MATCH(AF$3,'생산수량Back-Data'!$B$3:$AAA$3,0))</f>
        <v>0</v>
      </c>
      <c r="AG70" s="343">
        <f>INDEX('생산수량Back-Data'!$B$5:$AAA$10041,
       MATCH($B69,'생산수량Back-Data'!$B$5:$B$10041,0),
       MATCH(AG$3,'생산수량Back-Data'!$B$3:$AAA$3,0))</f>
        <v>0</v>
      </c>
      <c r="AH70" s="343">
        <f>INDEX('생산수량Back-Data'!$B$5:$AAA$10041,
       MATCH($B69,'생산수량Back-Data'!$B$5:$B$10041,0),
       MATCH(AH$3,'생산수량Back-Data'!$B$3:$AAA$3,0))</f>
        <v>0</v>
      </c>
      <c r="AI70" s="343">
        <f>INDEX('생산수량Back-Data'!$B$5:$AAA$10041,
       MATCH($B69,'생산수량Back-Data'!$B$5:$B$10041,0),
       MATCH(AI$3,'생산수량Back-Data'!$B$3:$AAA$3,0))</f>
        <v>0</v>
      </c>
      <c r="AJ70" s="343">
        <f>INDEX('생산수량Back-Data'!$B$5:$AAA$10041,
       MATCH($B69,'생산수량Back-Data'!$B$5:$B$10041,0),
       MATCH(AJ$3,'생산수량Back-Data'!$B$3:$AAA$3,0))</f>
        <v>0</v>
      </c>
      <c r="AK70" s="343">
        <f>INDEX('생산수량Back-Data'!$B$5:$AAA$10041,
       MATCH($B69,'생산수량Back-Data'!$B$5:$B$10041,0),
       MATCH(AK$3,'생산수량Back-Data'!$B$3:$AAA$3,0))</f>
        <v>0</v>
      </c>
      <c r="AL70" s="343">
        <f>INDEX('생산수량Back-Data'!$B$5:$AAA$10041,
       MATCH($B69,'생산수량Back-Data'!$B$5:$B$10041,0),
       MATCH(AL$3,'생산수량Back-Data'!$B$3:$AAA$3,0))</f>
        <v>0</v>
      </c>
      <c r="AM70" s="343">
        <f>INDEX('생산수량Back-Data'!$B$5:$AAA$10041,
       MATCH($B69,'생산수량Back-Data'!$B$5:$B$10041,0),
       MATCH(AM$3,'생산수량Back-Data'!$B$3:$AAA$3,0))</f>
        <v>0</v>
      </c>
      <c r="AN70" s="343">
        <f>INDEX('생산수량Back-Data'!$B$5:$AAA$10041,
       MATCH($B69,'생산수량Back-Data'!$B$5:$B$10041,0),
       MATCH(AN$3,'생산수량Back-Data'!$B$3:$AAA$3,0))</f>
        <v>0</v>
      </c>
      <c r="AO70" s="343">
        <f>INDEX('생산수량Back-Data'!$B$5:$AAA$10041,
       MATCH($B69,'생산수량Back-Data'!$B$5:$B$10041,0),
       MATCH(AO$3,'생산수량Back-Data'!$B$3:$AAA$3,0))</f>
        <v>0</v>
      </c>
      <c r="AP70" s="343">
        <f>INDEX('생산수량Back-Data'!$B$5:$AAA$10041,
       MATCH($B69,'생산수량Back-Data'!$B$5:$B$10041,0),
       MATCH(AP$3,'생산수량Back-Data'!$B$3:$AAA$3,0))</f>
        <v>0</v>
      </c>
      <c r="AQ70" s="343">
        <f>INDEX('생산수량Back-Data'!$B$5:$AAA$10041,
       MATCH($B69,'생산수량Back-Data'!$B$5:$B$10041,0),
       MATCH(AQ$3,'생산수량Back-Data'!$B$3:$AAA$3,0))</f>
        <v>0</v>
      </c>
      <c r="AR70" s="343">
        <f>INDEX('생산수량Back-Data'!$B$5:$AAA$10041,
       MATCH($B69,'생산수량Back-Data'!$B$5:$B$10041,0),
       MATCH(AR$3,'생산수량Back-Data'!$B$3:$AAA$3,0))</f>
        <v>0</v>
      </c>
      <c r="AS70" s="343">
        <f>INDEX('생산수량Back-Data'!$B$5:$AAA$10041,
       MATCH($B69,'생산수량Back-Data'!$B$5:$B$10041,0),
       MATCH(AS$3,'생산수량Back-Data'!$B$3:$AAA$3,0))</f>
        <v>0</v>
      </c>
      <c r="AT70" s="343">
        <f>INDEX('생산수량Back-Data'!$B$5:$AAA$10041,
       MATCH($B69,'생산수량Back-Data'!$B$5:$B$10041,0),
       MATCH(AT$3,'생산수량Back-Data'!$B$3:$AAA$3,0))</f>
        <v>0</v>
      </c>
      <c r="AU70" s="343">
        <f>INDEX('생산수량Back-Data'!$B$5:$AAA$10041,
       MATCH($B69,'생산수량Back-Data'!$B$5:$B$10041,0),
       MATCH(AU$3,'생산수량Back-Data'!$B$3:$AAA$3,0))</f>
        <v>0</v>
      </c>
      <c r="AV70" s="343">
        <f>INDEX('생산수량Back-Data'!$B$5:$AAA$10041,
       MATCH($B69,'생산수량Back-Data'!$B$5:$B$10041,0),
       MATCH(AV$3,'생산수량Back-Data'!$B$3:$AAA$3,0))</f>
        <v>0</v>
      </c>
      <c r="AW70" s="344">
        <f>INDEX('생산수량Back-Data'!$B$5:$AAA$10041,
       MATCH($B69,'생산수량Back-Data'!$B$5:$B$10041,0),
       MATCH(AW$3,'생산수량Back-Data'!$B$3:$AAA$3,0))</f>
        <v>0</v>
      </c>
    </row>
    <row r="71" spans="2:49" ht="32.1" customHeight="1" x14ac:dyDescent="0.3">
      <c r="B71" s="444" t="s">
        <v>59</v>
      </c>
      <c r="C71" s="444" t="s">
        <v>185</v>
      </c>
      <c r="D71" s="444" t="s">
        <v>199</v>
      </c>
      <c r="E71" s="438">
        <f>ABS(SUMIFS('Fixture 총 발주수량'!AH:AH,'Fixture 총 발주수량'!B:B,생산계획!B71,'Fixture 총 발주수량'!AH:AH,"&lt;0"))</f>
        <v>3390</v>
      </c>
      <c r="F71" s="431">
        <f>G71-E71</f>
        <v>-3390</v>
      </c>
      <c r="G71" s="437">
        <f>SUMIF(S71:AW71, "&gt;0")</f>
        <v>0</v>
      </c>
      <c r="H71" s="437">
        <f>SUMIF(S72:AW72, "&gt;0")</f>
        <v>0</v>
      </c>
      <c r="I71" s="442">
        <f>IFERROR(H71/G71,)</f>
        <v>0</v>
      </c>
      <c r="J71" s="438">
        <f>ROUNDUP(E71/400,)</f>
        <v>9</v>
      </c>
      <c r="K71" s="444" t="str">
        <f>IF(O69&lt;=P69,
     IF(O69&lt;=Q69,"1호기","4호기"),
     IF(P69&lt;=Q69,"3호기","4호기")
)</f>
        <v>1호기</v>
      </c>
      <c r="L71" s="438">
        <f>IF(K71="1호기",O69,
 IF(K71="3호기",P69,
 Q69))</f>
        <v>27</v>
      </c>
      <c r="M71" s="438">
        <f>L71+J71</f>
        <v>36</v>
      </c>
      <c r="N71" s="440">
        <v>0</v>
      </c>
      <c r="O71" s="438">
        <f>O69 + IF(K71="1호기",J71,0)</f>
        <v>36</v>
      </c>
      <c r="P71" s="438">
        <f>P69 + IF(K71="3호기",J71,0)</f>
        <v>27</v>
      </c>
      <c r="Q71" s="438">
        <f>Q69 + IF(K71="4호기",J71,0)</f>
        <v>34</v>
      </c>
      <c r="R71" s="306" t="s">
        <v>264</v>
      </c>
      <c r="S71" s="311"/>
      <c r="T71" s="312"/>
      <c r="U71" s="312"/>
      <c r="V71" s="312"/>
      <c r="W71" s="312"/>
      <c r="X71" s="312"/>
      <c r="Y71" s="312"/>
      <c r="Z71" s="312"/>
      <c r="AA71" s="312"/>
      <c r="AB71" s="312"/>
      <c r="AC71" s="312"/>
      <c r="AD71" s="312"/>
      <c r="AE71" s="312"/>
      <c r="AF71" s="312"/>
      <c r="AG71" s="312"/>
      <c r="AH71" s="312"/>
      <c r="AI71" s="312"/>
      <c r="AJ71" s="312"/>
      <c r="AK71" s="312"/>
      <c r="AL71" s="312"/>
      <c r="AM71" s="312"/>
      <c r="AN71" s="312"/>
      <c r="AO71" s="312"/>
      <c r="AP71" s="312"/>
      <c r="AQ71" s="312"/>
      <c r="AR71" s="312"/>
      <c r="AS71" s="312"/>
      <c r="AT71" s="312"/>
      <c r="AU71" s="312"/>
      <c r="AV71" s="312"/>
      <c r="AW71" s="313"/>
    </row>
    <row r="72" spans="2:49" ht="32.1" customHeight="1" x14ac:dyDescent="0.3">
      <c r="B72" s="445"/>
      <c r="C72" s="445"/>
      <c r="D72" s="445"/>
      <c r="E72" s="439"/>
      <c r="F72" s="432"/>
      <c r="G72" s="436"/>
      <c r="H72" s="436"/>
      <c r="I72" s="443"/>
      <c r="J72" s="439"/>
      <c r="K72" s="445"/>
      <c r="L72" s="439"/>
      <c r="M72" s="439"/>
      <c r="N72" s="441"/>
      <c r="O72" s="439"/>
      <c r="P72" s="439"/>
      <c r="Q72" s="439"/>
      <c r="R72" s="306" t="s">
        <v>266</v>
      </c>
      <c r="S72" s="310">
        <f>INDEX('생산수량Back-Data'!$B$5:$AAA$10041,
       MATCH($B71,'생산수량Back-Data'!$B$5:$B$10041,0),
       MATCH(S$3,'생산수량Back-Data'!$B$3:$AAA$3,0))</f>
        <v>0</v>
      </c>
      <c r="T72" s="331">
        <f>INDEX('생산수량Back-Data'!$B$5:$AAA$10041,
       MATCH($B71,'생산수량Back-Data'!$B$5:$B$10041,0),
       MATCH(T$3,'생산수량Back-Data'!$B$3:$AAA$3,0))</f>
        <v>0</v>
      </c>
      <c r="U72" s="331">
        <f>INDEX('생산수량Back-Data'!$B$5:$AAA$10041,
       MATCH($B71,'생산수량Back-Data'!$B$5:$B$10041,0),
       MATCH(U$3,'생산수량Back-Data'!$B$3:$AAA$3,0))</f>
        <v>0</v>
      </c>
      <c r="V72" s="331">
        <f>INDEX('생산수량Back-Data'!$B$5:$AAA$10041,
       MATCH($B71,'생산수량Back-Data'!$B$5:$B$10041,0),
       MATCH(V$3,'생산수량Back-Data'!$B$3:$AAA$3,0))</f>
        <v>0</v>
      </c>
      <c r="W72" s="331">
        <f>INDEX('생산수량Back-Data'!$B$5:$AAA$10041,
       MATCH($B71,'생산수량Back-Data'!$B$5:$B$10041,0),
       MATCH(W$3,'생산수량Back-Data'!$B$3:$AAA$3,0))</f>
        <v>0</v>
      </c>
      <c r="X72" s="331">
        <f>INDEX('생산수량Back-Data'!$B$5:$AAA$10041,
       MATCH($B71,'생산수량Back-Data'!$B$5:$B$10041,0),
       MATCH(X$3,'생산수량Back-Data'!$B$3:$AAA$3,0))</f>
        <v>0</v>
      </c>
      <c r="Y72" s="331">
        <f>INDEX('생산수량Back-Data'!$B$5:$AAA$10041,
       MATCH($B71,'생산수량Back-Data'!$B$5:$B$10041,0),
       MATCH(Y$3,'생산수량Back-Data'!$B$3:$AAA$3,0))</f>
        <v>0</v>
      </c>
      <c r="Z72" s="331">
        <f>INDEX('생산수량Back-Data'!$B$5:$AAA$10041,
       MATCH($B71,'생산수량Back-Data'!$B$5:$B$10041,0),
       MATCH(Z$3,'생산수량Back-Data'!$B$3:$AAA$3,0))</f>
        <v>0</v>
      </c>
      <c r="AA72" s="331">
        <f>INDEX('생산수량Back-Data'!$B$5:$AAA$10041,
       MATCH($B71,'생산수량Back-Data'!$B$5:$B$10041,0),
       MATCH(AA$3,'생산수량Back-Data'!$B$3:$AAA$3,0))</f>
        <v>0</v>
      </c>
      <c r="AB72" s="331">
        <f>INDEX('생산수량Back-Data'!$B$5:$AAA$10041,
       MATCH($B71,'생산수량Back-Data'!$B$5:$B$10041,0),
       MATCH(AB$3,'생산수량Back-Data'!$B$3:$AAA$3,0))</f>
        <v>0</v>
      </c>
      <c r="AC72" s="331">
        <f>INDEX('생산수량Back-Data'!$B$5:$AAA$10041,
       MATCH($B71,'생산수량Back-Data'!$B$5:$B$10041,0),
       MATCH(AC$3,'생산수량Back-Data'!$B$3:$AAA$3,0))</f>
        <v>0</v>
      </c>
      <c r="AD72" s="331">
        <f>INDEX('생산수량Back-Data'!$B$5:$AAA$10041,
       MATCH($B71,'생산수량Back-Data'!$B$5:$B$10041,0),
       MATCH(AD$3,'생산수량Back-Data'!$B$3:$AAA$3,0))</f>
        <v>0</v>
      </c>
      <c r="AE72" s="331">
        <f>INDEX('생산수량Back-Data'!$B$5:$AAA$10041,
       MATCH($B71,'생산수량Back-Data'!$B$5:$B$10041,0),
       MATCH(AE$3,'생산수량Back-Data'!$B$3:$AAA$3,0))</f>
        <v>0</v>
      </c>
      <c r="AF72" s="331">
        <f>INDEX('생산수량Back-Data'!$B$5:$AAA$10041,
       MATCH($B71,'생산수량Back-Data'!$B$5:$B$10041,0),
       MATCH(AF$3,'생산수량Back-Data'!$B$3:$AAA$3,0))</f>
        <v>0</v>
      </c>
      <c r="AG72" s="331">
        <f>INDEX('생산수량Back-Data'!$B$5:$AAA$10041,
       MATCH($B71,'생산수량Back-Data'!$B$5:$B$10041,0),
       MATCH(AG$3,'생산수량Back-Data'!$B$3:$AAA$3,0))</f>
        <v>0</v>
      </c>
      <c r="AH72" s="331">
        <f>INDEX('생산수량Back-Data'!$B$5:$AAA$10041,
       MATCH($B71,'생산수량Back-Data'!$B$5:$B$10041,0),
       MATCH(AH$3,'생산수량Back-Data'!$B$3:$AAA$3,0))</f>
        <v>0</v>
      </c>
      <c r="AI72" s="331">
        <f>INDEX('생산수량Back-Data'!$B$5:$AAA$10041,
       MATCH($B71,'생산수량Back-Data'!$B$5:$B$10041,0),
       MATCH(AI$3,'생산수량Back-Data'!$B$3:$AAA$3,0))</f>
        <v>0</v>
      </c>
      <c r="AJ72" s="331">
        <f>INDEX('생산수량Back-Data'!$B$5:$AAA$10041,
       MATCH($B71,'생산수량Back-Data'!$B$5:$B$10041,0),
       MATCH(AJ$3,'생산수량Back-Data'!$B$3:$AAA$3,0))</f>
        <v>0</v>
      </c>
      <c r="AK72" s="331">
        <f>INDEX('생산수량Back-Data'!$B$5:$AAA$10041,
       MATCH($B71,'생산수량Back-Data'!$B$5:$B$10041,0),
       MATCH(AK$3,'생산수량Back-Data'!$B$3:$AAA$3,0))</f>
        <v>0</v>
      </c>
      <c r="AL72" s="331">
        <f>INDEX('생산수량Back-Data'!$B$5:$AAA$10041,
       MATCH($B71,'생산수량Back-Data'!$B$5:$B$10041,0),
       MATCH(AL$3,'생산수량Back-Data'!$B$3:$AAA$3,0))</f>
        <v>0</v>
      </c>
      <c r="AM72" s="331">
        <f>INDEX('생산수량Back-Data'!$B$5:$AAA$10041,
       MATCH($B71,'생산수량Back-Data'!$B$5:$B$10041,0),
       MATCH(AM$3,'생산수량Back-Data'!$B$3:$AAA$3,0))</f>
        <v>0</v>
      </c>
      <c r="AN72" s="331">
        <f>INDEX('생산수량Back-Data'!$B$5:$AAA$10041,
       MATCH($B71,'생산수량Back-Data'!$B$5:$B$10041,0),
       MATCH(AN$3,'생산수량Back-Data'!$B$3:$AAA$3,0))</f>
        <v>0</v>
      </c>
      <c r="AO72" s="331">
        <f>INDEX('생산수량Back-Data'!$B$5:$AAA$10041,
       MATCH($B71,'생산수량Back-Data'!$B$5:$B$10041,0),
       MATCH(AO$3,'생산수량Back-Data'!$B$3:$AAA$3,0))</f>
        <v>0</v>
      </c>
      <c r="AP72" s="331">
        <f>INDEX('생산수량Back-Data'!$B$5:$AAA$10041,
       MATCH($B71,'생산수량Back-Data'!$B$5:$B$10041,0),
       MATCH(AP$3,'생산수량Back-Data'!$B$3:$AAA$3,0))</f>
        <v>0</v>
      </c>
      <c r="AQ72" s="331">
        <f>INDEX('생산수량Back-Data'!$B$5:$AAA$10041,
       MATCH($B71,'생산수량Back-Data'!$B$5:$B$10041,0),
       MATCH(AQ$3,'생산수량Back-Data'!$B$3:$AAA$3,0))</f>
        <v>0</v>
      </c>
      <c r="AR72" s="331">
        <f>INDEX('생산수량Back-Data'!$B$5:$AAA$10041,
       MATCH($B71,'생산수량Back-Data'!$B$5:$B$10041,0),
       MATCH(AR$3,'생산수량Back-Data'!$B$3:$AAA$3,0))</f>
        <v>0</v>
      </c>
      <c r="AS72" s="331">
        <f>INDEX('생산수량Back-Data'!$B$5:$AAA$10041,
       MATCH($B71,'생산수량Back-Data'!$B$5:$B$10041,0),
       MATCH(AS$3,'생산수량Back-Data'!$B$3:$AAA$3,0))</f>
        <v>0</v>
      </c>
      <c r="AT72" s="331">
        <f>INDEX('생산수량Back-Data'!$B$5:$AAA$10041,
       MATCH($B71,'생산수량Back-Data'!$B$5:$B$10041,0),
       MATCH(AT$3,'생산수량Back-Data'!$B$3:$AAA$3,0))</f>
        <v>0</v>
      </c>
      <c r="AU72" s="331">
        <f>INDEX('생산수량Back-Data'!$B$5:$AAA$10041,
       MATCH($B71,'생산수량Back-Data'!$B$5:$B$10041,0),
       MATCH(AU$3,'생산수량Back-Data'!$B$3:$AAA$3,0))</f>
        <v>0</v>
      </c>
      <c r="AV72" s="331">
        <f>INDEX('생산수량Back-Data'!$B$5:$AAA$10041,
       MATCH($B71,'생산수량Back-Data'!$B$5:$B$10041,0),
       MATCH(AV$3,'생산수량Back-Data'!$B$3:$AAA$3,0))</f>
        <v>0</v>
      </c>
      <c r="AW72" s="332">
        <f>INDEX('생산수량Back-Data'!$B$5:$AAA$10041,
       MATCH($B71,'생산수량Back-Data'!$B$5:$B$10041,0),
       MATCH(AW$3,'생산수량Back-Data'!$B$3:$AAA$3,0))</f>
        <v>0</v>
      </c>
    </row>
    <row r="73" spans="2:49" ht="32.1" customHeight="1" x14ac:dyDescent="0.3">
      <c r="B73" s="444" t="s">
        <v>61</v>
      </c>
      <c r="C73" s="444" t="s">
        <v>185</v>
      </c>
      <c r="D73" s="444" t="s">
        <v>201</v>
      </c>
      <c r="E73" s="438">
        <f>ABS(SUMIFS('Fixture 총 발주수량'!AH:AH,'Fixture 총 발주수량'!B:B,생산계획!B73,'Fixture 총 발주수량'!AH:AH,"&lt;0"))</f>
        <v>5169</v>
      </c>
      <c r="F73" s="431">
        <f>G73-E73</f>
        <v>-5169</v>
      </c>
      <c r="G73" s="437">
        <f>SUMIF(S73:AW73, "&gt;0")</f>
        <v>0</v>
      </c>
      <c r="H73" s="437">
        <f>SUMIF(S74:AW74, "&gt;0")</f>
        <v>0</v>
      </c>
      <c r="I73" s="442">
        <f>IFERROR(H73/G73,)</f>
        <v>0</v>
      </c>
      <c r="J73" s="438">
        <f>ROUNDUP(E73/400,)</f>
        <v>13</v>
      </c>
      <c r="K73" s="444" t="str">
        <f>IF(O71&lt;=P71,
     IF(O71&lt;=Q71,"1호기","4호기"),
     IF(P71&lt;=Q71,"3호기","4호기")
)</f>
        <v>3호기</v>
      </c>
      <c r="L73" s="438">
        <f>IF(K73="1호기",O71,
 IF(K73="3호기",P71,
 Q71))</f>
        <v>27</v>
      </c>
      <c r="M73" s="438">
        <f>L73+J73</f>
        <v>40</v>
      </c>
      <c r="N73" s="440">
        <v>0</v>
      </c>
      <c r="O73" s="438">
        <f>O71 + IF(K73="1호기",J73,0)</f>
        <v>36</v>
      </c>
      <c r="P73" s="438">
        <f>P71 + IF(K73="3호기",J73,0)</f>
        <v>40</v>
      </c>
      <c r="Q73" s="438">
        <f>Q71 + IF(K73="4호기",J73,0)</f>
        <v>34</v>
      </c>
      <c r="R73" s="306" t="s">
        <v>264</v>
      </c>
      <c r="S73" s="311"/>
      <c r="T73" s="312"/>
      <c r="U73" s="312"/>
      <c r="V73" s="312"/>
      <c r="W73" s="312"/>
      <c r="X73" s="312"/>
      <c r="Y73" s="312"/>
      <c r="Z73" s="312"/>
      <c r="AA73" s="312"/>
      <c r="AB73" s="312"/>
      <c r="AC73" s="312"/>
      <c r="AD73" s="312"/>
      <c r="AE73" s="312"/>
      <c r="AF73" s="312"/>
      <c r="AG73" s="312"/>
      <c r="AH73" s="312"/>
      <c r="AI73" s="312"/>
      <c r="AJ73" s="312"/>
      <c r="AK73" s="312"/>
      <c r="AL73" s="312"/>
      <c r="AM73" s="312"/>
      <c r="AN73" s="312"/>
      <c r="AO73" s="312"/>
      <c r="AP73" s="312"/>
      <c r="AQ73" s="312"/>
      <c r="AR73" s="312"/>
      <c r="AS73" s="312"/>
      <c r="AT73" s="312"/>
      <c r="AU73" s="312"/>
      <c r="AV73" s="312"/>
      <c r="AW73" s="313"/>
    </row>
    <row r="74" spans="2:49" ht="32.1" customHeight="1" x14ac:dyDescent="0.3">
      <c r="B74" s="445"/>
      <c r="C74" s="445"/>
      <c r="D74" s="445"/>
      <c r="E74" s="439"/>
      <c r="F74" s="432"/>
      <c r="G74" s="436"/>
      <c r="H74" s="436"/>
      <c r="I74" s="443"/>
      <c r="J74" s="439"/>
      <c r="K74" s="445"/>
      <c r="L74" s="439"/>
      <c r="M74" s="439"/>
      <c r="N74" s="441"/>
      <c r="O74" s="439"/>
      <c r="P74" s="439"/>
      <c r="Q74" s="439"/>
      <c r="R74" s="306" t="s">
        <v>266</v>
      </c>
      <c r="S74" s="310">
        <f>INDEX('생산수량Back-Data'!$B$5:$AAA$10041,
       MATCH($B73,'생산수량Back-Data'!$B$5:$B$10041,0),
       MATCH(S$3,'생산수량Back-Data'!$B$3:$AAA$3,0))</f>
        <v>0</v>
      </c>
      <c r="T74" s="331">
        <f>INDEX('생산수량Back-Data'!$B$5:$AAA$10041,
       MATCH($B73,'생산수량Back-Data'!$B$5:$B$10041,0),
       MATCH(T$3,'생산수량Back-Data'!$B$3:$AAA$3,0))</f>
        <v>0</v>
      </c>
      <c r="U74" s="331">
        <f>INDEX('생산수량Back-Data'!$B$5:$AAA$10041,
       MATCH($B73,'생산수량Back-Data'!$B$5:$B$10041,0),
       MATCH(U$3,'생산수량Back-Data'!$B$3:$AAA$3,0))</f>
        <v>0</v>
      </c>
      <c r="V74" s="331">
        <f>INDEX('생산수량Back-Data'!$B$5:$AAA$10041,
       MATCH($B73,'생산수량Back-Data'!$B$5:$B$10041,0),
       MATCH(V$3,'생산수량Back-Data'!$B$3:$AAA$3,0))</f>
        <v>0</v>
      </c>
      <c r="W74" s="331">
        <f>INDEX('생산수량Back-Data'!$B$5:$AAA$10041,
       MATCH($B73,'생산수량Back-Data'!$B$5:$B$10041,0),
       MATCH(W$3,'생산수량Back-Data'!$B$3:$AAA$3,0))</f>
        <v>0</v>
      </c>
      <c r="X74" s="331">
        <f>INDEX('생산수량Back-Data'!$B$5:$AAA$10041,
       MATCH($B73,'생산수량Back-Data'!$B$5:$B$10041,0),
       MATCH(X$3,'생산수량Back-Data'!$B$3:$AAA$3,0))</f>
        <v>0</v>
      </c>
      <c r="Y74" s="331">
        <f>INDEX('생산수량Back-Data'!$B$5:$AAA$10041,
       MATCH($B73,'생산수량Back-Data'!$B$5:$B$10041,0),
       MATCH(Y$3,'생산수량Back-Data'!$B$3:$AAA$3,0))</f>
        <v>0</v>
      </c>
      <c r="Z74" s="331">
        <f>INDEX('생산수량Back-Data'!$B$5:$AAA$10041,
       MATCH($B73,'생산수량Back-Data'!$B$5:$B$10041,0),
       MATCH(Z$3,'생산수량Back-Data'!$B$3:$AAA$3,0))</f>
        <v>0</v>
      </c>
      <c r="AA74" s="331">
        <f>INDEX('생산수량Back-Data'!$B$5:$AAA$10041,
       MATCH($B73,'생산수량Back-Data'!$B$5:$B$10041,0),
       MATCH(AA$3,'생산수량Back-Data'!$B$3:$AAA$3,0))</f>
        <v>0</v>
      </c>
      <c r="AB74" s="331">
        <f>INDEX('생산수량Back-Data'!$B$5:$AAA$10041,
       MATCH($B73,'생산수량Back-Data'!$B$5:$B$10041,0),
       MATCH(AB$3,'생산수량Back-Data'!$B$3:$AAA$3,0))</f>
        <v>0</v>
      </c>
      <c r="AC74" s="331">
        <f>INDEX('생산수량Back-Data'!$B$5:$AAA$10041,
       MATCH($B73,'생산수량Back-Data'!$B$5:$B$10041,0),
       MATCH(AC$3,'생산수량Back-Data'!$B$3:$AAA$3,0))</f>
        <v>0</v>
      </c>
      <c r="AD74" s="331">
        <f>INDEX('생산수량Back-Data'!$B$5:$AAA$10041,
       MATCH($B73,'생산수량Back-Data'!$B$5:$B$10041,0),
       MATCH(AD$3,'생산수량Back-Data'!$B$3:$AAA$3,0))</f>
        <v>0</v>
      </c>
      <c r="AE74" s="331">
        <f>INDEX('생산수량Back-Data'!$B$5:$AAA$10041,
       MATCH($B73,'생산수량Back-Data'!$B$5:$B$10041,0),
       MATCH(AE$3,'생산수량Back-Data'!$B$3:$AAA$3,0))</f>
        <v>0</v>
      </c>
      <c r="AF74" s="331">
        <f>INDEX('생산수량Back-Data'!$B$5:$AAA$10041,
       MATCH($B73,'생산수량Back-Data'!$B$5:$B$10041,0),
       MATCH(AF$3,'생산수량Back-Data'!$B$3:$AAA$3,0))</f>
        <v>0</v>
      </c>
      <c r="AG74" s="331">
        <f>INDEX('생산수량Back-Data'!$B$5:$AAA$10041,
       MATCH($B73,'생산수량Back-Data'!$B$5:$B$10041,0),
       MATCH(AG$3,'생산수량Back-Data'!$B$3:$AAA$3,0))</f>
        <v>0</v>
      </c>
      <c r="AH74" s="331">
        <f>INDEX('생산수량Back-Data'!$B$5:$AAA$10041,
       MATCH($B73,'생산수량Back-Data'!$B$5:$B$10041,0),
       MATCH(AH$3,'생산수량Back-Data'!$B$3:$AAA$3,0))</f>
        <v>0</v>
      </c>
      <c r="AI74" s="331">
        <f>INDEX('생산수량Back-Data'!$B$5:$AAA$10041,
       MATCH($B73,'생산수량Back-Data'!$B$5:$B$10041,0),
       MATCH(AI$3,'생산수량Back-Data'!$B$3:$AAA$3,0))</f>
        <v>0</v>
      </c>
      <c r="AJ74" s="331">
        <f>INDEX('생산수량Back-Data'!$B$5:$AAA$10041,
       MATCH($B73,'생산수량Back-Data'!$B$5:$B$10041,0),
       MATCH(AJ$3,'생산수량Back-Data'!$B$3:$AAA$3,0))</f>
        <v>0</v>
      </c>
      <c r="AK74" s="331">
        <f>INDEX('생산수량Back-Data'!$B$5:$AAA$10041,
       MATCH($B73,'생산수량Back-Data'!$B$5:$B$10041,0),
       MATCH(AK$3,'생산수량Back-Data'!$B$3:$AAA$3,0))</f>
        <v>0</v>
      </c>
      <c r="AL74" s="331">
        <f>INDEX('생산수량Back-Data'!$B$5:$AAA$10041,
       MATCH($B73,'생산수량Back-Data'!$B$5:$B$10041,0),
       MATCH(AL$3,'생산수량Back-Data'!$B$3:$AAA$3,0))</f>
        <v>0</v>
      </c>
      <c r="AM74" s="331">
        <f>INDEX('생산수량Back-Data'!$B$5:$AAA$10041,
       MATCH($B73,'생산수량Back-Data'!$B$5:$B$10041,0),
       MATCH(AM$3,'생산수량Back-Data'!$B$3:$AAA$3,0))</f>
        <v>0</v>
      </c>
      <c r="AN74" s="331">
        <f>INDEX('생산수량Back-Data'!$B$5:$AAA$10041,
       MATCH($B73,'생산수량Back-Data'!$B$5:$B$10041,0),
       MATCH(AN$3,'생산수량Back-Data'!$B$3:$AAA$3,0))</f>
        <v>0</v>
      </c>
      <c r="AO74" s="331">
        <f>INDEX('생산수량Back-Data'!$B$5:$AAA$10041,
       MATCH($B73,'생산수량Back-Data'!$B$5:$B$10041,0),
       MATCH(AO$3,'생산수량Back-Data'!$B$3:$AAA$3,0))</f>
        <v>0</v>
      </c>
      <c r="AP74" s="331">
        <f>INDEX('생산수량Back-Data'!$B$5:$AAA$10041,
       MATCH($B73,'생산수량Back-Data'!$B$5:$B$10041,0),
       MATCH(AP$3,'생산수량Back-Data'!$B$3:$AAA$3,0))</f>
        <v>0</v>
      </c>
      <c r="AQ74" s="331">
        <f>INDEX('생산수량Back-Data'!$B$5:$AAA$10041,
       MATCH($B73,'생산수량Back-Data'!$B$5:$B$10041,0),
       MATCH(AQ$3,'생산수량Back-Data'!$B$3:$AAA$3,0))</f>
        <v>0</v>
      </c>
      <c r="AR74" s="331">
        <f>INDEX('생산수량Back-Data'!$B$5:$AAA$10041,
       MATCH($B73,'생산수량Back-Data'!$B$5:$B$10041,0),
       MATCH(AR$3,'생산수량Back-Data'!$B$3:$AAA$3,0))</f>
        <v>0</v>
      </c>
      <c r="AS74" s="331">
        <f>INDEX('생산수량Back-Data'!$B$5:$AAA$10041,
       MATCH($B73,'생산수량Back-Data'!$B$5:$B$10041,0),
       MATCH(AS$3,'생산수량Back-Data'!$B$3:$AAA$3,0))</f>
        <v>0</v>
      </c>
      <c r="AT74" s="331">
        <f>INDEX('생산수량Back-Data'!$B$5:$AAA$10041,
       MATCH($B73,'생산수량Back-Data'!$B$5:$B$10041,0),
       MATCH(AT$3,'생산수량Back-Data'!$B$3:$AAA$3,0))</f>
        <v>0</v>
      </c>
      <c r="AU74" s="331">
        <f>INDEX('생산수량Back-Data'!$B$5:$AAA$10041,
       MATCH($B73,'생산수량Back-Data'!$B$5:$B$10041,0),
       MATCH(AU$3,'생산수량Back-Data'!$B$3:$AAA$3,0))</f>
        <v>0</v>
      </c>
      <c r="AV74" s="331">
        <f>INDEX('생산수량Back-Data'!$B$5:$AAA$10041,
       MATCH($B73,'생산수량Back-Data'!$B$5:$B$10041,0),
       MATCH(AV$3,'생산수량Back-Data'!$B$3:$AAA$3,0))</f>
        <v>0</v>
      </c>
      <c r="AW74" s="332">
        <f>INDEX('생산수량Back-Data'!$B$5:$AAA$10041,
       MATCH($B73,'생산수량Back-Data'!$B$5:$B$10041,0),
       MATCH(AW$3,'생산수량Back-Data'!$B$3:$AAA$3,0))</f>
        <v>0</v>
      </c>
    </row>
    <row r="75" spans="2:49" ht="32.1" customHeight="1" x14ac:dyDescent="0.3">
      <c r="B75" s="444" t="s">
        <v>62</v>
      </c>
      <c r="C75" s="444" t="s">
        <v>185</v>
      </c>
      <c r="D75" s="444" t="s">
        <v>202</v>
      </c>
      <c r="E75" s="438">
        <f>ABS(SUMIFS('Fixture 총 발주수량'!AH:AH,'Fixture 총 발주수량'!B:B,생산계획!B75,'Fixture 총 발주수량'!AH:AH,"&lt;0"))</f>
        <v>735</v>
      </c>
      <c r="F75" s="431">
        <f>G75-E75</f>
        <v>-735</v>
      </c>
      <c r="G75" s="437">
        <f>SUMIF(S75:AW75, "&gt;0")</f>
        <v>0</v>
      </c>
      <c r="H75" s="437">
        <f>SUMIF(S76:AW76, "&gt;0")</f>
        <v>0</v>
      </c>
      <c r="I75" s="442">
        <f>IFERROR(H75/G75,)</f>
        <v>0</v>
      </c>
      <c r="J75" s="438">
        <f>ROUNDUP(E75/400,)</f>
        <v>2</v>
      </c>
      <c r="K75" s="444" t="str">
        <f>IF(O73&lt;=P73,
     IF(O73&lt;=Q73,"1호기","4호기"),
     IF(P73&lt;=Q73,"3호기","4호기")
)</f>
        <v>4호기</v>
      </c>
      <c r="L75" s="438">
        <f>IF(K75="1호기",O73,
 IF(K75="3호기",P73,
 Q73))</f>
        <v>34</v>
      </c>
      <c r="M75" s="438">
        <f>L75+J75</f>
        <v>36</v>
      </c>
      <c r="N75" s="440">
        <v>0</v>
      </c>
      <c r="O75" s="438">
        <f>O73 + IF(K75="1호기",J75,0)</f>
        <v>36</v>
      </c>
      <c r="P75" s="438">
        <f>P73 + IF(K75="3호기",J75,0)</f>
        <v>40</v>
      </c>
      <c r="Q75" s="438">
        <f>Q73 + IF(K75="4호기",J75,0)</f>
        <v>36</v>
      </c>
      <c r="R75" s="306" t="s">
        <v>264</v>
      </c>
      <c r="S75" s="311"/>
      <c r="T75" s="312"/>
      <c r="U75" s="312"/>
      <c r="V75" s="312"/>
      <c r="W75" s="312"/>
      <c r="X75" s="312"/>
      <c r="Y75" s="312"/>
      <c r="Z75" s="312"/>
      <c r="AA75" s="312"/>
      <c r="AB75" s="312"/>
      <c r="AC75" s="312"/>
      <c r="AD75" s="312"/>
      <c r="AE75" s="312"/>
      <c r="AF75" s="312"/>
      <c r="AG75" s="312"/>
      <c r="AH75" s="312"/>
      <c r="AI75" s="312"/>
      <c r="AJ75" s="312"/>
      <c r="AK75" s="312"/>
      <c r="AL75" s="312"/>
      <c r="AM75" s="312"/>
      <c r="AN75" s="312"/>
      <c r="AO75" s="312"/>
      <c r="AP75" s="312"/>
      <c r="AQ75" s="312"/>
      <c r="AR75" s="312"/>
      <c r="AS75" s="312"/>
      <c r="AT75" s="312"/>
      <c r="AU75" s="312"/>
      <c r="AV75" s="312"/>
      <c r="AW75" s="313"/>
    </row>
    <row r="76" spans="2:49" ht="32.1" customHeight="1" thickBot="1" x14ac:dyDescent="0.35">
      <c r="B76" s="454"/>
      <c r="C76" s="454"/>
      <c r="D76" s="454"/>
      <c r="E76" s="450"/>
      <c r="F76" s="433"/>
      <c r="G76" s="452"/>
      <c r="H76" s="452"/>
      <c r="I76" s="453"/>
      <c r="J76" s="450"/>
      <c r="K76" s="454"/>
      <c r="L76" s="450"/>
      <c r="M76" s="450"/>
      <c r="N76" s="451"/>
      <c r="O76" s="450"/>
      <c r="P76" s="450"/>
      <c r="Q76" s="450"/>
      <c r="R76" s="305" t="s">
        <v>266</v>
      </c>
      <c r="S76" s="310">
        <f>INDEX('생산수량Back-Data'!$B$5:$AAA$10041,
       MATCH($B75,'생산수량Back-Data'!$B$5:$B$10041,0),
       MATCH(S$3,'생산수량Back-Data'!$B$3:$AAA$3,0))</f>
        <v>0</v>
      </c>
      <c r="T76" s="331">
        <f>INDEX('생산수량Back-Data'!$B$5:$AAA$10041,
       MATCH($B75,'생산수량Back-Data'!$B$5:$B$10041,0),
       MATCH(T$3,'생산수량Back-Data'!$B$3:$AAA$3,0))</f>
        <v>0</v>
      </c>
      <c r="U76" s="331">
        <f>INDEX('생산수량Back-Data'!$B$5:$AAA$10041,
       MATCH($B75,'생산수량Back-Data'!$B$5:$B$10041,0),
       MATCH(U$3,'생산수량Back-Data'!$B$3:$AAA$3,0))</f>
        <v>0</v>
      </c>
      <c r="V76" s="331">
        <f>INDEX('생산수량Back-Data'!$B$5:$AAA$10041,
       MATCH($B75,'생산수량Back-Data'!$B$5:$B$10041,0),
       MATCH(V$3,'생산수량Back-Data'!$B$3:$AAA$3,0))</f>
        <v>0</v>
      </c>
      <c r="W76" s="331">
        <f>INDEX('생산수량Back-Data'!$B$5:$AAA$10041,
       MATCH($B75,'생산수량Back-Data'!$B$5:$B$10041,0),
       MATCH(W$3,'생산수량Back-Data'!$B$3:$AAA$3,0))</f>
        <v>0</v>
      </c>
      <c r="X76" s="331">
        <f>INDEX('생산수량Back-Data'!$B$5:$AAA$10041,
       MATCH($B75,'생산수량Back-Data'!$B$5:$B$10041,0),
       MATCH(X$3,'생산수량Back-Data'!$B$3:$AAA$3,0))</f>
        <v>0</v>
      </c>
      <c r="Y76" s="331">
        <f>INDEX('생산수량Back-Data'!$B$5:$AAA$10041,
       MATCH($B75,'생산수량Back-Data'!$B$5:$B$10041,0),
       MATCH(Y$3,'생산수량Back-Data'!$B$3:$AAA$3,0))</f>
        <v>0</v>
      </c>
      <c r="Z76" s="331">
        <f>INDEX('생산수량Back-Data'!$B$5:$AAA$10041,
       MATCH($B75,'생산수량Back-Data'!$B$5:$B$10041,0),
       MATCH(Z$3,'생산수량Back-Data'!$B$3:$AAA$3,0))</f>
        <v>0</v>
      </c>
      <c r="AA76" s="331">
        <f>INDEX('생산수량Back-Data'!$B$5:$AAA$10041,
       MATCH($B75,'생산수량Back-Data'!$B$5:$B$10041,0),
       MATCH(AA$3,'생산수량Back-Data'!$B$3:$AAA$3,0))</f>
        <v>0</v>
      </c>
      <c r="AB76" s="331">
        <f>INDEX('생산수량Back-Data'!$B$5:$AAA$10041,
       MATCH($B75,'생산수량Back-Data'!$B$5:$B$10041,0),
       MATCH(AB$3,'생산수량Back-Data'!$B$3:$AAA$3,0))</f>
        <v>0</v>
      </c>
      <c r="AC76" s="331">
        <f>INDEX('생산수량Back-Data'!$B$5:$AAA$10041,
       MATCH($B75,'생산수량Back-Data'!$B$5:$B$10041,0),
       MATCH(AC$3,'생산수량Back-Data'!$B$3:$AAA$3,0))</f>
        <v>0</v>
      </c>
      <c r="AD76" s="331">
        <f>INDEX('생산수량Back-Data'!$B$5:$AAA$10041,
       MATCH($B75,'생산수량Back-Data'!$B$5:$B$10041,0),
       MATCH(AD$3,'생산수량Back-Data'!$B$3:$AAA$3,0))</f>
        <v>0</v>
      </c>
      <c r="AE76" s="331">
        <f>INDEX('생산수량Back-Data'!$B$5:$AAA$10041,
       MATCH($B75,'생산수량Back-Data'!$B$5:$B$10041,0),
       MATCH(AE$3,'생산수량Back-Data'!$B$3:$AAA$3,0))</f>
        <v>0</v>
      </c>
      <c r="AF76" s="331">
        <f>INDEX('생산수량Back-Data'!$B$5:$AAA$10041,
       MATCH($B75,'생산수량Back-Data'!$B$5:$B$10041,0),
       MATCH(AF$3,'생산수량Back-Data'!$B$3:$AAA$3,0))</f>
        <v>0</v>
      </c>
      <c r="AG76" s="331">
        <f>INDEX('생산수량Back-Data'!$B$5:$AAA$10041,
       MATCH($B75,'생산수량Back-Data'!$B$5:$B$10041,0),
       MATCH(AG$3,'생산수량Back-Data'!$B$3:$AAA$3,0))</f>
        <v>0</v>
      </c>
      <c r="AH76" s="331">
        <f>INDEX('생산수량Back-Data'!$B$5:$AAA$10041,
       MATCH($B75,'생산수량Back-Data'!$B$5:$B$10041,0),
       MATCH(AH$3,'생산수량Back-Data'!$B$3:$AAA$3,0))</f>
        <v>0</v>
      </c>
      <c r="AI76" s="331">
        <f>INDEX('생산수량Back-Data'!$B$5:$AAA$10041,
       MATCH($B75,'생산수량Back-Data'!$B$5:$B$10041,0),
       MATCH(AI$3,'생산수량Back-Data'!$B$3:$AAA$3,0))</f>
        <v>0</v>
      </c>
      <c r="AJ76" s="331">
        <f>INDEX('생산수량Back-Data'!$B$5:$AAA$10041,
       MATCH($B75,'생산수량Back-Data'!$B$5:$B$10041,0),
       MATCH(AJ$3,'생산수량Back-Data'!$B$3:$AAA$3,0))</f>
        <v>0</v>
      </c>
      <c r="AK76" s="331">
        <f>INDEX('생산수량Back-Data'!$B$5:$AAA$10041,
       MATCH($B75,'생산수량Back-Data'!$B$5:$B$10041,0),
       MATCH(AK$3,'생산수량Back-Data'!$B$3:$AAA$3,0))</f>
        <v>0</v>
      </c>
      <c r="AL76" s="331">
        <f>INDEX('생산수량Back-Data'!$B$5:$AAA$10041,
       MATCH($B75,'생산수량Back-Data'!$B$5:$B$10041,0),
       MATCH(AL$3,'생산수량Back-Data'!$B$3:$AAA$3,0))</f>
        <v>0</v>
      </c>
      <c r="AM76" s="331">
        <f>INDEX('생산수량Back-Data'!$B$5:$AAA$10041,
       MATCH($B75,'생산수량Back-Data'!$B$5:$B$10041,0),
       MATCH(AM$3,'생산수량Back-Data'!$B$3:$AAA$3,0))</f>
        <v>0</v>
      </c>
      <c r="AN76" s="331">
        <f>INDEX('생산수량Back-Data'!$B$5:$AAA$10041,
       MATCH($B75,'생산수량Back-Data'!$B$5:$B$10041,0),
       MATCH(AN$3,'생산수량Back-Data'!$B$3:$AAA$3,0))</f>
        <v>0</v>
      </c>
      <c r="AO76" s="331">
        <f>INDEX('생산수량Back-Data'!$B$5:$AAA$10041,
       MATCH($B75,'생산수량Back-Data'!$B$5:$B$10041,0),
       MATCH(AO$3,'생산수량Back-Data'!$B$3:$AAA$3,0))</f>
        <v>0</v>
      </c>
      <c r="AP76" s="331">
        <f>INDEX('생산수량Back-Data'!$B$5:$AAA$10041,
       MATCH($B75,'생산수량Back-Data'!$B$5:$B$10041,0),
       MATCH(AP$3,'생산수량Back-Data'!$B$3:$AAA$3,0))</f>
        <v>0</v>
      </c>
      <c r="AQ76" s="331">
        <f>INDEX('생산수량Back-Data'!$B$5:$AAA$10041,
       MATCH($B75,'생산수량Back-Data'!$B$5:$B$10041,0),
       MATCH(AQ$3,'생산수량Back-Data'!$B$3:$AAA$3,0))</f>
        <v>0</v>
      </c>
      <c r="AR76" s="331">
        <f>INDEX('생산수량Back-Data'!$B$5:$AAA$10041,
       MATCH($B75,'생산수량Back-Data'!$B$5:$B$10041,0),
       MATCH(AR$3,'생산수량Back-Data'!$B$3:$AAA$3,0))</f>
        <v>0</v>
      </c>
      <c r="AS76" s="331">
        <f>INDEX('생산수량Back-Data'!$B$5:$AAA$10041,
       MATCH($B75,'생산수량Back-Data'!$B$5:$B$10041,0),
       MATCH(AS$3,'생산수량Back-Data'!$B$3:$AAA$3,0))</f>
        <v>0</v>
      </c>
      <c r="AT76" s="331">
        <f>INDEX('생산수량Back-Data'!$B$5:$AAA$10041,
       MATCH($B75,'생산수량Back-Data'!$B$5:$B$10041,0),
       MATCH(AT$3,'생산수량Back-Data'!$B$3:$AAA$3,0))</f>
        <v>0</v>
      </c>
      <c r="AU76" s="331">
        <f>INDEX('생산수량Back-Data'!$B$5:$AAA$10041,
       MATCH($B75,'생산수량Back-Data'!$B$5:$B$10041,0),
       MATCH(AU$3,'생산수량Back-Data'!$B$3:$AAA$3,0))</f>
        <v>0</v>
      </c>
      <c r="AV76" s="331">
        <f>INDEX('생산수량Back-Data'!$B$5:$AAA$10041,
       MATCH($B75,'생산수량Back-Data'!$B$5:$B$10041,0),
       MATCH(AV$3,'생산수량Back-Data'!$B$3:$AAA$3,0))</f>
        <v>0</v>
      </c>
      <c r="AW76" s="332">
        <f>INDEX('생산수량Back-Data'!$B$5:$AAA$10041,
       MATCH($B75,'생산수량Back-Data'!$B$5:$B$10041,0),
       MATCH(AW$3,'생산수량Back-Data'!$B$3:$AAA$3,0))</f>
        <v>0</v>
      </c>
    </row>
    <row r="77" spans="2:49" ht="32.1" customHeight="1" x14ac:dyDescent="0.3">
      <c r="B77" s="449" t="s">
        <v>63</v>
      </c>
      <c r="C77" s="449" t="s">
        <v>185</v>
      </c>
      <c r="D77" s="449" t="s">
        <v>203</v>
      </c>
      <c r="E77" s="446">
        <f>ABS(SUMIFS('Fixture 총 발주수량'!AH:AH,'Fixture 총 발주수량'!B:B,생산계획!B77,'Fixture 총 발주수량'!AH:AH,"&lt;0"))</f>
        <v>84</v>
      </c>
      <c r="F77" s="434">
        <f>G77-E77</f>
        <v>-84</v>
      </c>
      <c r="G77" s="435">
        <f>SUMIF(S77:AW77, "&gt;0")</f>
        <v>0</v>
      </c>
      <c r="H77" s="435">
        <f>SUMIF(S78:AW78, "&gt;0")</f>
        <v>0</v>
      </c>
      <c r="I77" s="448">
        <f>IFERROR(H77/G77,)</f>
        <v>0</v>
      </c>
      <c r="J77" s="446">
        <f>ROUNDUP(E77/400,)</f>
        <v>1</v>
      </c>
      <c r="K77" s="449" t="str">
        <f>IF(O75&lt;=P75,
     IF(O75&lt;=Q75,"1호기","4호기"),
     IF(P75&lt;=Q75,"3호기","4호기")
)</f>
        <v>1호기</v>
      </c>
      <c r="L77" s="446">
        <f>IF(K77="1호기",O75,
 IF(K77="3호기",P75,
 Q75))</f>
        <v>36</v>
      </c>
      <c r="M77" s="446">
        <f>L77+J77</f>
        <v>37</v>
      </c>
      <c r="N77" s="447">
        <v>0</v>
      </c>
      <c r="O77" s="446">
        <f>O75 + IF(K77="1호기",J77,0)</f>
        <v>37</v>
      </c>
      <c r="P77" s="446">
        <f>P75 + IF(K77="3호기",J77,0)</f>
        <v>40</v>
      </c>
      <c r="Q77" s="446">
        <f>Q75 + IF(K77="4호기",J77,0)</f>
        <v>36</v>
      </c>
      <c r="R77" s="336" t="s">
        <v>264</v>
      </c>
      <c r="S77" s="416"/>
      <c r="T77" s="417"/>
      <c r="U77" s="417"/>
      <c r="V77" s="417"/>
      <c r="W77" s="417"/>
      <c r="X77" s="417"/>
      <c r="Y77" s="417"/>
      <c r="Z77" s="417"/>
      <c r="AA77" s="417"/>
      <c r="AB77" s="417"/>
      <c r="AC77" s="417"/>
      <c r="AD77" s="417"/>
      <c r="AE77" s="417"/>
      <c r="AF77" s="417"/>
      <c r="AG77" s="417"/>
      <c r="AH77" s="417"/>
      <c r="AI77" s="417"/>
      <c r="AJ77" s="417"/>
      <c r="AK77" s="417"/>
      <c r="AL77" s="417"/>
      <c r="AM77" s="417"/>
      <c r="AN77" s="417"/>
      <c r="AO77" s="417"/>
      <c r="AP77" s="417"/>
      <c r="AQ77" s="417"/>
      <c r="AR77" s="417"/>
      <c r="AS77" s="417"/>
      <c r="AT77" s="417"/>
      <c r="AU77" s="417"/>
      <c r="AV77" s="417"/>
      <c r="AW77" s="418"/>
    </row>
    <row r="78" spans="2:49" ht="32.1" customHeight="1" x14ac:dyDescent="0.3">
      <c r="B78" s="445"/>
      <c r="C78" s="445"/>
      <c r="D78" s="445"/>
      <c r="E78" s="439"/>
      <c r="F78" s="432"/>
      <c r="G78" s="436"/>
      <c r="H78" s="436"/>
      <c r="I78" s="443"/>
      <c r="J78" s="439"/>
      <c r="K78" s="445"/>
      <c r="L78" s="439"/>
      <c r="M78" s="439"/>
      <c r="N78" s="441"/>
      <c r="O78" s="439"/>
      <c r="P78" s="439"/>
      <c r="Q78" s="439"/>
      <c r="R78" s="306" t="s">
        <v>266</v>
      </c>
      <c r="S78" s="328">
        <f>INDEX('생산수량Back-Data'!$B$5:$AAA$10041,
       MATCH($B77,'생산수량Back-Data'!$B$5:$B$10041,0),
       MATCH(S$3,'생산수량Back-Data'!$B$3:$AAA$3,0))</f>
        <v>0</v>
      </c>
      <c r="T78" s="343">
        <f>INDEX('생산수량Back-Data'!$B$5:$AAA$10041,
       MATCH($B77,'생산수량Back-Data'!$B$5:$B$10041,0),
       MATCH(T$3,'생산수량Back-Data'!$B$3:$AAA$3,0))</f>
        <v>0</v>
      </c>
      <c r="U78" s="343">
        <f>INDEX('생산수량Back-Data'!$B$5:$AAA$10041,
       MATCH($B77,'생산수량Back-Data'!$B$5:$B$10041,0),
       MATCH(U$3,'생산수량Back-Data'!$B$3:$AAA$3,0))</f>
        <v>0</v>
      </c>
      <c r="V78" s="343">
        <f>INDEX('생산수량Back-Data'!$B$5:$AAA$10041,
       MATCH($B77,'생산수량Back-Data'!$B$5:$B$10041,0),
       MATCH(V$3,'생산수량Back-Data'!$B$3:$AAA$3,0))</f>
        <v>0</v>
      </c>
      <c r="W78" s="343">
        <f>INDEX('생산수량Back-Data'!$B$5:$AAA$10041,
       MATCH($B77,'생산수량Back-Data'!$B$5:$B$10041,0),
       MATCH(W$3,'생산수량Back-Data'!$B$3:$AAA$3,0))</f>
        <v>0</v>
      </c>
      <c r="X78" s="343">
        <f>INDEX('생산수량Back-Data'!$B$5:$AAA$10041,
       MATCH($B77,'생산수량Back-Data'!$B$5:$B$10041,0),
       MATCH(X$3,'생산수량Back-Data'!$B$3:$AAA$3,0))</f>
        <v>0</v>
      </c>
      <c r="Y78" s="343">
        <f>INDEX('생산수량Back-Data'!$B$5:$AAA$10041,
       MATCH($B77,'생산수량Back-Data'!$B$5:$B$10041,0),
       MATCH(Y$3,'생산수량Back-Data'!$B$3:$AAA$3,0))</f>
        <v>0</v>
      </c>
      <c r="Z78" s="343">
        <f>INDEX('생산수량Back-Data'!$B$5:$AAA$10041,
       MATCH($B77,'생산수량Back-Data'!$B$5:$B$10041,0),
       MATCH(Z$3,'생산수량Back-Data'!$B$3:$AAA$3,0))</f>
        <v>0</v>
      </c>
      <c r="AA78" s="343">
        <f>INDEX('생산수량Back-Data'!$B$5:$AAA$10041,
       MATCH($B77,'생산수량Back-Data'!$B$5:$B$10041,0),
       MATCH(AA$3,'생산수량Back-Data'!$B$3:$AAA$3,0))</f>
        <v>0</v>
      </c>
      <c r="AB78" s="343">
        <f>INDEX('생산수량Back-Data'!$B$5:$AAA$10041,
       MATCH($B77,'생산수량Back-Data'!$B$5:$B$10041,0),
       MATCH(AB$3,'생산수량Back-Data'!$B$3:$AAA$3,0))</f>
        <v>0</v>
      </c>
      <c r="AC78" s="343">
        <f>INDEX('생산수량Back-Data'!$B$5:$AAA$10041,
       MATCH($B77,'생산수량Back-Data'!$B$5:$B$10041,0),
       MATCH(AC$3,'생산수량Back-Data'!$B$3:$AAA$3,0))</f>
        <v>0</v>
      </c>
      <c r="AD78" s="343">
        <f>INDEX('생산수량Back-Data'!$B$5:$AAA$10041,
       MATCH($B77,'생산수량Back-Data'!$B$5:$B$10041,0),
       MATCH(AD$3,'생산수량Back-Data'!$B$3:$AAA$3,0))</f>
        <v>0</v>
      </c>
      <c r="AE78" s="343">
        <f>INDEX('생산수량Back-Data'!$B$5:$AAA$10041,
       MATCH($B77,'생산수량Back-Data'!$B$5:$B$10041,0),
       MATCH(AE$3,'생산수량Back-Data'!$B$3:$AAA$3,0))</f>
        <v>0</v>
      </c>
      <c r="AF78" s="343">
        <f>INDEX('생산수량Back-Data'!$B$5:$AAA$10041,
       MATCH($B77,'생산수량Back-Data'!$B$5:$B$10041,0),
       MATCH(AF$3,'생산수량Back-Data'!$B$3:$AAA$3,0))</f>
        <v>0</v>
      </c>
      <c r="AG78" s="343">
        <f>INDEX('생산수량Back-Data'!$B$5:$AAA$10041,
       MATCH($B77,'생산수량Back-Data'!$B$5:$B$10041,0),
       MATCH(AG$3,'생산수량Back-Data'!$B$3:$AAA$3,0))</f>
        <v>0</v>
      </c>
      <c r="AH78" s="343">
        <f>INDEX('생산수량Back-Data'!$B$5:$AAA$10041,
       MATCH($B77,'생산수량Back-Data'!$B$5:$B$10041,0),
       MATCH(AH$3,'생산수량Back-Data'!$B$3:$AAA$3,0))</f>
        <v>0</v>
      </c>
      <c r="AI78" s="343">
        <f>INDEX('생산수량Back-Data'!$B$5:$AAA$10041,
       MATCH($B77,'생산수량Back-Data'!$B$5:$B$10041,0),
       MATCH(AI$3,'생산수량Back-Data'!$B$3:$AAA$3,0))</f>
        <v>0</v>
      </c>
      <c r="AJ78" s="343">
        <f>INDEX('생산수량Back-Data'!$B$5:$AAA$10041,
       MATCH($B77,'생산수량Back-Data'!$B$5:$B$10041,0),
       MATCH(AJ$3,'생산수량Back-Data'!$B$3:$AAA$3,0))</f>
        <v>0</v>
      </c>
      <c r="AK78" s="343">
        <f>INDEX('생산수량Back-Data'!$B$5:$AAA$10041,
       MATCH($B77,'생산수량Back-Data'!$B$5:$B$10041,0),
       MATCH(AK$3,'생산수량Back-Data'!$B$3:$AAA$3,0))</f>
        <v>0</v>
      </c>
      <c r="AL78" s="343">
        <f>INDEX('생산수량Back-Data'!$B$5:$AAA$10041,
       MATCH($B77,'생산수량Back-Data'!$B$5:$B$10041,0),
       MATCH(AL$3,'생산수량Back-Data'!$B$3:$AAA$3,0))</f>
        <v>0</v>
      </c>
      <c r="AM78" s="343">
        <f>INDEX('생산수량Back-Data'!$B$5:$AAA$10041,
       MATCH($B77,'생산수량Back-Data'!$B$5:$B$10041,0),
       MATCH(AM$3,'생산수량Back-Data'!$B$3:$AAA$3,0))</f>
        <v>0</v>
      </c>
      <c r="AN78" s="343">
        <f>INDEX('생산수량Back-Data'!$B$5:$AAA$10041,
       MATCH($B77,'생산수량Back-Data'!$B$5:$B$10041,0),
       MATCH(AN$3,'생산수량Back-Data'!$B$3:$AAA$3,0))</f>
        <v>0</v>
      </c>
      <c r="AO78" s="343">
        <f>INDEX('생산수량Back-Data'!$B$5:$AAA$10041,
       MATCH($B77,'생산수량Back-Data'!$B$5:$B$10041,0),
       MATCH(AO$3,'생산수량Back-Data'!$B$3:$AAA$3,0))</f>
        <v>0</v>
      </c>
      <c r="AP78" s="343">
        <f>INDEX('생산수량Back-Data'!$B$5:$AAA$10041,
       MATCH($B77,'생산수량Back-Data'!$B$5:$B$10041,0),
       MATCH(AP$3,'생산수량Back-Data'!$B$3:$AAA$3,0))</f>
        <v>0</v>
      </c>
      <c r="AQ78" s="343">
        <f>INDEX('생산수량Back-Data'!$B$5:$AAA$10041,
       MATCH($B77,'생산수량Back-Data'!$B$5:$B$10041,0),
       MATCH(AQ$3,'생산수량Back-Data'!$B$3:$AAA$3,0))</f>
        <v>0</v>
      </c>
      <c r="AR78" s="343">
        <f>INDEX('생산수량Back-Data'!$B$5:$AAA$10041,
       MATCH($B77,'생산수량Back-Data'!$B$5:$B$10041,0),
       MATCH(AR$3,'생산수량Back-Data'!$B$3:$AAA$3,0))</f>
        <v>0</v>
      </c>
      <c r="AS78" s="343">
        <f>INDEX('생산수량Back-Data'!$B$5:$AAA$10041,
       MATCH($B77,'생산수량Back-Data'!$B$5:$B$10041,0),
       MATCH(AS$3,'생산수량Back-Data'!$B$3:$AAA$3,0))</f>
        <v>0</v>
      </c>
      <c r="AT78" s="343">
        <f>INDEX('생산수량Back-Data'!$B$5:$AAA$10041,
       MATCH($B77,'생산수량Back-Data'!$B$5:$B$10041,0),
       MATCH(AT$3,'생산수량Back-Data'!$B$3:$AAA$3,0))</f>
        <v>0</v>
      </c>
      <c r="AU78" s="343">
        <f>INDEX('생산수량Back-Data'!$B$5:$AAA$10041,
       MATCH($B77,'생산수량Back-Data'!$B$5:$B$10041,0),
       MATCH(AU$3,'생산수량Back-Data'!$B$3:$AAA$3,0))</f>
        <v>0</v>
      </c>
      <c r="AV78" s="343">
        <f>INDEX('생산수량Back-Data'!$B$5:$AAA$10041,
       MATCH($B77,'생산수량Back-Data'!$B$5:$B$10041,0),
       MATCH(AV$3,'생산수량Back-Data'!$B$3:$AAA$3,0))</f>
        <v>0</v>
      </c>
      <c r="AW78" s="344">
        <f>INDEX('생산수량Back-Data'!$B$5:$AAA$10041,
       MATCH($B77,'생산수량Back-Data'!$B$5:$B$10041,0),
       MATCH(AW$3,'생산수량Back-Data'!$B$3:$AAA$3,0))</f>
        <v>0</v>
      </c>
    </row>
    <row r="79" spans="2:49" ht="32.1" customHeight="1" x14ac:dyDescent="0.3">
      <c r="B79" s="444" t="s">
        <v>64</v>
      </c>
      <c r="C79" s="444" t="s">
        <v>185</v>
      </c>
      <c r="D79" s="444" t="s">
        <v>204</v>
      </c>
      <c r="E79" s="438">
        <f>ABS(SUMIFS('Fixture 총 발주수량'!AH:AH,'Fixture 총 발주수량'!B:B,생산계획!B79,'Fixture 총 발주수량'!AH:AH,"&lt;0"))</f>
        <v>477</v>
      </c>
      <c r="F79" s="431">
        <f>G79-E79</f>
        <v>-477</v>
      </c>
      <c r="G79" s="437">
        <f>SUMIF(S79:AW79, "&gt;0")</f>
        <v>0</v>
      </c>
      <c r="H79" s="437">
        <f>SUMIF(S80:AW80, "&gt;0")</f>
        <v>0</v>
      </c>
      <c r="I79" s="442">
        <f>IFERROR(H79/G79,)</f>
        <v>0</v>
      </c>
      <c r="J79" s="438">
        <f>ROUNDUP(E79/400,)</f>
        <v>2</v>
      </c>
      <c r="K79" s="444" t="str">
        <f>IF(O77&lt;=P77,
     IF(O77&lt;=Q77,"1호기","4호기"),
     IF(P77&lt;=Q77,"3호기","4호기")
)</f>
        <v>4호기</v>
      </c>
      <c r="L79" s="438">
        <f>IF(K79="1호기",O77,
 IF(K79="3호기",P77,
 Q77))</f>
        <v>36</v>
      </c>
      <c r="M79" s="438">
        <f>L79+J79</f>
        <v>38</v>
      </c>
      <c r="N79" s="440">
        <v>0</v>
      </c>
      <c r="O79" s="438">
        <f>O77 + IF(K79="1호기",J79,0)</f>
        <v>37</v>
      </c>
      <c r="P79" s="438">
        <f>P77 + IF(K79="3호기",J79,0)</f>
        <v>40</v>
      </c>
      <c r="Q79" s="438">
        <f>Q77 + IF(K79="4호기",J79,0)</f>
        <v>38</v>
      </c>
      <c r="R79" s="306" t="s">
        <v>264</v>
      </c>
      <c r="S79" s="311"/>
      <c r="T79" s="312"/>
      <c r="U79" s="312"/>
      <c r="V79" s="312"/>
      <c r="W79" s="312"/>
      <c r="X79" s="312"/>
      <c r="Y79" s="312"/>
      <c r="Z79" s="312"/>
      <c r="AA79" s="312"/>
      <c r="AB79" s="312"/>
      <c r="AC79" s="312"/>
      <c r="AD79" s="312"/>
      <c r="AE79" s="312"/>
      <c r="AF79" s="312"/>
      <c r="AG79" s="312"/>
      <c r="AH79" s="312"/>
      <c r="AI79" s="312"/>
      <c r="AJ79" s="312"/>
      <c r="AK79" s="312"/>
      <c r="AL79" s="312"/>
      <c r="AM79" s="312"/>
      <c r="AN79" s="312"/>
      <c r="AO79" s="312"/>
      <c r="AP79" s="312"/>
      <c r="AQ79" s="312"/>
      <c r="AR79" s="312"/>
      <c r="AS79" s="312"/>
      <c r="AT79" s="312"/>
      <c r="AU79" s="312"/>
      <c r="AV79" s="312"/>
      <c r="AW79" s="313"/>
    </row>
    <row r="80" spans="2:49" ht="32.1" customHeight="1" x14ac:dyDescent="0.3">
      <c r="B80" s="445"/>
      <c r="C80" s="445"/>
      <c r="D80" s="445"/>
      <c r="E80" s="439"/>
      <c r="F80" s="432"/>
      <c r="G80" s="436"/>
      <c r="H80" s="436"/>
      <c r="I80" s="443"/>
      <c r="J80" s="439"/>
      <c r="K80" s="445"/>
      <c r="L80" s="439"/>
      <c r="M80" s="439"/>
      <c r="N80" s="441"/>
      <c r="O80" s="439"/>
      <c r="P80" s="439"/>
      <c r="Q80" s="439"/>
      <c r="R80" s="306" t="s">
        <v>266</v>
      </c>
      <c r="S80" s="310">
        <f>INDEX('생산수량Back-Data'!$B$5:$AAA$10041,
       MATCH($B79,'생산수량Back-Data'!$B$5:$B$10041,0),
       MATCH(S$3,'생산수량Back-Data'!$B$3:$AAA$3,0))</f>
        <v>0</v>
      </c>
      <c r="T80" s="331">
        <f>INDEX('생산수량Back-Data'!$B$5:$AAA$10041,
       MATCH($B79,'생산수량Back-Data'!$B$5:$B$10041,0),
       MATCH(T$3,'생산수량Back-Data'!$B$3:$AAA$3,0))</f>
        <v>0</v>
      </c>
      <c r="U80" s="331">
        <f>INDEX('생산수량Back-Data'!$B$5:$AAA$10041,
       MATCH($B79,'생산수량Back-Data'!$B$5:$B$10041,0),
       MATCH(U$3,'생산수량Back-Data'!$B$3:$AAA$3,0))</f>
        <v>0</v>
      </c>
      <c r="V80" s="331">
        <f>INDEX('생산수량Back-Data'!$B$5:$AAA$10041,
       MATCH($B79,'생산수량Back-Data'!$B$5:$B$10041,0),
       MATCH(V$3,'생산수량Back-Data'!$B$3:$AAA$3,0))</f>
        <v>0</v>
      </c>
      <c r="W80" s="331">
        <f>INDEX('생산수량Back-Data'!$B$5:$AAA$10041,
       MATCH($B79,'생산수량Back-Data'!$B$5:$B$10041,0),
       MATCH(W$3,'생산수량Back-Data'!$B$3:$AAA$3,0))</f>
        <v>0</v>
      </c>
      <c r="X80" s="331">
        <f>INDEX('생산수량Back-Data'!$B$5:$AAA$10041,
       MATCH($B79,'생산수량Back-Data'!$B$5:$B$10041,0),
       MATCH(X$3,'생산수량Back-Data'!$B$3:$AAA$3,0))</f>
        <v>0</v>
      </c>
      <c r="Y80" s="331">
        <f>INDEX('생산수량Back-Data'!$B$5:$AAA$10041,
       MATCH($B79,'생산수량Back-Data'!$B$5:$B$10041,0),
       MATCH(Y$3,'생산수량Back-Data'!$B$3:$AAA$3,0))</f>
        <v>0</v>
      </c>
      <c r="Z80" s="331">
        <f>INDEX('생산수량Back-Data'!$B$5:$AAA$10041,
       MATCH($B79,'생산수량Back-Data'!$B$5:$B$10041,0),
       MATCH(Z$3,'생산수량Back-Data'!$B$3:$AAA$3,0))</f>
        <v>0</v>
      </c>
      <c r="AA80" s="331">
        <f>INDEX('생산수량Back-Data'!$B$5:$AAA$10041,
       MATCH($B79,'생산수량Back-Data'!$B$5:$B$10041,0),
       MATCH(AA$3,'생산수량Back-Data'!$B$3:$AAA$3,0))</f>
        <v>0</v>
      </c>
      <c r="AB80" s="331">
        <f>INDEX('생산수량Back-Data'!$B$5:$AAA$10041,
       MATCH($B79,'생산수량Back-Data'!$B$5:$B$10041,0),
       MATCH(AB$3,'생산수량Back-Data'!$B$3:$AAA$3,0))</f>
        <v>0</v>
      </c>
      <c r="AC80" s="331">
        <f>INDEX('생산수량Back-Data'!$B$5:$AAA$10041,
       MATCH($B79,'생산수량Back-Data'!$B$5:$B$10041,0),
       MATCH(AC$3,'생산수량Back-Data'!$B$3:$AAA$3,0))</f>
        <v>0</v>
      </c>
      <c r="AD80" s="331">
        <f>INDEX('생산수량Back-Data'!$B$5:$AAA$10041,
       MATCH($B79,'생산수량Back-Data'!$B$5:$B$10041,0),
       MATCH(AD$3,'생산수량Back-Data'!$B$3:$AAA$3,0))</f>
        <v>0</v>
      </c>
      <c r="AE80" s="331">
        <f>INDEX('생산수량Back-Data'!$B$5:$AAA$10041,
       MATCH($B79,'생산수량Back-Data'!$B$5:$B$10041,0),
       MATCH(AE$3,'생산수량Back-Data'!$B$3:$AAA$3,0))</f>
        <v>0</v>
      </c>
      <c r="AF80" s="331">
        <f>INDEX('생산수량Back-Data'!$B$5:$AAA$10041,
       MATCH($B79,'생산수량Back-Data'!$B$5:$B$10041,0),
       MATCH(AF$3,'생산수량Back-Data'!$B$3:$AAA$3,0))</f>
        <v>0</v>
      </c>
      <c r="AG80" s="331">
        <f>INDEX('생산수량Back-Data'!$B$5:$AAA$10041,
       MATCH($B79,'생산수량Back-Data'!$B$5:$B$10041,0),
       MATCH(AG$3,'생산수량Back-Data'!$B$3:$AAA$3,0))</f>
        <v>0</v>
      </c>
      <c r="AH80" s="331">
        <f>INDEX('생산수량Back-Data'!$B$5:$AAA$10041,
       MATCH($B79,'생산수량Back-Data'!$B$5:$B$10041,0),
       MATCH(AH$3,'생산수량Back-Data'!$B$3:$AAA$3,0))</f>
        <v>0</v>
      </c>
      <c r="AI80" s="331">
        <f>INDEX('생산수량Back-Data'!$B$5:$AAA$10041,
       MATCH($B79,'생산수량Back-Data'!$B$5:$B$10041,0),
       MATCH(AI$3,'생산수량Back-Data'!$B$3:$AAA$3,0))</f>
        <v>0</v>
      </c>
      <c r="AJ80" s="331">
        <f>INDEX('생산수량Back-Data'!$B$5:$AAA$10041,
       MATCH($B79,'생산수량Back-Data'!$B$5:$B$10041,0),
       MATCH(AJ$3,'생산수량Back-Data'!$B$3:$AAA$3,0))</f>
        <v>0</v>
      </c>
      <c r="AK80" s="331">
        <f>INDEX('생산수량Back-Data'!$B$5:$AAA$10041,
       MATCH($B79,'생산수량Back-Data'!$B$5:$B$10041,0),
       MATCH(AK$3,'생산수량Back-Data'!$B$3:$AAA$3,0))</f>
        <v>0</v>
      </c>
      <c r="AL80" s="331">
        <f>INDEX('생산수량Back-Data'!$B$5:$AAA$10041,
       MATCH($B79,'생산수량Back-Data'!$B$5:$B$10041,0),
       MATCH(AL$3,'생산수량Back-Data'!$B$3:$AAA$3,0))</f>
        <v>0</v>
      </c>
      <c r="AM80" s="331">
        <f>INDEX('생산수량Back-Data'!$B$5:$AAA$10041,
       MATCH($B79,'생산수량Back-Data'!$B$5:$B$10041,0),
       MATCH(AM$3,'생산수량Back-Data'!$B$3:$AAA$3,0))</f>
        <v>0</v>
      </c>
      <c r="AN80" s="331">
        <f>INDEX('생산수량Back-Data'!$B$5:$AAA$10041,
       MATCH($B79,'생산수량Back-Data'!$B$5:$B$10041,0),
       MATCH(AN$3,'생산수량Back-Data'!$B$3:$AAA$3,0))</f>
        <v>0</v>
      </c>
      <c r="AO80" s="331">
        <f>INDEX('생산수량Back-Data'!$B$5:$AAA$10041,
       MATCH($B79,'생산수량Back-Data'!$B$5:$B$10041,0),
       MATCH(AO$3,'생산수량Back-Data'!$B$3:$AAA$3,0))</f>
        <v>0</v>
      </c>
      <c r="AP80" s="331">
        <f>INDEX('생산수량Back-Data'!$B$5:$AAA$10041,
       MATCH($B79,'생산수량Back-Data'!$B$5:$B$10041,0),
       MATCH(AP$3,'생산수량Back-Data'!$B$3:$AAA$3,0))</f>
        <v>0</v>
      </c>
      <c r="AQ80" s="331">
        <f>INDEX('생산수량Back-Data'!$B$5:$AAA$10041,
       MATCH($B79,'생산수량Back-Data'!$B$5:$B$10041,0),
       MATCH(AQ$3,'생산수량Back-Data'!$B$3:$AAA$3,0))</f>
        <v>0</v>
      </c>
      <c r="AR80" s="331">
        <f>INDEX('생산수량Back-Data'!$B$5:$AAA$10041,
       MATCH($B79,'생산수량Back-Data'!$B$5:$B$10041,0),
       MATCH(AR$3,'생산수량Back-Data'!$B$3:$AAA$3,0))</f>
        <v>0</v>
      </c>
      <c r="AS80" s="331">
        <f>INDEX('생산수량Back-Data'!$B$5:$AAA$10041,
       MATCH($B79,'생산수량Back-Data'!$B$5:$B$10041,0),
       MATCH(AS$3,'생산수량Back-Data'!$B$3:$AAA$3,0))</f>
        <v>0</v>
      </c>
      <c r="AT80" s="331">
        <f>INDEX('생산수량Back-Data'!$B$5:$AAA$10041,
       MATCH($B79,'생산수량Back-Data'!$B$5:$B$10041,0),
       MATCH(AT$3,'생산수량Back-Data'!$B$3:$AAA$3,0))</f>
        <v>0</v>
      </c>
      <c r="AU80" s="331">
        <f>INDEX('생산수량Back-Data'!$B$5:$AAA$10041,
       MATCH($B79,'생산수량Back-Data'!$B$5:$B$10041,0),
       MATCH(AU$3,'생산수량Back-Data'!$B$3:$AAA$3,0))</f>
        <v>0</v>
      </c>
      <c r="AV80" s="331">
        <f>INDEX('생산수량Back-Data'!$B$5:$AAA$10041,
       MATCH($B79,'생산수량Back-Data'!$B$5:$B$10041,0),
       MATCH(AV$3,'생산수량Back-Data'!$B$3:$AAA$3,0))</f>
        <v>0</v>
      </c>
      <c r="AW80" s="332">
        <f>INDEX('생산수량Back-Data'!$B$5:$AAA$10041,
       MATCH($B79,'생산수량Back-Data'!$B$5:$B$10041,0),
       MATCH(AW$3,'생산수량Back-Data'!$B$3:$AAA$3,0))</f>
        <v>0</v>
      </c>
    </row>
    <row r="81" spans="2:49" ht="32.1" customHeight="1" x14ac:dyDescent="0.3">
      <c r="B81" s="444" t="s">
        <v>65</v>
      </c>
      <c r="C81" s="444" t="s">
        <v>185</v>
      </c>
      <c r="D81" s="444" t="s">
        <v>205</v>
      </c>
      <c r="E81" s="438">
        <f>ABS(SUMIFS('Fixture 총 발주수량'!AH:AH,'Fixture 총 발주수량'!B:B,생산계획!B81,'Fixture 총 발주수량'!AH:AH,"&lt;0"))</f>
        <v>1112</v>
      </c>
      <c r="F81" s="431">
        <f>G81-E81</f>
        <v>-1112</v>
      </c>
      <c r="G81" s="437">
        <f>SUMIF(S81:AW81, "&gt;0")</f>
        <v>0</v>
      </c>
      <c r="H81" s="437">
        <f>SUMIF(S82:AW82, "&gt;0")</f>
        <v>0</v>
      </c>
      <c r="I81" s="442">
        <f>IFERROR(H81/G81,)</f>
        <v>0</v>
      </c>
      <c r="J81" s="438">
        <f>ROUNDUP(E81/400,)</f>
        <v>3</v>
      </c>
      <c r="K81" s="444" t="str">
        <f>IF(O79&lt;=P79,
     IF(O79&lt;=Q79,"1호기","4호기"),
     IF(P79&lt;=Q79,"3호기","4호기")
)</f>
        <v>1호기</v>
      </c>
      <c r="L81" s="438">
        <f>IF(K81="1호기",O79,
 IF(K81="3호기",P79,
 Q79))</f>
        <v>37</v>
      </c>
      <c r="M81" s="438">
        <f>L81+J81</f>
        <v>40</v>
      </c>
      <c r="N81" s="440">
        <v>0</v>
      </c>
      <c r="O81" s="438">
        <f>O79 + IF(K81="1호기",J81,0)</f>
        <v>40</v>
      </c>
      <c r="P81" s="438">
        <f>P79 + IF(K81="3호기",J81,0)</f>
        <v>40</v>
      </c>
      <c r="Q81" s="438">
        <f>Q79 + IF(K81="4호기",J81,0)</f>
        <v>38</v>
      </c>
      <c r="R81" s="306" t="s">
        <v>264</v>
      </c>
      <c r="S81" s="311"/>
      <c r="T81" s="312"/>
      <c r="U81" s="312"/>
      <c r="V81" s="312"/>
      <c r="W81" s="312"/>
      <c r="X81" s="312"/>
      <c r="Y81" s="312"/>
      <c r="Z81" s="312"/>
      <c r="AA81" s="312"/>
      <c r="AB81" s="312"/>
      <c r="AC81" s="312"/>
      <c r="AD81" s="312"/>
      <c r="AE81" s="312"/>
      <c r="AF81" s="312"/>
      <c r="AG81" s="312"/>
      <c r="AH81" s="312"/>
      <c r="AI81" s="312"/>
      <c r="AJ81" s="312"/>
      <c r="AK81" s="312"/>
      <c r="AL81" s="312"/>
      <c r="AM81" s="312"/>
      <c r="AN81" s="312"/>
      <c r="AO81" s="312"/>
      <c r="AP81" s="312"/>
      <c r="AQ81" s="312"/>
      <c r="AR81" s="312"/>
      <c r="AS81" s="312"/>
      <c r="AT81" s="312"/>
      <c r="AU81" s="312"/>
      <c r="AV81" s="312"/>
      <c r="AW81" s="313"/>
    </row>
    <row r="82" spans="2:49" ht="32.1" customHeight="1" x14ac:dyDescent="0.3">
      <c r="B82" s="445"/>
      <c r="C82" s="445"/>
      <c r="D82" s="445"/>
      <c r="E82" s="439"/>
      <c r="F82" s="432"/>
      <c r="G82" s="436"/>
      <c r="H82" s="436"/>
      <c r="I82" s="443"/>
      <c r="J82" s="439"/>
      <c r="K82" s="445"/>
      <c r="L82" s="439"/>
      <c r="M82" s="439"/>
      <c r="N82" s="441"/>
      <c r="O82" s="439"/>
      <c r="P82" s="439"/>
      <c r="Q82" s="439"/>
      <c r="R82" s="306" t="s">
        <v>266</v>
      </c>
      <c r="S82" s="310">
        <f>INDEX('생산수량Back-Data'!$B$5:$AAA$10041,
       MATCH($B81,'생산수량Back-Data'!$B$5:$B$10041,0),
       MATCH(S$3,'생산수량Back-Data'!$B$3:$AAA$3,0))</f>
        <v>0</v>
      </c>
      <c r="T82" s="331">
        <f>INDEX('생산수량Back-Data'!$B$5:$AAA$10041,
       MATCH($B81,'생산수량Back-Data'!$B$5:$B$10041,0),
       MATCH(T$3,'생산수량Back-Data'!$B$3:$AAA$3,0))</f>
        <v>0</v>
      </c>
      <c r="U82" s="331">
        <f>INDEX('생산수량Back-Data'!$B$5:$AAA$10041,
       MATCH($B81,'생산수량Back-Data'!$B$5:$B$10041,0),
       MATCH(U$3,'생산수량Back-Data'!$B$3:$AAA$3,0))</f>
        <v>0</v>
      </c>
      <c r="V82" s="331">
        <f>INDEX('생산수량Back-Data'!$B$5:$AAA$10041,
       MATCH($B81,'생산수량Back-Data'!$B$5:$B$10041,0),
       MATCH(V$3,'생산수량Back-Data'!$B$3:$AAA$3,0))</f>
        <v>0</v>
      </c>
      <c r="W82" s="331">
        <f>INDEX('생산수량Back-Data'!$B$5:$AAA$10041,
       MATCH($B81,'생산수량Back-Data'!$B$5:$B$10041,0),
       MATCH(W$3,'생산수량Back-Data'!$B$3:$AAA$3,0))</f>
        <v>0</v>
      </c>
      <c r="X82" s="331">
        <f>INDEX('생산수량Back-Data'!$B$5:$AAA$10041,
       MATCH($B81,'생산수량Back-Data'!$B$5:$B$10041,0),
       MATCH(X$3,'생산수량Back-Data'!$B$3:$AAA$3,0))</f>
        <v>0</v>
      </c>
      <c r="Y82" s="331">
        <f>INDEX('생산수량Back-Data'!$B$5:$AAA$10041,
       MATCH($B81,'생산수량Back-Data'!$B$5:$B$10041,0),
       MATCH(Y$3,'생산수량Back-Data'!$B$3:$AAA$3,0))</f>
        <v>0</v>
      </c>
      <c r="Z82" s="331">
        <f>INDEX('생산수량Back-Data'!$B$5:$AAA$10041,
       MATCH($B81,'생산수량Back-Data'!$B$5:$B$10041,0),
       MATCH(Z$3,'생산수량Back-Data'!$B$3:$AAA$3,0))</f>
        <v>0</v>
      </c>
      <c r="AA82" s="331">
        <f>INDEX('생산수량Back-Data'!$B$5:$AAA$10041,
       MATCH($B81,'생산수량Back-Data'!$B$5:$B$10041,0),
       MATCH(AA$3,'생산수량Back-Data'!$B$3:$AAA$3,0))</f>
        <v>0</v>
      </c>
      <c r="AB82" s="331">
        <f>INDEX('생산수량Back-Data'!$B$5:$AAA$10041,
       MATCH($B81,'생산수량Back-Data'!$B$5:$B$10041,0),
       MATCH(AB$3,'생산수량Back-Data'!$B$3:$AAA$3,0))</f>
        <v>0</v>
      </c>
      <c r="AC82" s="331">
        <f>INDEX('생산수량Back-Data'!$B$5:$AAA$10041,
       MATCH($B81,'생산수량Back-Data'!$B$5:$B$10041,0),
       MATCH(AC$3,'생산수량Back-Data'!$B$3:$AAA$3,0))</f>
        <v>0</v>
      </c>
      <c r="AD82" s="331">
        <f>INDEX('생산수량Back-Data'!$B$5:$AAA$10041,
       MATCH($B81,'생산수량Back-Data'!$B$5:$B$10041,0),
       MATCH(AD$3,'생산수량Back-Data'!$B$3:$AAA$3,0))</f>
        <v>0</v>
      </c>
      <c r="AE82" s="331">
        <f>INDEX('생산수량Back-Data'!$B$5:$AAA$10041,
       MATCH($B81,'생산수량Back-Data'!$B$5:$B$10041,0),
       MATCH(AE$3,'생산수량Back-Data'!$B$3:$AAA$3,0))</f>
        <v>0</v>
      </c>
      <c r="AF82" s="331">
        <f>INDEX('생산수량Back-Data'!$B$5:$AAA$10041,
       MATCH($B81,'생산수량Back-Data'!$B$5:$B$10041,0),
       MATCH(AF$3,'생산수량Back-Data'!$B$3:$AAA$3,0))</f>
        <v>0</v>
      </c>
      <c r="AG82" s="331">
        <f>INDEX('생산수량Back-Data'!$B$5:$AAA$10041,
       MATCH($B81,'생산수량Back-Data'!$B$5:$B$10041,0),
       MATCH(AG$3,'생산수량Back-Data'!$B$3:$AAA$3,0))</f>
        <v>0</v>
      </c>
      <c r="AH82" s="331">
        <f>INDEX('생산수량Back-Data'!$B$5:$AAA$10041,
       MATCH($B81,'생산수량Back-Data'!$B$5:$B$10041,0),
       MATCH(AH$3,'생산수량Back-Data'!$B$3:$AAA$3,0))</f>
        <v>0</v>
      </c>
      <c r="AI82" s="331">
        <f>INDEX('생산수량Back-Data'!$B$5:$AAA$10041,
       MATCH($B81,'생산수량Back-Data'!$B$5:$B$10041,0),
       MATCH(AI$3,'생산수량Back-Data'!$B$3:$AAA$3,0))</f>
        <v>0</v>
      </c>
      <c r="AJ82" s="331">
        <f>INDEX('생산수량Back-Data'!$B$5:$AAA$10041,
       MATCH($B81,'생산수량Back-Data'!$B$5:$B$10041,0),
       MATCH(AJ$3,'생산수량Back-Data'!$B$3:$AAA$3,0))</f>
        <v>0</v>
      </c>
      <c r="AK82" s="331">
        <f>INDEX('생산수량Back-Data'!$B$5:$AAA$10041,
       MATCH($B81,'생산수량Back-Data'!$B$5:$B$10041,0),
       MATCH(AK$3,'생산수량Back-Data'!$B$3:$AAA$3,0))</f>
        <v>0</v>
      </c>
      <c r="AL82" s="331">
        <f>INDEX('생산수량Back-Data'!$B$5:$AAA$10041,
       MATCH($B81,'생산수량Back-Data'!$B$5:$B$10041,0),
       MATCH(AL$3,'생산수량Back-Data'!$B$3:$AAA$3,0))</f>
        <v>0</v>
      </c>
      <c r="AM82" s="331">
        <f>INDEX('생산수량Back-Data'!$B$5:$AAA$10041,
       MATCH($B81,'생산수량Back-Data'!$B$5:$B$10041,0),
       MATCH(AM$3,'생산수량Back-Data'!$B$3:$AAA$3,0))</f>
        <v>0</v>
      </c>
      <c r="AN82" s="331">
        <f>INDEX('생산수량Back-Data'!$B$5:$AAA$10041,
       MATCH($B81,'생산수량Back-Data'!$B$5:$B$10041,0),
       MATCH(AN$3,'생산수량Back-Data'!$B$3:$AAA$3,0))</f>
        <v>0</v>
      </c>
      <c r="AO82" s="331">
        <f>INDEX('생산수량Back-Data'!$B$5:$AAA$10041,
       MATCH($B81,'생산수량Back-Data'!$B$5:$B$10041,0),
       MATCH(AO$3,'생산수량Back-Data'!$B$3:$AAA$3,0))</f>
        <v>0</v>
      </c>
      <c r="AP82" s="331">
        <f>INDEX('생산수량Back-Data'!$B$5:$AAA$10041,
       MATCH($B81,'생산수량Back-Data'!$B$5:$B$10041,0),
       MATCH(AP$3,'생산수량Back-Data'!$B$3:$AAA$3,0))</f>
        <v>0</v>
      </c>
      <c r="AQ82" s="331">
        <f>INDEX('생산수량Back-Data'!$B$5:$AAA$10041,
       MATCH($B81,'생산수량Back-Data'!$B$5:$B$10041,0),
       MATCH(AQ$3,'생산수량Back-Data'!$B$3:$AAA$3,0))</f>
        <v>0</v>
      </c>
      <c r="AR82" s="331">
        <f>INDEX('생산수량Back-Data'!$B$5:$AAA$10041,
       MATCH($B81,'생산수량Back-Data'!$B$5:$B$10041,0),
       MATCH(AR$3,'생산수량Back-Data'!$B$3:$AAA$3,0))</f>
        <v>0</v>
      </c>
      <c r="AS82" s="331">
        <f>INDEX('생산수량Back-Data'!$B$5:$AAA$10041,
       MATCH($B81,'생산수량Back-Data'!$B$5:$B$10041,0),
       MATCH(AS$3,'생산수량Back-Data'!$B$3:$AAA$3,0))</f>
        <v>0</v>
      </c>
      <c r="AT82" s="331">
        <f>INDEX('생산수량Back-Data'!$B$5:$AAA$10041,
       MATCH($B81,'생산수량Back-Data'!$B$5:$B$10041,0),
       MATCH(AT$3,'생산수량Back-Data'!$B$3:$AAA$3,0))</f>
        <v>0</v>
      </c>
      <c r="AU82" s="331">
        <f>INDEX('생산수량Back-Data'!$B$5:$AAA$10041,
       MATCH($B81,'생산수량Back-Data'!$B$5:$B$10041,0),
       MATCH(AU$3,'생산수량Back-Data'!$B$3:$AAA$3,0))</f>
        <v>0</v>
      </c>
      <c r="AV82" s="331">
        <f>INDEX('생산수량Back-Data'!$B$5:$AAA$10041,
       MATCH($B81,'생산수량Back-Data'!$B$5:$B$10041,0),
       MATCH(AV$3,'생산수량Back-Data'!$B$3:$AAA$3,0))</f>
        <v>0</v>
      </c>
      <c r="AW82" s="332">
        <f>INDEX('생산수량Back-Data'!$B$5:$AAA$10041,
       MATCH($B81,'생산수량Back-Data'!$B$5:$B$10041,0),
       MATCH(AW$3,'생산수량Back-Data'!$B$3:$AAA$3,0))</f>
        <v>0</v>
      </c>
    </row>
    <row r="83" spans="2:49" ht="32.1" customHeight="1" x14ac:dyDescent="0.3">
      <c r="B83" s="444" t="s">
        <v>66</v>
      </c>
      <c r="C83" s="444" t="s">
        <v>185</v>
      </c>
      <c r="D83" s="444" t="s">
        <v>206</v>
      </c>
      <c r="E83" s="438">
        <f>ABS(SUMIFS('Fixture 총 발주수량'!AH:AH,'Fixture 총 발주수량'!B:B,생산계획!B83,'Fixture 총 발주수량'!AH:AH,"&lt;0"))</f>
        <v>401</v>
      </c>
      <c r="F83" s="431">
        <f>G83-E83</f>
        <v>-401</v>
      </c>
      <c r="G83" s="437">
        <f>SUMIF(S83:AW83, "&gt;0")</f>
        <v>0</v>
      </c>
      <c r="H83" s="437">
        <f>SUMIF(S84:AW84, "&gt;0")</f>
        <v>0</v>
      </c>
      <c r="I83" s="442">
        <f>IFERROR(H83/G83,)</f>
        <v>0</v>
      </c>
      <c r="J83" s="438">
        <f>ROUNDUP(E83/400,)</f>
        <v>2</v>
      </c>
      <c r="K83" s="444" t="str">
        <f>IF(O81&lt;=P81,
     IF(O81&lt;=Q81,"1호기","4호기"),
     IF(P81&lt;=Q81,"3호기","4호기")
)</f>
        <v>4호기</v>
      </c>
      <c r="L83" s="438">
        <f>IF(K83="1호기",O81,
 IF(K83="3호기",P81,
 Q81))</f>
        <v>38</v>
      </c>
      <c r="M83" s="438">
        <f>L83+J83</f>
        <v>40</v>
      </c>
      <c r="N83" s="440">
        <v>0</v>
      </c>
      <c r="O83" s="438">
        <f>O81 + IF(K83="1호기",J83,0)</f>
        <v>40</v>
      </c>
      <c r="P83" s="438">
        <f>P81 + IF(K83="3호기",J83,0)</f>
        <v>40</v>
      </c>
      <c r="Q83" s="438">
        <f>Q81 + IF(K83="4호기",J83,0)</f>
        <v>40</v>
      </c>
      <c r="R83" s="306" t="s">
        <v>264</v>
      </c>
      <c r="S83" s="311"/>
      <c r="T83" s="312"/>
      <c r="U83" s="312"/>
      <c r="V83" s="312"/>
      <c r="W83" s="312"/>
      <c r="X83" s="312"/>
      <c r="Y83" s="312"/>
      <c r="Z83" s="312"/>
      <c r="AA83" s="312"/>
      <c r="AB83" s="312"/>
      <c r="AC83" s="312"/>
      <c r="AD83" s="312"/>
      <c r="AE83" s="312"/>
      <c r="AF83" s="312"/>
      <c r="AG83" s="312"/>
      <c r="AH83" s="312"/>
      <c r="AI83" s="312"/>
      <c r="AJ83" s="312"/>
      <c r="AK83" s="312"/>
      <c r="AL83" s="312"/>
      <c r="AM83" s="312"/>
      <c r="AN83" s="312"/>
      <c r="AO83" s="312"/>
      <c r="AP83" s="312"/>
      <c r="AQ83" s="312"/>
      <c r="AR83" s="312"/>
      <c r="AS83" s="312"/>
      <c r="AT83" s="312"/>
      <c r="AU83" s="312"/>
      <c r="AV83" s="312"/>
      <c r="AW83" s="313"/>
    </row>
    <row r="84" spans="2:49" ht="32.1" customHeight="1" x14ac:dyDescent="0.3">
      <c r="B84" s="445"/>
      <c r="C84" s="445"/>
      <c r="D84" s="445"/>
      <c r="E84" s="439"/>
      <c r="F84" s="432"/>
      <c r="G84" s="436"/>
      <c r="H84" s="436"/>
      <c r="I84" s="443"/>
      <c r="J84" s="439"/>
      <c r="K84" s="445"/>
      <c r="L84" s="439"/>
      <c r="M84" s="439"/>
      <c r="N84" s="441"/>
      <c r="O84" s="439"/>
      <c r="P84" s="439"/>
      <c r="Q84" s="439"/>
      <c r="R84" s="306" t="s">
        <v>266</v>
      </c>
      <c r="S84" s="310">
        <f>INDEX('생산수량Back-Data'!$B$5:$AAA$10041,
       MATCH($B83,'생산수량Back-Data'!$B$5:$B$10041,0),
       MATCH(S$3,'생산수량Back-Data'!$B$3:$AAA$3,0))</f>
        <v>0</v>
      </c>
      <c r="T84" s="331">
        <f>INDEX('생산수량Back-Data'!$B$5:$AAA$10041,
       MATCH($B83,'생산수량Back-Data'!$B$5:$B$10041,0),
       MATCH(T$3,'생산수량Back-Data'!$B$3:$AAA$3,0))</f>
        <v>0</v>
      </c>
      <c r="U84" s="331">
        <f>INDEX('생산수량Back-Data'!$B$5:$AAA$10041,
       MATCH($B83,'생산수량Back-Data'!$B$5:$B$10041,0),
       MATCH(U$3,'생산수량Back-Data'!$B$3:$AAA$3,0))</f>
        <v>0</v>
      </c>
      <c r="V84" s="331">
        <f>INDEX('생산수량Back-Data'!$B$5:$AAA$10041,
       MATCH($B83,'생산수량Back-Data'!$B$5:$B$10041,0),
       MATCH(V$3,'생산수량Back-Data'!$B$3:$AAA$3,0))</f>
        <v>0</v>
      </c>
      <c r="W84" s="331">
        <f>INDEX('생산수량Back-Data'!$B$5:$AAA$10041,
       MATCH($B83,'생산수량Back-Data'!$B$5:$B$10041,0),
       MATCH(W$3,'생산수량Back-Data'!$B$3:$AAA$3,0))</f>
        <v>0</v>
      </c>
      <c r="X84" s="331">
        <f>INDEX('생산수량Back-Data'!$B$5:$AAA$10041,
       MATCH($B83,'생산수량Back-Data'!$B$5:$B$10041,0),
       MATCH(X$3,'생산수량Back-Data'!$B$3:$AAA$3,0))</f>
        <v>0</v>
      </c>
      <c r="Y84" s="331">
        <f>INDEX('생산수량Back-Data'!$B$5:$AAA$10041,
       MATCH($B83,'생산수량Back-Data'!$B$5:$B$10041,0),
       MATCH(Y$3,'생산수량Back-Data'!$B$3:$AAA$3,0))</f>
        <v>0</v>
      </c>
      <c r="Z84" s="331">
        <f>INDEX('생산수량Back-Data'!$B$5:$AAA$10041,
       MATCH($B83,'생산수량Back-Data'!$B$5:$B$10041,0),
       MATCH(Z$3,'생산수량Back-Data'!$B$3:$AAA$3,0))</f>
        <v>0</v>
      </c>
      <c r="AA84" s="331">
        <f>INDEX('생산수량Back-Data'!$B$5:$AAA$10041,
       MATCH($B83,'생산수량Back-Data'!$B$5:$B$10041,0),
       MATCH(AA$3,'생산수량Back-Data'!$B$3:$AAA$3,0))</f>
        <v>0</v>
      </c>
      <c r="AB84" s="331">
        <f>INDEX('생산수량Back-Data'!$B$5:$AAA$10041,
       MATCH($B83,'생산수량Back-Data'!$B$5:$B$10041,0),
       MATCH(AB$3,'생산수량Back-Data'!$B$3:$AAA$3,0))</f>
        <v>0</v>
      </c>
      <c r="AC84" s="331">
        <f>INDEX('생산수량Back-Data'!$B$5:$AAA$10041,
       MATCH($B83,'생산수량Back-Data'!$B$5:$B$10041,0),
       MATCH(AC$3,'생산수량Back-Data'!$B$3:$AAA$3,0))</f>
        <v>0</v>
      </c>
      <c r="AD84" s="331">
        <f>INDEX('생산수량Back-Data'!$B$5:$AAA$10041,
       MATCH($B83,'생산수량Back-Data'!$B$5:$B$10041,0),
       MATCH(AD$3,'생산수량Back-Data'!$B$3:$AAA$3,0))</f>
        <v>0</v>
      </c>
      <c r="AE84" s="331">
        <f>INDEX('생산수량Back-Data'!$B$5:$AAA$10041,
       MATCH($B83,'생산수량Back-Data'!$B$5:$B$10041,0),
       MATCH(AE$3,'생산수량Back-Data'!$B$3:$AAA$3,0))</f>
        <v>0</v>
      </c>
      <c r="AF84" s="331">
        <f>INDEX('생산수량Back-Data'!$B$5:$AAA$10041,
       MATCH($B83,'생산수량Back-Data'!$B$5:$B$10041,0),
       MATCH(AF$3,'생산수량Back-Data'!$B$3:$AAA$3,0))</f>
        <v>0</v>
      </c>
      <c r="AG84" s="331">
        <f>INDEX('생산수량Back-Data'!$B$5:$AAA$10041,
       MATCH($B83,'생산수량Back-Data'!$B$5:$B$10041,0),
       MATCH(AG$3,'생산수량Back-Data'!$B$3:$AAA$3,0))</f>
        <v>0</v>
      </c>
      <c r="AH84" s="331">
        <f>INDEX('생산수량Back-Data'!$B$5:$AAA$10041,
       MATCH($B83,'생산수량Back-Data'!$B$5:$B$10041,0),
       MATCH(AH$3,'생산수량Back-Data'!$B$3:$AAA$3,0))</f>
        <v>0</v>
      </c>
      <c r="AI84" s="331">
        <f>INDEX('생산수량Back-Data'!$B$5:$AAA$10041,
       MATCH($B83,'생산수량Back-Data'!$B$5:$B$10041,0),
       MATCH(AI$3,'생산수량Back-Data'!$B$3:$AAA$3,0))</f>
        <v>0</v>
      </c>
      <c r="AJ84" s="331">
        <f>INDEX('생산수량Back-Data'!$B$5:$AAA$10041,
       MATCH($B83,'생산수량Back-Data'!$B$5:$B$10041,0),
       MATCH(AJ$3,'생산수량Back-Data'!$B$3:$AAA$3,0))</f>
        <v>0</v>
      </c>
      <c r="AK84" s="331">
        <f>INDEX('생산수량Back-Data'!$B$5:$AAA$10041,
       MATCH($B83,'생산수량Back-Data'!$B$5:$B$10041,0),
       MATCH(AK$3,'생산수량Back-Data'!$B$3:$AAA$3,0))</f>
        <v>0</v>
      </c>
      <c r="AL84" s="331">
        <f>INDEX('생산수량Back-Data'!$B$5:$AAA$10041,
       MATCH($B83,'생산수량Back-Data'!$B$5:$B$10041,0),
       MATCH(AL$3,'생산수량Back-Data'!$B$3:$AAA$3,0))</f>
        <v>0</v>
      </c>
      <c r="AM84" s="331">
        <f>INDEX('생산수량Back-Data'!$B$5:$AAA$10041,
       MATCH($B83,'생산수량Back-Data'!$B$5:$B$10041,0),
       MATCH(AM$3,'생산수량Back-Data'!$B$3:$AAA$3,0))</f>
        <v>0</v>
      </c>
      <c r="AN84" s="331">
        <f>INDEX('생산수량Back-Data'!$B$5:$AAA$10041,
       MATCH($B83,'생산수량Back-Data'!$B$5:$B$10041,0),
       MATCH(AN$3,'생산수량Back-Data'!$B$3:$AAA$3,0))</f>
        <v>0</v>
      </c>
      <c r="AO84" s="331">
        <f>INDEX('생산수량Back-Data'!$B$5:$AAA$10041,
       MATCH($B83,'생산수량Back-Data'!$B$5:$B$10041,0),
       MATCH(AO$3,'생산수량Back-Data'!$B$3:$AAA$3,0))</f>
        <v>0</v>
      </c>
      <c r="AP84" s="331">
        <f>INDEX('생산수량Back-Data'!$B$5:$AAA$10041,
       MATCH($B83,'생산수량Back-Data'!$B$5:$B$10041,0),
       MATCH(AP$3,'생산수량Back-Data'!$B$3:$AAA$3,0))</f>
        <v>0</v>
      </c>
      <c r="AQ84" s="331">
        <f>INDEX('생산수량Back-Data'!$B$5:$AAA$10041,
       MATCH($B83,'생산수량Back-Data'!$B$5:$B$10041,0),
       MATCH(AQ$3,'생산수량Back-Data'!$B$3:$AAA$3,0))</f>
        <v>0</v>
      </c>
      <c r="AR84" s="331">
        <f>INDEX('생산수량Back-Data'!$B$5:$AAA$10041,
       MATCH($B83,'생산수량Back-Data'!$B$5:$B$10041,0),
       MATCH(AR$3,'생산수량Back-Data'!$B$3:$AAA$3,0))</f>
        <v>0</v>
      </c>
      <c r="AS84" s="331">
        <f>INDEX('생산수량Back-Data'!$B$5:$AAA$10041,
       MATCH($B83,'생산수량Back-Data'!$B$5:$B$10041,0),
       MATCH(AS$3,'생산수량Back-Data'!$B$3:$AAA$3,0))</f>
        <v>0</v>
      </c>
      <c r="AT84" s="331">
        <f>INDEX('생산수량Back-Data'!$B$5:$AAA$10041,
       MATCH($B83,'생산수량Back-Data'!$B$5:$B$10041,0),
       MATCH(AT$3,'생산수량Back-Data'!$B$3:$AAA$3,0))</f>
        <v>0</v>
      </c>
      <c r="AU84" s="331">
        <f>INDEX('생산수량Back-Data'!$B$5:$AAA$10041,
       MATCH($B83,'생산수량Back-Data'!$B$5:$B$10041,0),
       MATCH(AU$3,'생산수량Back-Data'!$B$3:$AAA$3,0))</f>
        <v>0</v>
      </c>
      <c r="AV84" s="331">
        <f>INDEX('생산수량Back-Data'!$B$5:$AAA$10041,
       MATCH($B83,'생산수량Back-Data'!$B$5:$B$10041,0),
       MATCH(AV$3,'생산수량Back-Data'!$B$3:$AAA$3,0))</f>
        <v>0</v>
      </c>
      <c r="AW84" s="332">
        <f>INDEX('생산수량Back-Data'!$B$5:$AAA$10041,
       MATCH($B83,'생산수량Back-Data'!$B$5:$B$10041,0),
       MATCH(AW$3,'생산수량Back-Data'!$B$3:$AAA$3,0))</f>
        <v>0</v>
      </c>
    </row>
    <row r="85" spans="2:49" ht="32.1" customHeight="1" x14ac:dyDescent="0.3">
      <c r="B85" s="444" t="s">
        <v>67</v>
      </c>
      <c r="C85" s="444" t="s">
        <v>185</v>
      </c>
      <c r="D85" s="444" t="s">
        <v>207</v>
      </c>
      <c r="E85" s="438">
        <f>ABS(SUMIFS('Fixture 총 발주수량'!AH:AH,'Fixture 총 발주수량'!B:B,생산계획!B85,'Fixture 총 발주수량'!AH:AH,"&lt;0"))</f>
        <v>69</v>
      </c>
      <c r="F85" s="431">
        <f>G85-E85</f>
        <v>-69</v>
      </c>
      <c r="G85" s="437">
        <f>SUMIF(S85:AW85, "&gt;0")</f>
        <v>0</v>
      </c>
      <c r="H85" s="437">
        <f>SUMIF(S86:AW86, "&gt;0")</f>
        <v>0</v>
      </c>
      <c r="I85" s="442">
        <f>IFERROR(H85/G85,)</f>
        <v>0</v>
      </c>
      <c r="J85" s="438">
        <f>ROUNDUP(E85/400,)</f>
        <v>1</v>
      </c>
      <c r="K85" s="444" t="str">
        <f>IF(O83&lt;=P83,
     IF(O83&lt;=Q83,"1호기","4호기"),
     IF(P83&lt;=Q83,"3호기","4호기")
)</f>
        <v>1호기</v>
      </c>
      <c r="L85" s="438">
        <f>IF(K85="1호기",O83,
 IF(K85="3호기",P83,
 Q83))</f>
        <v>40</v>
      </c>
      <c r="M85" s="438">
        <f>L85+J85</f>
        <v>41</v>
      </c>
      <c r="N85" s="440">
        <v>0</v>
      </c>
      <c r="O85" s="438">
        <f>O83 + IF(K85="1호기",J85,0)</f>
        <v>41</v>
      </c>
      <c r="P85" s="438">
        <f>P83 + IF(K85="3호기",J85,0)</f>
        <v>40</v>
      </c>
      <c r="Q85" s="438">
        <f>Q83 + IF(K85="4호기",J85,0)</f>
        <v>40</v>
      </c>
      <c r="R85" s="306" t="s">
        <v>264</v>
      </c>
      <c r="S85" s="311"/>
      <c r="T85" s="312"/>
      <c r="U85" s="312"/>
      <c r="V85" s="312"/>
      <c r="W85" s="312"/>
      <c r="X85" s="312"/>
      <c r="Y85" s="312"/>
      <c r="Z85" s="312"/>
      <c r="AA85" s="312"/>
      <c r="AB85" s="312"/>
      <c r="AC85" s="312"/>
      <c r="AD85" s="312"/>
      <c r="AE85" s="312"/>
      <c r="AF85" s="312"/>
      <c r="AG85" s="312"/>
      <c r="AH85" s="312"/>
      <c r="AI85" s="312"/>
      <c r="AJ85" s="312"/>
      <c r="AK85" s="312"/>
      <c r="AL85" s="312"/>
      <c r="AM85" s="312"/>
      <c r="AN85" s="312"/>
      <c r="AO85" s="312"/>
      <c r="AP85" s="312"/>
      <c r="AQ85" s="312"/>
      <c r="AR85" s="312"/>
      <c r="AS85" s="312"/>
      <c r="AT85" s="312"/>
      <c r="AU85" s="312"/>
      <c r="AV85" s="312"/>
      <c r="AW85" s="313"/>
    </row>
    <row r="86" spans="2:49" ht="32.1" customHeight="1" x14ac:dyDescent="0.3">
      <c r="B86" s="445"/>
      <c r="C86" s="445"/>
      <c r="D86" s="445"/>
      <c r="E86" s="439"/>
      <c r="F86" s="432"/>
      <c r="G86" s="436"/>
      <c r="H86" s="436"/>
      <c r="I86" s="443"/>
      <c r="J86" s="439"/>
      <c r="K86" s="445"/>
      <c r="L86" s="439"/>
      <c r="M86" s="439"/>
      <c r="N86" s="441"/>
      <c r="O86" s="439"/>
      <c r="P86" s="439"/>
      <c r="Q86" s="439"/>
      <c r="R86" s="306" t="s">
        <v>266</v>
      </c>
      <c r="S86" s="328">
        <f>INDEX('생산수량Back-Data'!$B$5:$AAA$10041,
       MATCH($B85,'생산수량Back-Data'!$B$5:$B$10041,0),
       MATCH(S$3,'생산수량Back-Data'!$B$3:$AAA$3,0))</f>
        <v>0</v>
      </c>
      <c r="T86" s="343">
        <f>INDEX('생산수량Back-Data'!$B$5:$AAA$10041,
       MATCH($B85,'생산수량Back-Data'!$B$5:$B$10041,0),
       MATCH(T$3,'생산수량Back-Data'!$B$3:$AAA$3,0))</f>
        <v>0</v>
      </c>
      <c r="U86" s="343">
        <f>INDEX('생산수량Back-Data'!$B$5:$AAA$10041,
       MATCH($B85,'생산수량Back-Data'!$B$5:$B$10041,0),
       MATCH(U$3,'생산수량Back-Data'!$B$3:$AAA$3,0))</f>
        <v>0</v>
      </c>
      <c r="V86" s="343">
        <f>INDEX('생산수량Back-Data'!$B$5:$AAA$10041,
       MATCH($B85,'생산수량Back-Data'!$B$5:$B$10041,0),
       MATCH(V$3,'생산수량Back-Data'!$B$3:$AAA$3,0))</f>
        <v>0</v>
      </c>
      <c r="W86" s="343">
        <f>INDEX('생산수량Back-Data'!$B$5:$AAA$10041,
       MATCH($B85,'생산수량Back-Data'!$B$5:$B$10041,0),
       MATCH(W$3,'생산수량Back-Data'!$B$3:$AAA$3,0))</f>
        <v>0</v>
      </c>
      <c r="X86" s="343">
        <f>INDEX('생산수량Back-Data'!$B$5:$AAA$10041,
       MATCH($B85,'생산수량Back-Data'!$B$5:$B$10041,0),
       MATCH(X$3,'생산수량Back-Data'!$B$3:$AAA$3,0))</f>
        <v>0</v>
      </c>
      <c r="Y86" s="343">
        <f>INDEX('생산수량Back-Data'!$B$5:$AAA$10041,
       MATCH($B85,'생산수량Back-Data'!$B$5:$B$10041,0),
       MATCH(Y$3,'생산수량Back-Data'!$B$3:$AAA$3,0))</f>
        <v>0</v>
      </c>
      <c r="Z86" s="343">
        <f>INDEX('생산수량Back-Data'!$B$5:$AAA$10041,
       MATCH($B85,'생산수량Back-Data'!$B$5:$B$10041,0),
       MATCH(Z$3,'생산수량Back-Data'!$B$3:$AAA$3,0))</f>
        <v>0</v>
      </c>
      <c r="AA86" s="343">
        <f>INDEX('생산수량Back-Data'!$B$5:$AAA$10041,
       MATCH($B85,'생산수량Back-Data'!$B$5:$B$10041,0),
       MATCH(AA$3,'생산수량Back-Data'!$B$3:$AAA$3,0))</f>
        <v>0</v>
      </c>
      <c r="AB86" s="343">
        <f>INDEX('생산수량Back-Data'!$B$5:$AAA$10041,
       MATCH($B85,'생산수량Back-Data'!$B$5:$B$10041,0),
       MATCH(AB$3,'생산수량Back-Data'!$B$3:$AAA$3,0))</f>
        <v>0</v>
      </c>
      <c r="AC86" s="343">
        <f>INDEX('생산수량Back-Data'!$B$5:$AAA$10041,
       MATCH($B85,'생산수량Back-Data'!$B$5:$B$10041,0),
       MATCH(AC$3,'생산수량Back-Data'!$B$3:$AAA$3,0))</f>
        <v>0</v>
      </c>
      <c r="AD86" s="343">
        <f>INDEX('생산수량Back-Data'!$B$5:$AAA$10041,
       MATCH($B85,'생산수량Back-Data'!$B$5:$B$10041,0),
       MATCH(AD$3,'생산수량Back-Data'!$B$3:$AAA$3,0))</f>
        <v>0</v>
      </c>
      <c r="AE86" s="343">
        <f>INDEX('생산수량Back-Data'!$B$5:$AAA$10041,
       MATCH($B85,'생산수량Back-Data'!$B$5:$B$10041,0),
       MATCH(AE$3,'생산수량Back-Data'!$B$3:$AAA$3,0))</f>
        <v>0</v>
      </c>
      <c r="AF86" s="343">
        <f>INDEX('생산수량Back-Data'!$B$5:$AAA$10041,
       MATCH($B85,'생산수량Back-Data'!$B$5:$B$10041,0),
       MATCH(AF$3,'생산수량Back-Data'!$B$3:$AAA$3,0))</f>
        <v>0</v>
      </c>
      <c r="AG86" s="343">
        <f>INDEX('생산수량Back-Data'!$B$5:$AAA$10041,
       MATCH($B85,'생산수량Back-Data'!$B$5:$B$10041,0),
       MATCH(AG$3,'생산수량Back-Data'!$B$3:$AAA$3,0))</f>
        <v>0</v>
      </c>
      <c r="AH86" s="343">
        <f>INDEX('생산수량Back-Data'!$B$5:$AAA$10041,
       MATCH($B85,'생산수량Back-Data'!$B$5:$B$10041,0),
       MATCH(AH$3,'생산수량Back-Data'!$B$3:$AAA$3,0))</f>
        <v>0</v>
      </c>
      <c r="AI86" s="343">
        <f>INDEX('생산수량Back-Data'!$B$5:$AAA$10041,
       MATCH($B85,'생산수량Back-Data'!$B$5:$B$10041,0),
       MATCH(AI$3,'생산수량Back-Data'!$B$3:$AAA$3,0))</f>
        <v>0</v>
      </c>
      <c r="AJ86" s="343">
        <f>INDEX('생산수량Back-Data'!$B$5:$AAA$10041,
       MATCH($B85,'생산수량Back-Data'!$B$5:$B$10041,0),
       MATCH(AJ$3,'생산수량Back-Data'!$B$3:$AAA$3,0))</f>
        <v>0</v>
      </c>
      <c r="AK86" s="343">
        <f>INDEX('생산수량Back-Data'!$B$5:$AAA$10041,
       MATCH($B85,'생산수량Back-Data'!$B$5:$B$10041,0),
       MATCH(AK$3,'생산수량Back-Data'!$B$3:$AAA$3,0))</f>
        <v>0</v>
      </c>
      <c r="AL86" s="343">
        <f>INDEX('생산수량Back-Data'!$B$5:$AAA$10041,
       MATCH($B85,'생산수량Back-Data'!$B$5:$B$10041,0),
       MATCH(AL$3,'생산수량Back-Data'!$B$3:$AAA$3,0))</f>
        <v>0</v>
      </c>
      <c r="AM86" s="343">
        <f>INDEX('생산수량Back-Data'!$B$5:$AAA$10041,
       MATCH($B85,'생산수량Back-Data'!$B$5:$B$10041,0),
       MATCH(AM$3,'생산수량Back-Data'!$B$3:$AAA$3,0))</f>
        <v>0</v>
      </c>
      <c r="AN86" s="343">
        <f>INDEX('생산수량Back-Data'!$B$5:$AAA$10041,
       MATCH($B85,'생산수량Back-Data'!$B$5:$B$10041,0),
       MATCH(AN$3,'생산수량Back-Data'!$B$3:$AAA$3,0))</f>
        <v>0</v>
      </c>
      <c r="AO86" s="343">
        <f>INDEX('생산수량Back-Data'!$B$5:$AAA$10041,
       MATCH($B85,'생산수량Back-Data'!$B$5:$B$10041,0),
       MATCH(AO$3,'생산수량Back-Data'!$B$3:$AAA$3,0))</f>
        <v>0</v>
      </c>
      <c r="AP86" s="343">
        <f>INDEX('생산수량Back-Data'!$B$5:$AAA$10041,
       MATCH($B85,'생산수량Back-Data'!$B$5:$B$10041,0),
       MATCH(AP$3,'생산수량Back-Data'!$B$3:$AAA$3,0))</f>
        <v>0</v>
      </c>
      <c r="AQ86" s="343">
        <f>INDEX('생산수량Back-Data'!$B$5:$AAA$10041,
       MATCH($B85,'생산수량Back-Data'!$B$5:$B$10041,0),
       MATCH(AQ$3,'생산수량Back-Data'!$B$3:$AAA$3,0))</f>
        <v>0</v>
      </c>
      <c r="AR86" s="343">
        <f>INDEX('생산수량Back-Data'!$B$5:$AAA$10041,
       MATCH($B85,'생산수량Back-Data'!$B$5:$B$10041,0),
       MATCH(AR$3,'생산수량Back-Data'!$B$3:$AAA$3,0))</f>
        <v>0</v>
      </c>
      <c r="AS86" s="343">
        <f>INDEX('생산수량Back-Data'!$B$5:$AAA$10041,
       MATCH($B85,'생산수량Back-Data'!$B$5:$B$10041,0),
       MATCH(AS$3,'생산수량Back-Data'!$B$3:$AAA$3,0))</f>
        <v>0</v>
      </c>
      <c r="AT86" s="343">
        <f>INDEX('생산수량Back-Data'!$B$5:$AAA$10041,
       MATCH($B85,'생산수량Back-Data'!$B$5:$B$10041,0),
       MATCH(AT$3,'생산수량Back-Data'!$B$3:$AAA$3,0))</f>
        <v>0</v>
      </c>
      <c r="AU86" s="343">
        <f>INDEX('생산수량Back-Data'!$B$5:$AAA$10041,
       MATCH($B85,'생산수량Back-Data'!$B$5:$B$10041,0),
       MATCH(AU$3,'생산수량Back-Data'!$B$3:$AAA$3,0))</f>
        <v>0</v>
      </c>
      <c r="AV86" s="343">
        <f>INDEX('생산수량Back-Data'!$B$5:$AAA$10041,
       MATCH($B85,'생산수량Back-Data'!$B$5:$B$10041,0),
       MATCH(AV$3,'생산수량Back-Data'!$B$3:$AAA$3,0))</f>
        <v>0</v>
      </c>
      <c r="AW86" s="344">
        <f>INDEX('생산수량Back-Data'!$B$5:$AAA$10041,
       MATCH($B85,'생산수량Back-Data'!$B$5:$B$10041,0),
       MATCH(AW$3,'생산수량Back-Data'!$B$3:$AAA$3,0))</f>
        <v>0</v>
      </c>
    </row>
    <row r="87" spans="2:49" ht="20.100000000000001" customHeight="1" x14ac:dyDescent="0.3">
      <c r="B87" s="317"/>
      <c r="C87" s="317"/>
      <c r="D87" s="317"/>
      <c r="E87" s="318"/>
      <c r="F87" s="318"/>
      <c r="G87" s="319"/>
      <c r="H87" s="319"/>
      <c r="I87" s="319"/>
      <c r="J87" s="318"/>
      <c r="K87" s="317"/>
      <c r="L87" s="318"/>
      <c r="M87" s="318"/>
      <c r="N87" s="345"/>
      <c r="O87" s="318"/>
      <c r="P87" s="318"/>
      <c r="Q87" s="318"/>
      <c r="R87" s="318"/>
      <c r="S87" s="320"/>
      <c r="T87" s="320"/>
      <c r="U87" s="320"/>
      <c r="V87" s="320"/>
      <c r="W87" s="320"/>
      <c r="X87" s="320"/>
      <c r="Y87" s="320"/>
      <c r="Z87" s="320"/>
      <c r="AA87" s="320"/>
      <c r="AB87" s="320"/>
      <c r="AC87" s="320"/>
      <c r="AD87" s="320"/>
      <c r="AE87" s="320"/>
      <c r="AF87" s="320"/>
      <c r="AG87" s="320"/>
      <c r="AH87" s="320"/>
      <c r="AI87" s="320"/>
      <c r="AJ87" s="320"/>
      <c r="AK87" s="320"/>
      <c r="AL87" s="320"/>
      <c r="AM87" s="320"/>
      <c r="AN87" s="320"/>
      <c r="AO87" s="320"/>
      <c r="AP87" s="320"/>
      <c r="AQ87" s="320"/>
      <c r="AR87" s="320"/>
      <c r="AS87" s="320"/>
      <c r="AT87" s="320"/>
      <c r="AU87" s="320"/>
      <c r="AV87" s="320"/>
      <c r="AW87" s="320"/>
    </row>
    <row r="88" spans="2:49" ht="20.100000000000001" customHeight="1" x14ac:dyDescent="0.3">
      <c r="B88" s="317"/>
      <c r="C88" s="317"/>
      <c r="D88" s="317"/>
      <c r="E88" s="318"/>
      <c r="F88" s="318"/>
      <c r="G88" s="319"/>
      <c r="H88" s="319"/>
      <c r="I88" s="319"/>
      <c r="J88" s="318"/>
      <c r="K88" s="317"/>
      <c r="L88" s="318"/>
      <c r="M88" s="318"/>
      <c r="N88" s="345"/>
      <c r="O88" s="318"/>
      <c r="P88" s="318"/>
      <c r="Q88" s="318"/>
      <c r="R88" s="318"/>
      <c r="S88" s="320"/>
      <c r="T88" s="320"/>
      <c r="U88" s="320"/>
      <c r="V88" s="320"/>
      <c r="W88" s="320"/>
      <c r="X88" s="320"/>
      <c r="Y88" s="320"/>
      <c r="Z88" s="320"/>
      <c r="AA88" s="320"/>
      <c r="AB88" s="320"/>
      <c r="AC88" s="320"/>
      <c r="AD88" s="320"/>
      <c r="AE88" s="320"/>
      <c r="AF88" s="320"/>
      <c r="AG88" s="320"/>
      <c r="AH88" s="320"/>
      <c r="AI88" s="320"/>
      <c r="AJ88" s="320"/>
      <c r="AK88" s="320"/>
      <c r="AL88" s="320"/>
      <c r="AM88" s="320"/>
      <c r="AN88" s="320"/>
      <c r="AO88" s="320"/>
      <c r="AP88" s="320"/>
      <c r="AQ88" s="320"/>
      <c r="AR88" s="320"/>
      <c r="AS88" s="320"/>
      <c r="AT88" s="320"/>
      <c r="AU88" s="320"/>
      <c r="AV88" s="320"/>
      <c r="AW88" s="320"/>
    </row>
  </sheetData>
  <autoFilter ref="B4:AW86" xr:uid="{EC6D8C2C-F1E2-481F-A59A-E38FD46C0631}"/>
  <mergeCells count="656">
    <mergeCell ref="B5:B6"/>
    <mergeCell ref="C5:C6"/>
    <mergeCell ref="D5:D6"/>
    <mergeCell ref="E5:E6"/>
    <mergeCell ref="G5:G6"/>
    <mergeCell ref="F5:F6"/>
    <mergeCell ref="O7:O8"/>
    <mergeCell ref="P7:P8"/>
    <mergeCell ref="Q7:Q8"/>
    <mergeCell ref="P5:P6"/>
    <mergeCell ref="Q5:Q6"/>
    <mergeCell ref="J5:J6"/>
    <mergeCell ref="K5:K6"/>
    <mergeCell ref="L5:L6"/>
    <mergeCell ref="M5:M6"/>
    <mergeCell ref="N5:N6"/>
    <mergeCell ref="O5:O6"/>
    <mergeCell ref="G7:G8"/>
    <mergeCell ref="L7:L8"/>
    <mergeCell ref="M7:M8"/>
    <mergeCell ref="N7:N8"/>
    <mergeCell ref="H5:H6"/>
    <mergeCell ref="H7:H8"/>
    <mergeCell ref="I5:I6"/>
    <mergeCell ref="J9:J10"/>
    <mergeCell ref="K9:K10"/>
    <mergeCell ref="L9:L10"/>
    <mergeCell ref="M9:M10"/>
    <mergeCell ref="N9:N10"/>
    <mergeCell ref="B9:B10"/>
    <mergeCell ref="C9:C10"/>
    <mergeCell ref="D9:D10"/>
    <mergeCell ref="E9:E10"/>
    <mergeCell ref="G9:G10"/>
    <mergeCell ref="H9:H10"/>
    <mergeCell ref="B13:B14"/>
    <mergeCell ref="C13:C14"/>
    <mergeCell ref="B15:B16"/>
    <mergeCell ref="C15:C16"/>
    <mergeCell ref="D11:D12"/>
    <mergeCell ref="D13:D14"/>
    <mergeCell ref="D15:D16"/>
    <mergeCell ref="E7:E8"/>
    <mergeCell ref="D7:D8"/>
    <mergeCell ref="C7:C8"/>
    <mergeCell ref="B7:B8"/>
    <mergeCell ref="B11:B12"/>
    <mergeCell ref="C11:C12"/>
    <mergeCell ref="E13:E14"/>
    <mergeCell ref="D21:D22"/>
    <mergeCell ref="C21:C22"/>
    <mergeCell ref="B21:B22"/>
    <mergeCell ref="D23:D24"/>
    <mergeCell ref="C23:C24"/>
    <mergeCell ref="B23:B24"/>
    <mergeCell ref="D17:D18"/>
    <mergeCell ref="C17:C18"/>
    <mergeCell ref="B17:B18"/>
    <mergeCell ref="D19:D20"/>
    <mergeCell ref="C19:C20"/>
    <mergeCell ref="B19:B20"/>
    <mergeCell ref="D29:D30"/>
    <mergeCell ref="C29:C30"/>
    <mergeCell ref="B29:B30"/>
    <mergeCell ref="D31:D32"/>
    <mergeCell ref="B31:B32"/>
    <mergeCell ref="C31:C32"/>
    <mergeCell ref="D25:D26"/>
    <mergeCell ref="C25:C26"/>
    <mergeCell ref="B25:B26"/>
    <mergeCell ref="D27:D28"/>
    <mergeCell ref="C27:C28"/>
    <mergeCell ref="B27:B28"/>
    <mergeCell ref="B37:B38"/>
    <mergeCell ref="C37:C38"/>
    <mergeCell ref="D37:D38"/>
    <mergeCell ref="B39:B40"/>
    <mergeCell ref="C39:C40"/>
    <mergeCell ref="D39:D40"/>
    <mergeCell ref="D33:D34"/>
    <mergeCell ref="C33:C34"/>
    <mergeCell ref="B33:B34"/>
    <mergeCell ref="D35:D36"/>
    <mergeCell ref="C35:C36"/>
    <mergeCell ref="B35:B36"/>
    <mergeCell ref="B45:B46"/>
    <mergeCell ref="C45:C46"/>
    <mergeCell ref="D45:D46"/>
    <mergeCell ref="B47:B48"/>
    <mergeCell ref="C47:C48"/>
    <mergeCell ref="D47:D48"/>
    <mergeCell ref="B41:B42"/>
    <mergeCell ref="C41:C42"/>
    <mergeCell ref="D41:D42"/>
    <mergeCell ref="B43:B44"/>
    <mergeCell ref="C43:C44"/>
    <mergeCell ref="D43:D44"/>
    <mergeCell ref="B53:B54"/>
    <mergeCell ref="C53:C54"/>
    <mergeCell ref="D53:D54"/>
    <mergeCell ref="B55:B56"/>
    <mergeCell ref="C55:C56"/>
    <mergeCell ref="D55:D56"/>
    <mergeCell ref="B49:B50"/>
    <mergeCell ref="C49:C50"/>
    <mergeCell ref="D49:D50"/>
    <mergeCell ref="B51:B52"/>
    <mergeCell ref="C51:C52"/>
    <mergeCell ref="D51:D52"/>
    <mergeCell ref="B61:B62"/>
    <mergeCell ref="C61:C62"/>
    <mergeCell ref="D61:D62"/>
    <mergeCell ref="B63:B64"/>
    <mergeCell ref="C63:C64"/>
    <mergeCell ref="D63:D64"/>
    <mergeCell ref="B57:B58"/>
    <mergeCell ref="C57:C58"/>
    <mergeCell ref="D57:D58"/>
    <mergeCell ref="B59:B60"/>
    <mergeCell ref="C59:C60"/>
    <mergeCell ref="D59:D60"/>
    <mergeCell ref="B69:B70"/>
    <mergeCell ref="C69:C70"/>
    <mergeCell ref="D69:D70"/>
    <mergeCell ref="B71:B72"/>
    <mergeCell ref="C71:C72"/>
    <mergeCell ref="D71:D72"/>
    <mergeCell ref="B65:B66"/>
    <mergeCell ref="C65:C66"/>
    <mergeCell ref="D65:D66"/>
    <mergeCell ref="B67:B68"/>
    <mergeCell ref="C67:C68"/>
    <mergeCell ref="D67:D68"/>
    <mergeCell ref="B77:B78"/>
    <mergeCell ref="C77:C78"/>
    <mergeCell ref="D77:D78"/>
    <mergeCell ref="B79:B80"/>
    <mergeCell ref="C79:C80"/>
    <mergeCell ref="D79:D80"/>
    <mergeCell ref="B73:B74"/>
    <mergeCell ref="C73:C74"/>
    <mergeCell ref="D73:D74"/>
    <mergeCell ref="B75:B76"/>
    <mergeCell ref="C75:C76"/>
    <mergeCell ref="D75:D76"/>
    <mergeCell ref="B85:B86"/>
    <mergeCell ref="C85:C86"/>
    <mergeCell ref="D85:D86"/>
    <mergeCell ref="E85:E86"/>
    <mergeCell ref="G85:G86"/>
    <mergeCell ref="H85:H86"/>
    <mergeCell ref="F85:F86"/>
    <mergeCell ref="B81:B82"/>
    <mergeCell ref="C81:C82"/>
    <mergeCell ref="D81:D82"/>
    <mergeCell ref="B83:B84"/>
    <mergeCell ref="C83:C84"/>
    <mergeCell ref="D83:D84"/>
    <mergeCell ref="E83:E84"/>
    <mergeCell ref="G83:G84"/>
    <mergeCell ref="H83:H84"/>
    <mergeCell ref="I13:I14"/>
    <mergeCell ref="J13:J14"/>
    <mergeCell ref="K13:K14"/>
    <mergeCell ref="J85:J86"/>
    <mergeCell ref="K85:K86"/>
    <mergeCell ref="Q9:Q10"/>
    <mergeCell ref="E11:E12"/>
    <mergeCell ref="G11:G12"/>
    <mergeCell ref="I11:I12"/>
    <mergeCell ref="J11:J12"/>
    <mergeCell ref="K11:K12"/>
    <mergeCell ref="L11:L12"/>
    <mergeCell ref="O9:O10"/>
    <mergeCell ref="P9:P10"/>
    <mergeCell ref="M13:M14"/>
    <mergeCell ref="N13:N14"/>
    <mergeCell ref="O13:O14"/>
    <mergeCell ref="P13:P14"/>
    <mergeCell ref="Q13:Q14"/>
    <mergeCell ref="M11:M12"/>
    <mergeCell ref="N11:N12"/>
    <mergeCell ref="O11:O12"/>
    <mergeCell ref="P11:P12"/>
    <mergeCell ref="I9:I10"/>
    <mergeCell ref="Q11:Q12"/>
    <mergeCell ref="E17:E18"/>
    <mergeCell ref="G17:G18"/>
    <mergeCell ref="I17:I18"/>
    <mergeCell ref="J17:J18"/>
    <mergeCell ref="K17:K18"/>
    <mergeCell ref="E15:E16"/>
    <mergeCell ref="G15:G16"/>
    <mergeCell ref="I15:I16"/>
    <mergeCell ref="J15:J16"/>
    <mergeCell ref="K15:K16"/>
    <mergeCell ref="M17:M18"/>
    <mergeCell ref="N17:N18"/>
    <mergeCell ref="O17:O18"/>
    <mergeCell ref="P17:P18"/>
    <mergeCell ref="Q17:Q18"/>
    <mergeCell ref="M15:M16"/>
    <mergeCell ref="N15:N16"/>
    <mergeCell ref="O15:O16"/>
    <mergeCell ref="P15:P16"/>
    <mergeCell ref="Q15:Q16"/>
    <mergeCell ref="H11:H12"/>
    <mergeCell ref="H13:H14"/>
    <mergeCell ref="H15:H16"/>
    <mergeCell ref="Q21:Q22"/>
    <mergeCell ref="M19:M20"/>
    <mergeCell ref="N19:N20"/>
    <mergeCell ref="O19:O20"/>
    <mergeCell ref="P19:P20"/>
    <mergeCell ref="Q19:Q20"/>
    <mergeCell ref="E21:E22"/>
    <mergeCell ref="G21:G22"/>
    <mergeCell ref="I21:I22"/>
    <mergeCell ref="J21:J22"/>
    <mergeCell ref="K21:K22"/>
    <mergeCell ref="E19:E20"/>
    <mergeCell ref="G19:G20"/>
    <mergeCell ref="I19:I20"/>
    <mergeCell ref="J19:J20"/>
    <mergeCell ref="K19:K20"/>
    <mergeCell ref="F19:F20"/>
    <mergeCell ref="L21:L22"/>
    <mergeCell ref="L19:L20"/>
    <mergeCell ref="Q25:Q26"/>
    <mergeCell ref="M23:M24"/>
    <mergeCell ref="N23:N24"/>
    <mergeCell ref="O23:O24"/>
    <mergeCell ref="P23:P24"/>
    <mergeCell ref="Q23:Q24"/>
    <mergeCell ref="E25:E26"/>
    <mergeCell ref="G25:G26"/>
    <mergeCell ref="I25:I26"/>
    <mergeCell ref="J25:J26"/>
    <mergeCell ref="K25:K26"/>
    <mergeCell ref="E23:E24"/>
    <mergeCell ref="G23:G24"/>
    <mergeCell ref="I23:I24"/>
    <mergeCell ref="J23:J24"/>
    <mergeCell ref="K23:K24"/>
    <mergeCell ref="L25:L26"/>
    <mergeCell ref="L23:L24"/>
    <mergeCell ref="Q29:Q30"/>
    <mergeCell ref="M27:M28"/>
    <mergeCell ref="N27:N28"/>
    <mergeCell ref="O27:O28"/>
    <mergeCell ref="P27:P28"/>
    <mergeCell ref="Q27:Q28"/>
    <mergeCell ref="E29:E30"/>
    <mergeCell ref="G29:G30"/>
    <mergeCell ref="I29:I30"/>
    <mergeCell ref="J29:J30"/>
    <mergeCell ref="K29:K30"/>
    <mergeCell ref="E27:E28"/>
    <mergeCell ref="G27:G28"/>
    <mergeCell ref="I27:I28"/>
    <mergeCell ref="J27:J28"/>
    <mergeCell ref="K27:K28"/>
    <mergeCell ref="Q33:Q34"/>
    <mergeCell ref="M31:M32"/>
    <mergeCell ref="N31:N32"/>
    <mergeCell ref="O31:O32"/>
    <mergeCell ref="P31:P32"/>
    <mergeCell ref="Q31:Q32"/>
    <mergeCell ref="E33:E34"/>
    <mergeCell ref="G33:G34"/>
    <mergeCell ref="I33:I34"/>
    <mergeCell ref="J33:J34"/>
    <mergeCell ref="K33:K34"/>
    <mergeCell ref="E31:E32"/>
    <mergeCell ref="G31:G32"/>
    <mergeCell ref="I31:I32"/>
    <mergeCell ref="J31:J32"/>
    <mergeCell ref="K31:K32"/>
    <mergeCell ref="F33:F34"/>
    <mergeCell ref="Q37:Q38"/>
    <mergeCell ref="M35:M36"/>
    <mergeCell ref="N35:N36"/>
    <mergeCell ref="O35:O36"/>
    <mergeCell ref="P35:P36"/>
    <mergeCell ref="Q35:Q36"/>
    <mergeCell ref="E37:E38"/>
    <mergeCell ref="G37:G38"/>
    <mergeCell ref="I37:I38"/>
    <mergeCell ref="J37:J38"/>
    <mergeCell ref="K37:K38"/>
    <mergeCell ref="E35:E36"/>
    <mergeCell ref="G35:G36"/>
    <mergeCell ref="I35:I36"/>
    <mergeCell ref="J35:J36"/>
    <mergeCell ref="K35:K36"/>
    <mergeCell ref="F35:F36"/>
    <mergeCell ref="F37:F38"/>
    <mergeCell ref="L17:L18"/>
    <mergeCell ref="M37:M38"/>
    <mergeCell ref="N37:N38"/>
    <mergeCell ref="O37:O38"/>
    <mergeCell ref="P37:P38"/>
    <mergeCell ref="M33:M34"/>
    <mergeCell ref="N33:N34"/>
    <mergeCell ref="O33:O34"/>
    <mergeCell ref="P33:P34"/>
    <mergeCell ref="M29:M30"/>
    <mergeCell ref="N29:N30"/>
    <mergeCell ref="O29:O30"/>
    <mergeCell ref="P29:P30"/>
    <mergeCell ref="M25:M26"/>
    <mergeCell ref="N25:N26"/>
    <mergeCell ref="O25:O26"/>
    <mergeCell ref="P25:P26"/>
    <mergeCell ref="M21:M22"/>
    <mergeCell ref="N21:N22"/>
    <mergeCell ref="O21:O22"/>
    <mergeCell ref="P21:P22"/>
    <mergeCell ref="L15:L16"/>
    <mergeCell ref="L13:L14"/>
    <mergeCell ref="K7:K8"/>
    <mergeCell ref="J7:J8"/>
    <mergeCell ref="I7:I8"/>
    <mergeCell ref="H35:H36"/>
    <mergeCell ref="H37:H38"/>
    <mergeCell ref="G39:G40"/>
    <mergeCell ref="H39:H40"/>
    <mergeCell ref="H21:H22"/>
    <mergeCell ref="H23:H24"/>
    <mergeCell ref="H25:H26"/>
    <mergeCell ref="H27:H28"/>
    <mergeCell ref="H29:H30"/>
    <mergeCell ref="H31:H32"/>
    <mergeCell ref="I39:I40"/>
    <mergeCell ref="H17:H18"/>
    <mergeCell ref="H19:H20"/>
    <mergeCell ref="L37:L38"/>
    <mergeCell ref="L35:L36"/>
    <mergeCell ref="L33:L34"/>
    <mergeCell ref="L31:L32"/>
    <mergeCell ref="L29:L30"/>
    <mergeCell ref="L27:L28"/>
    <mergeCell ref="E43:E44"/>
    <mergeCell ref="G43:G44"/>
    <mergeCell ref="H43:H44"/>
    <mergeCell ref="I43:I44"/>
    <mergeCell ref="J43:J44"/>
    <mergeCell ref="K43:K44"/>
    <mergeCell ref="P39:P40"/>
    <mergeCell ref="Q39:Q40"/>
    <mergeCell ref="E41:E42"/>
    <mergeCell ref="G41:G42"/>
    <mergeCell ref="H41:H42"/>
    <mergeCell ref="I41:I42"/>
    <mergeCell ref="J41:J42"/>
    <mergeCell ref="K41:K42"/>
    <mergeCell ref="L41:L42"/>
    <mergeCell ref="M41:M42"/>
    <mergeCell ref="J39:J40"/>
    <mergeCell ref="K39:K40"/>
    <mergeCell ref="L39:L40"/>
    <mergeCell ref="M39:M40"/>
    <mergeCell ref="N39:N40"/>
    <mergeCell ref="O39:O40"/>
    <mergeCell ref="E39:E40"/>
    <mergeCell ref="L43:L44"/>
    <mergeCell ref="M43:M44"/>
    <mergeCell ref="N43:N44"/>
    <mergeCell ref="O43:O44"/>
    <mergeCell ref="P43:P44"/>
    <mergeCell ref="Q43:Q44"/>
    <mergeCell ref="N41:N42"/>
    <mergeCell ref="O41:O42"/>
    <mergeCell ref="P41:P42"/>
    <mergeCell ref="Q41:Q42"/>
    <mergeCell ref="E47:E48"/>
    <mergeCell ref="F47:F48"/>
    <mergeCell ref="L45:L46"/>
    <mergeCell ref="M45:M46"/>
    <mergeCell ref="N45:N46"/>
    <mergeCell ref="O45:O46"/>
    <mergeCell ref="P45:P46"/>
    <mergeCell ref="Q45:Q46"/>
    <mergeCell ref="E45:E46"/>
    <mergeCell ref="G45:G46"/>
    <mergeCell ref="H45:H46"/>
    <mergeCell ref="I45:I46"/>
    <mergeCell ref="J45:J46"/>
    <mergeCell ref="K45:K46"/>
    <mergeCell ref="F45:F46"/>
    <mergeCell ref="Q47:Q48"/>
    <mergeCell ref="P47:P48"/>
    <mergeCell ref="O47:O48"/>
    <mergeCell ref="N47:N48"/>
    <mergeCell ref="M47:M48"/>
    <mergeCell ref="L47:L48"/>
    <mergeCell ref="K47:K48"/>
    <mergeCell ref="J47:J48"/>
    <mergeCell ref="I47:I48"/>
    <mergeCell ref="L49:L50"/>
    <mergeCell ref="M49:M50"/>
    <mergeCell ref="N49:N50"/>
    <mergeCell ref="O49:O50"/>
    <mergeCell ref="P49:P50"/>
    <mergeCell ref="Q49:Q50"/>
    <mergeCell ref="E49:E50"/>
    <mergeCell ref="G49:G50"/>
    <mergeCell ref="H49:H50"/>
    <mergeCell ref="I49:I50"/>
    <mergeCell ref="J49:J50"/>
    <mergeCell ref="K49:K50"/>
    <mergeCell ref="F49:F50"/>
    <mergeCell ref="L51:L52"/>
    <mergeCell ref="M51:M52"/>
    <mergeCell ref="N51:N52"/>
    <mergeCell ref="O51:O52"/>
    <mergeCell ref="P51:P52"/>
    <mergeCell ref="Q51:Q52"/>
    <mergeCell ref="E51:E52"/>
    <mergeCell ref="G51:G52"/>
    <mergeCell ref="H51:H52"/>
    <mergeCell ref="I51:I52"/>
    <mergeCell ref="J51:J52"/>
    <mergeCell ref="K51:K52"/>
    <mergeCell ref="F51:F52"/>
    <mergeCell ref="L53:L54"/>
    <mergeCell ref="M53:M54"/>
    <mergeCell ref="N53:N54"/>
    <mergeCell ref="O53:O54"/>
    <mergeCell ref="P53:P54"/>
    <mergeCell ref="Q53:Q54"/>
    <mergeCell ref="E53:E54"/>
    <mergeCell ref="G53:G54"/>
    <mergeCell ref="H53:H54"/>
    <mergeCell ref="I53:I54"/>
    <mergeCell ref="J53:J54"/>
    <mergeCell ref="K53:K54"/>
    <mergeCell ref="F53:F54"/>
    <mergeCell ref="L55:L56"/>
    <mergeCell ref="M55:M56"/>
    <mergeCell ref="N55:N56"/>
    <mergeCell ref="O55:O56"/>
    <mergeCell ref="P55:P56"/>
    <mergeCell ref="Q55:Q56"/>
    <mergeCell ref="E55:E56"/>
    <mergeCell ref="G55:G56"/>
    <mergeCell ref="H55:H56"/>
    <mergeCell ref="I55:I56"/>
    <mergeCell ref="J55:J56"/>
    <mergeCell ref="K55:K56"/>
    <mergeCell ref="F55:F56"/>
    <mergeCell ref="L57:L58"/>
    <mergeCell ref="M57:M58"/>
    <mergeCell ref="N57:N58"/>
    <mergeCell ref="O57:O58"/>
    <mergeCell ref="P57:P58"/>
    <mergeCell ref="Q57:Q58"/>
    <mergeCell ref="E57:E58"/>
    <mergeCell ref="G57:G58"/>
    <mergeCell ref="H57:H58"/>
    <mergeCell ref="I57:I58"/>
    <mergeCell ref="J57:J58"/>
    <mergeCell ref="K57:K58"/>
    <mergeCell ref="F57:F58"/>
    <mergeCell ref="L59:L60"/>
    <mergeCell ref="M59:M60"/>
    <mergeCell ref="N59:N60"/>
    <mergeCell ref="O59:O60"/>
    <mergeCell ref="P59:P60"/>
    <mergeCell ref="Q59:Q60"/>
    <mergeCell ref="E59:E60"/>
    <mergeCell ref="G59:G60"/>
    <mergeCell ref="H59:H60"/>
    <mergeCell ref="I59:I60"/>
    <mergeCell ref="J59:J60"/>
    <mergeCell ref="K59:K60"/>
    <mergeCell ref="F59:F60"/>
    <mergeCell ref="L61:L62"/>
    <mergeCell ref="M61:M62"/>
    <mergeCell ref="N61:N62"/>
    <mergeCell ref="O61:O62"/>
    <mergeCell ref="P61:P62"/>
    <mergeCell ref="Q61:Q62"/>
    <mergeCell ref="E61:E62"/>
    <mergeCell ref="G61:G62"/>
    <mergeCell ref="H61:H62"/>
    <mergeCell ref="I61:I62"/>
    <mergeCell ref="J61:J62"/>
    <mergeCell ref="K61:K62"/>
    <mergeCell ref="F61:F62"/>
    <mergeCell ref="L63:L64"/>
    <mergeCell ref="M63:M64"/>
    <mergeCell ref="N63:N64"/>
    <mergeCell ref="O63:O64"/>
    <mergeCell ref="P63:P64"/>
    <mergeCell ref="Q63:Q64"/>
    <mergeCell ref="E63:E64"/>
    <mergeCell ref="G63:G64"/>
    <mergeCell ref="H63:H64"/>
    <mergeCell ref="I63:I64"/>
    <mergeCell ref="J63:J64"/>
    <mergeCell ref="K63:K64"/>
    <mergeCell ref="F63:F64"/>
    <mergeCell ref="L65:L66"/>
    <mergeCell ref="M65:M66"/>
    <mergeCell ref="N65:N66"/>
    <mergeCell ref="O65:O66"/>
    <mergeCell ref="P65:P66"/>
    <mergeCell ref="Q65:Q66"/>
    <mergeCell ref="E65:E66"/>
    <mergeCell ref="G65:G66"/>
    <mergeCell ref="H65:H66"/>
    <mergeCell ref="I65:I66"/>
    <mergeCell ref="J65:J66"/>
    <mergeCell ref="K65:K66"/>
    <mergeCell ref="F65:F66"/>
    <mergeCell ref="L67:L68"/>
    <mergeCell ref="M67:M68"/>
    <mergeCell ref="N67:N68"/>
    <mergeCell ref="O67:O68"/>
    <mergeCell ref="P67:P68"/>
    <mergeCell ref="Q67:Q68"/>
    <mergeCell ref="E67:E68"/>
    <mergeCell ref="G67:G68"/>
    <mergeCell ref="H67:H68"/>
    <mergeCell ref="I67:I68"/>
    <mergeCell ref="J67:J68"/>
    <mergeCell ref="K67:K68"/>
    <mergeCell ref="F67:F68"/>
    <mergeCell ref="L69:L70"/>
    <mergeCell ref="M69:M70"/>
    <mergeCell ref="N69:N70"/>
    <mergeCell ref="O69:O70"/>
    <mergeCell ref="P69:P70"/>
    <mergeCell ref="Q69:Q70"/>
    <mergeCell ref="E69:E70"/>
    <mergeCell ref="G69:G70"/>
    <mergeCell ref="H69:H70"/>
    <mergeCell ref="I69:I70"/>
    <mergeCell ref="J69:J70"/>
    <mergeCell ref="K69:K70"/>
    <mergeCell ref="F69:F70"/>
    <mergeCell ref="L71:L72"/>
    <mergeCell ref="M71:M72"/>
    <mergeCell ref="N71:N72"/>
    <mergeCell ref="O71:O72"/>
    <mergeCell ref="P71:P72"/>
    <mergeCell ref="Q71:Q72"/>
    <mergeCell ref="E71:E72"/>
    <mergeCell ref="G71:G72"/>
    <mergeCell ref="H71:H72"/>
    <mergeCell ref="I71:I72"/>
    <mergeCell ref="J71:J72"/>
    <mergeCell ref="K71:K72"/>
    <mergeCell ref="F71:F72"/>
    <mergeCell ref="L73:L74"/>
    <mergeCell ref="M73:M74"/>
    <mergeCell ref="N73:N74"/>
    <mergeCell ref="O73:O74"/>
    <mergeCell ref="P73:P74"/>
    <mergeCell ref="Q73:Q74"/>
    <mergeCell ref="E73:E74"/>
    <mergeCell ref="G73:G74"/>
    <mergeCell ref="H73:H74"/>
    <mergeCell ref="I73:I74"/>
    <mergeCell ref="J73:J74"/>
    <mergeCell ref="K73:K74"/>
    <mergeCell ref="F73:F74"/>
    <mergeCell ref="L75:L76"/>
    <mergeCell ref="M75:M76"/>
    <mergeCell ref="N75:N76"/>
    <mergeCell ref="O75:O76"/>
    <mergeCell ref="P75:P76"/>
    <mergeCell ref="Q75:Q76"/>
    <mergeCell ref="E75:E76"/>
    <mergeCell ref="G75:G76"/>
    <mergeCell ref="H75:H76"/>
    <mergeCell ref="I75:I76"/>
    <mergeCell ref="J75:J76"/>
    <mergeCell ref="K75:K76"/>
    <mergeCell ref="F75:F76"/>
    <mergeCell ref="L77:L78"/>
    <mergeCell ref="M77:M78"/>
    <mergeCell ref="N77:N78"/>
    <mergeCell ref="O77:O78"/>
    <mergeCell ref="P77:P78"/>
    <mergeCell ref="Q77:Q78"/>
    <mergeCell ref="E77:E78"/>
    <mergeCell ref="G77:G78"/>
    <mergeCell ref="H77:H78"/>
    <mergeCell ref="I77:I78"/>
    <mergeCell ref="J77:J78"/>
    <mergeCell ref="K77:K78"/>
    <mergeCell ref="F77:F78"/>
    <mergeCell ref="L79:L80"/>
    <mergeCell ref="M79:M80"/>
    <mergeCell ref="N79:N80"/>
    <mergeCell ref="O79:O80"/>
    <mergeCell ref="P79:P80"/>
    <mergeCell ref="Q79:Q80"/>
    <mergeCell ref="E79:E80"/>
    <mergeCell ref="G79:G80"/>
    <mergeCell ref="H79:H80"/>
    <mergeCell ref="I79:I80"/>
    <mergeCell ref="J79:J80"/>
    <mergeCell ref="K79:K80"/>
    <mergeCell ref="F79:F80"/>
    <mergeCell ref="O81:O82"/>
    <mergeCell ref="P81:P82"/>
    <mergeCell ref="Q81:Q82"/>
    <mergeCell ref="E81:E82"/>
    <mergeCell ref="G81:G82"/>
    <mergeCell ref="H81:H82"/>
    <mergeCell ref="I81:I82"/>
    <mergeCell ref="J81:J82"/>
    <mergeCell ref="K81:K82"/>
    <mergeCell ref="F81:F82"/>
    <mergeCell ref="I83:I84"/>
    <mergeCell ref="J83:J84"/>
    <mergeCell ref="K83:K84"/>
    <mergeCell ref="F83:F84"/>
    <mergeCell ref="L81:L82"/>
    <mergeCell ref="M81:M82"/>
    <mergeCell ref="L85:L86"/>
    <mergeCell ref="M85:M86"/>
    <mergeCell ref="N85:N86"/>
    <mergeCell ref="I85:I86"/>
    <mergeCell ref="N81:N82"/>
    <mergeCell ref="O85:O86"/>
    <mergeCell ref="P85:P86"/>
    <mergeCell ref="Q85:Q86"/>
    <mergeCell ref="L83:L84"/>
    <mergeCell ref="M83:M84"/>
    <mergeCell ref="N83:N84"/>
    <mergeCell ref="O83:O84"/>
    <mergeCell ref="P83:P84"/>
    <mergeCell ref="Q83:Q84"/>
    <mergeCell ref="F7:F8"/>
    <mergeCell ref="F9:F10"/>
    <mergeCell ref="F11:F12"/>
    <mergeCell ref="F13:F14"/>
    <mergeCell ref="F15:F16"/>
    <mergeCell ref="F17:F18"/>
    <mergeCell ref="H47:H48"/>
    <mergeCell ref="G47:G48"/>
    <mergeCell ref="H33:H34"/>
    <mergeCell ref="F39:F40"/>
    <mergeCell ref="F41:F42"/>
    <mergeCell ref="F43:F44"/>
    <mergeCell ref="F21:F22"/>
    <mergeCell ref="F23:F24"/>
    <mergeCell ref="F25:F26"/>
    <mergeCell ref="F27:F28"/>
    <mergeCell ref="F29:F30"/>
    <mergeCell ref="F31:F32"/>
    <mergeCell ref="G13:G14"/>
  </mergeCells>
  <phoneticPr fontId="2" type="noConversion"/>
  <conditionalFormatting sqref="B87:B1048576 B85 B1:B5 B7 B9 B11 B13 B15 B17 B19 B21 B23 B25 B27 B29 B31 B33 B35 B37 B39 B41 B43 B45 B47 B49 B51 B53 B55 B57 B59 B61 B63 B65 B67 B69 B71 B73 B75 B77 B79 B81 B83">
    <cfRule type="duplicateValues" dxfId="92" priority="9"/>
  </conditionalFormatting>
  <conditionalFormatting sqref="C2">
    <cfRule type="duplicateValues" dxfId="91" priority="7"/>
  </conditionalFormatting>
  <conditionalFormatting sqref="F1 F3:F47 F49 F51 F53 F55 F57 F59 F61 F63 F65 F67 F69 F71 F73 F75 F77 F79 F81 F83 F85 F87:F1048576">
    <cfRule type="cellIs" dxfId="90" priority="1" operator="lessThan">
      <formula>0</formula>
    </cfRule>
  </conditionalFormatting>
  <conditionalFormatting sqref="F4">
    <cfRule type="cellIs" dxfId="89" priority="2" operator="lessThan">
      <formula>0</formula>
    </cfRule>
  </conditionalFormatting>
  <conditionalFormatting sqref="M1:M5 M7 M47 M9 M11 M13 M15 M17 M19 M21 M23 M25 M27 M29 M31 M33 M35 M37 M39 M41 M43 M45 M49 M87:M1048576 M51 M53 M55 M57 M59 M61 M63 M65 M67 M69 M71 M73 M75 M77 M79 M81 M83 M85">
    <cfRule type="top10" dxfId="88" priority="8" rank="3"/>
  </conditionalFormatting>
  <conditionalFormatting sqref="S4:AW4">
    <cfRule type="expression" dxfId="87" priority="4">
      <formula>WEEKDAY(S4)=7</formula>
    </cfRule>
    <cfRule type="expression" dxfId="86" priority="5">
      <formula>WEEKDAY(S4)=1</formula>
    </cfRule>
  </conditionalFormatting>
  <pageMargins left="0.75" right="0.75" top="1" bottom="1" header="0.5" footer="0.5"/>
  <pageSetup paperSize="8" scale="20"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33BC4-8148-4EAE-AE84-6C2A4C5A0A07}">
  <sheetPr>
    <pageSetUpPr fitToPage="1"/>
  </sheetPr>
  <dimension ref="B1:AT88"/>
  <sheetViews>
    <sheetView showGridLines="0" topLeftCell="D1" zoomScale="55" zoomScaleNormal="55" workbookViewId="0">
      <pane ySplit="4" topLeftCell="A5" activePane="bottomLeft" state="frozen"/>
      <selection activeCell="R14" sqref="R14"/>
      <selection pane="bottomLeft" activeCell="R14" sqref="R14"/>
    </sheetView>
  </sheetViews>
  <sheetFormatPr defaultRowHeight="17.25" x14ac:dyDescent="0.3"/>
  <cols>
    <col min="1" max="1" width="1.625" style="291" customWidth="1"/>
    <col min="2" max="3" width="17" style="291" bestFit="1" customWidth="1"/>
    <col min="4" max="4" width="19.625" style="291" customWidth="1"/>
    <col min="5" max="5" width="17.875" style="291" bestFit="1" customWidth="1"/>
    <col min="6" max="6" width="17.125" style="291" customWidth="1"/>
    <col min="7" max="7" width="13.125" style="291" bestFit="1" customWidth="1"/>
    <col min="8" max="9" width="13" style="291" customWidth="1"/>
    <col min="10" max="10" width="16.375" style="291" bestFit="1" customWidth="1"/>
    <col min="11" max="11" width="9" style="291" customWidth="1"/>
    <col min="12" max="13" width="9" style="291" hidden="1" customWidth="1"/>
    <col min="14" max="14" width="11.125" style="292" hidden="1" customWidth="1"/>
    <col min="15" max="15" width="10.25" style="291" customWidth="1"/>
    <col min="16" max="46" width="9.625" style="291" customWidth="1"/>
    <col min="47" max="16384" width="9" style="291"/>
  </cols>
  <sheetData>
    <row r="1" spans="2:46" ht="11.25" customHeight="1" x14ac:dyDescent="0.3"/>
    <row r="2" spans="2:46" ht="29.25" customHeight="1" x14ac:dyDescent="0.3">
      <c r="B2" s="293" t="s">
        <v>178</v>
      </c>
      <c r="C2" s="294">
        <v>46143</v>
      </c>
      <c r="D2" s="295" t="s">
        <v>179</v>
      </c>
      <c r="E2" s="296">
        <v>46108</v>
      </c>
      <c r="F2" s="297">
        <v>0.48472222222222222</v>
      </c>
      <c r="G2" s="298"/>
      <c r="H2" s="298"/>
      <c r="I2" s="298"/>
      <c r="N2" s="291"/>
    </row>
    <row r="3" spans="2:46" ht="28.5" customHeight="1" x14ac:dyDescent="0.3">
      <c r="B3" s="299" t="s">
        <v>260</v>
      </c>
      <c r="C3" s="299"/>
      <c r="D3" s="299"/>
      <c r="E3" s="299"/>
      <c r="F3" s="299"/>
      <c r="G3" s="299"/>
      <c r="H3" s="299"/>
      <c r="I3" s="299"/>
      <c r="J3" s="299"/>
      <c r="K3" s="299"/>
      <c r="L3" s="299"/>
      <c r="M3" s="299"/>
      <c r="N3" s="299"/>
      <c r="O3" s="299"/>
      <c r="P3" s="300">
        <f>C2</f>
        <v>46143</v>
      </c>
      <c r="Q3" s="300">
        <f t="shared" ref="Q3:AT3" si="0">P3+1</f>
        <v>46144</v>
      </c>
      <c r="R3" s="300">
        <f t="shared" si="0"/>
        <v>46145</v>
      </c>
      <c r="S3" s="300">
        <f t="shared" si="0"/>
        <v>46146</v>
      </c>
      <c r="T3" s="300">
        <f t="shared" si="0"/>
        <v>46147</v>
      </c>
      <c r="U3" s="300">
        <f t="shared" si="0"/>
        <v>46148</v>
      </c>
      <c r="V3" s="300">
        <f t="shared" si="0"/>
        <v>46149</v>
      </c>
      <c r="W3" s="300">
        <f t="shared" si="0"/>
        <v>46150</v>
      </c>
      <c r="X3" s="300">
        <f t="shared" si="0"/>
        <v>46151</v>
      </c>
      <c r="Y3" s="300">
        <f t="shared" si="0"/>
        <v>46152</v>
      </c>
      <c r="Z3" s="300">
        <f t="shared" si="0"/>
        <v>46153</v>
      </c>
      <c r="AA3" s="300">
        <f t="shared" si="0"/>
        <v>46154</v>
      </c>
      <c r="AB3" s="300">
        <f t="shared" si="0"/>
        <v>46155</v>
      </c>
      <c r="AC3" s="300">
        <f t="shared" si="0"/>
        <v>46156</v>
      </c>
      <c r="AD3" s="300">
        <f t="shared" si="0"/>
        <v>46157</v>
      </c>
      <c r="AE3" s="300">
        <f t="shared" si="0"/>
        <v>46158</v>
      </c>
      <c r="AF3" s="300">
        <f t="shared" si="0"/>
        <v>46159</v>
      </c>
      <c r="AG3" s="300">
        <f t="shared" si="0"/>
        <v>46160</v>
      </c>
      <c r="AH3" s="300">
        <f t="shared" si="0"/>
        <v>46161</v>
      </c>
      <c r="AI3" s="300">
        <f t="shared" si="0"/>
        <v>46162</v>
      </c>
      <c r="AJ3" s="300">
        <f t="shared" si="0"/>
        <v>46163</v>
      </c>
      <c r="AK3" s="300">
        <f t="shared" si="0"/>
        <v>46164</v>
      </c>
      <c r="AL3" s="300">
        <f t="shared" si="0"/>
        <v>46165</v>
      </c>
      <c r="AM3" s="300">
        <f t="shared" si="0"/>
        <v>46166</v>
      </c>
      <c r="AN3" s="300">
        <f t="shared" si="0"/>
        <v>46167</v>
      </c>
      <c r="AO3" s="300">
        <f t="shared" si="0"/>
        <v>46168</v>
      </c>
      <c r="AP3" s="300">
        <f t="shared" si="0"/>
        <v>46169</v>
      </c>
      <c r="AQ3" s="300">
        <f t="shared" si="0"/>
        <v>46170</v>
      </c>
      <c r="AR3" s="300">
        <f t="shared" si="0"/>
        <v>46171</v>
      </c>
      <c r="AS3" s="300">
        <f t="shared" si="0"/>
        <v>46172</v>
      </c>
      <c r="AT3" s="300">
        <f t="shared" si="0"/>
        <v>46173</v>
      </c>
    </row>
    <row r="4" spans="2:46" ht="37.5" customHeight="1" x14ac:dyDescent="0.3">
      <c r="B4" s="301" t="s">
        <v>173</v>
      </c>
      <c r="C4" s="301" t="s">
        <v>181</v>
      </c>
      <c r="D4" s="301" t="s">
        <v>182</v>
      </c>
      <c r="E4" s="302" t="s">
        <v>261</v>
      </c>
      <c r="F4" s="301" t="s">
        <v>269</v>
      </c>
      <c r="G4" s="301" t="s">
        <v>259</v>
      </c>
      <c r="H4" s="301" t="s">
        <v>267</v>
      </c>
      <c r="I4" s="301" t="s">
        <v>318</v>
      </c>
      <c r="J4" s="302" t="s">
        <v>321</v>
      </c>
      <c r="K4" s="301" t="s">
        <v>258</v>
      </c>
      <c r="L4" s="301" t="s">
        <v>256</v>
      </c>
      <c r="M4" s="301" t="s">
        <v>255</v>
      </c>
      <c r="N4" s="301" t="s">
        <v>263</v>
      </c>
      <c r="O4" s="301" t="s">
        <v>268</v>
      </c>
      <c r="P4" s="303">
        <f t="shared" ref="P4:AT4" si="1">P3</f>
        <v>46143</v>
      </c>
      <c r="Q4" s="304">
        <f t="shared" si="1"/>
        <v>46144</v>
      </c>
      <c r="R4" s="304">
        <f t="shared" si="1"/>
        <v>46145</v>
      </c>
      <c r="S4" s="304">
        <f t="shared" si="1"/>
        <v>46146</v>
      </c>
      <c r="T4" s="304">
        <f t="shared" si="1"/>
        <v>46147</v>
      </c>
      <c r="U4" s="304">
        <f t="shared" si="1"/>
        <v>46148</v>
      </c>
      <c r="V4" s="304">
        <f t="shared" si="1"/>
        <v>46149</v>
      </c>
      <c r="W4" s="304">
        <f t="shared" si="1"/>
        <v>46150</v>
      </c>
      <c r="X4" s="304">
        <f t="shared" si="1"/>
        <v>46151</v>
      </c>
      <c r="Y4" s="304">
        <f t="shared" si="1"/>
        <v>46152</v>
      </c>
      <c r="Z4" s="304">
        <f t="shared" si="1"/>
        <v>46153</v>
      </c>
      <c r="AA4" s="304">
        <f t="shared" si="1"/>
        <v>46154</v>
      </c>
      <c r="AB4" s="304">
        <f t="shared" si="1"/>
        <v>46155</v>
      </c>
      <c r="AC4" s="304">
        <f t="shared" si="1"/>
        <v>46156</v>
      </c>
      <c r="AD4" s="304">
        <f t="shared" si="1"/>
        <v>46157</v>
      </c>
      <c r="AE4" s="304">
        <f t="shared" si="1"/>
        <v>46158</v>
      </c>
      <c r="AF4" s="304">
        <f t="shared" si="1"/>
        <v>46159</v>
      </c>
      <c r="AG4" s="304">
        <f t="shared" si="1"/>
        <v>46160</v>
      </c>
      <c r="AH4" s="304">
        <f t="shared" si="1"/>
        <v>46161</v>
      </c>
      <c r="AI4" s="304">
        <f t="shared" si="1"/>
        <v>46162</v>
      </c>
      <c r="AJ4" s="304">
        <f t="shared" si="1"/>
        <v>46163</v>
      </c>
      <c r="AK4" s="304">
        <f t="shared" si="1"/>
        <v>46164</v>
      </c>
      <c r="AL4" s="304">
        <f t="shared" si="1"/>
        <v>46165</v>
      </c>
      <c r="AM4" s="304">
        <f t="shared" si="1"/>
        <v>46166</v>
      </c>
      <c r="AN4" s="304">
        <f t="shared" si="1"/>
        <v>46167</v>
      </c>
      <c r="AO4" s="304">
        <f t="shared" si="1"/>
        <v>46168</v>
      </c>
      <c r="AP4" s="304">
        <f t="shared" si="1"/>
        <v>46169</v>
      </c>
      <c r="AQ4" s="304">
        <f t="shared" si="1"/>
        <v>46170</v>
      </c>
      <c r="AR4" s="304">
        <f t="shared" si="1"/>
        <v>46171</v>
      </c>
      <c r="AS4" s="304">
        <f t="shared" si="1"/>
        <v>46172</v>
      </c>
      <c r="AT4" s="304">
        <f t="shared" si="1"/>
        <v>46173</v>
      </c>
    </row>
    <row r="5" spans="2:46" ht="32.1" customHeight="1" x14ac:dyDescent="0.3">
      <c r="B5" s="444" t="s">
        <v>33</v>
      </c>
      <c r="C5" s="444" t="s">
        <v>185</v>
      </c>
      <c r="D5" s="444" t="s">
        <v>250</v>
      </c>
      <c r="E5" s="438">
        <f>ABS(SUMIFS('Fixture 총 발주수량'!Z:Z,'Fixture 총 발주수량'!B:B,'후공정(샌딩)생산계획'!B5,'Fixture 총 발주수량'!Z:Z,"&lt;0"))</f>
        <v>534</v>
      </c>
      <c r="F5" s="437">
        <f>G5-E5</f>
        <v>-534</v>
      </c>
      <c r="G5" s="437">
        <f>SUMIF(P5:AT5, "&gt;0")</f>
        <v>0</v>
      </c>
      <c r="H5" s="437">
        <f>SUMIF(P6:AT6, "&gt;0")</f>
        <v>0</v>
      </c>
      <c r="I5" s="442">
        <f>IFERROR(H5/G5,)</f>
        <v>0</v>
      </c>
      <c r="J5" s="437">
        <f ca="1">IFERROR(SUMIF('Fixture 총 발주수량'!B:AG,'후공정(샌딩)생산계획'!B5,'Fixture 총 발주수량'!AC:AC),)</f>
        <v>0</v>
      </c>
      <c r="K5" s="438">
        <f>ROUNDUP(E5/2000,)</f>
        <v>1</v>
      </c>
      <c r="L5" s="438">
        <f>N5</f>
        <v>1</v>
      </c>
      <c r="M5" s="438">
        <f>L5+K5</f>
        <v>2</v>
      </c>
      <c r="N5" s="438">
        <f>K5</f>
        <v>1</v>
      </c>
      <c r="O5" s="306" t="s">
        <v>265</v>
      </c>
      <c r="P5" s="307"/>
      <c r="Q5" s="308"/>
      <c r="R5" s="308"/>
      <c r="S5" s="308"/>
      <c r="T5" s="308"/>
      <c r="U5" s="308"/>
      <c r="V5" s="308"/>
      <c r="W5" s="308"/>
      <c r="X5" s="308"/>
      <c r="Y5" s="308"/>
      <c r="Z5" s="308"/>
      <c r="AA5" s="308"/>
      <c r="AB5" s="308"/>
      <c r="AC5" s="308"/>
      <c r="AD5" s="308"/>
      <c r="AE5" s="308"/>
      <c r="AF5" s="308"/>
      <c r="AG5" s="308"/>
      <c r="AH5" s="308"/>
      <c r="AI5" s="308"/>
      <c r="AJ5" s="308"/>
      <c r="AK5" s="308"/>
      <c r="AL5" s="308"/>
      <c r="AM5" s="308"/>
      <c r="AN5" s="308"/>
      <c r="AO5" s="308"/>
      <c r="AP5" s="308"/>
      <c r="AQ5" s="308"/>
      <c r="AR5" s="308"/>
      <c r="AS5" s="308"/>
      <c r="AT5" s="309"/>
    </row>
    <row r="6" spans="2:46" ht="32.1" customHeight="1" x14ac:dyDescent="0.3">
      <c r="B6" s="445"/>
      <c r="C6" s="445"/>
      <c r="D6" s="445"/>
      <c r="E6" s="439"/>
      <c r="F6" s="436"/>
      <c r="G6" s="436"/>
      <c r="H6" s="436"/>
      <c r="I6" s="443"/>
      <c r="J6" s="436"/>
      <c r="K6" s="439"/>
      <c r="L6" s="439"/>
      <c r="M6" s="439"/>
      <c r="N6" s="439"/>
      <c r="O6" s="306" t="s">
        <v>267</v>
      </c>
      <c r="P6" s="310" cm="1">
        <f t="array" ref="P6">INDEX('생산수량Back-Data'!$B$5:$AAA$10041,
       MATCH($B5,'생산수량Back-Data'!$B$5:$B$10041,0)+1,
       MATCH(P$3,'생산수량Back-Data'!$B$3:$AAA$3,0))</f>
        <v>0</v>
      </c>
      <c r="Q6" s="310" cm="1">
        <f t="array" ref="Q6">INDEX('생산수량Back-Data'!$B$5:$AAA$10041,
       MATCH($B5,'생산수량Back-Data'!$B$5:$B$10041,0)+1,
       MATCH(Q$3,'생산수량Back-Data'!$B$3:$AAA$3,0))</f>
        <v>0</v>
      </c>
      <c r="R6" s="310" cm="1">
        <f t="array" ref="R6">INDEX('생산수량Back-Data'!$B$5:$AAA$10041,
       MATCH($B5,'생산수량Back-Data'!$B$5:$B$10041,0)+1,
       MATCH(R$3,'생산수량Back-Data'!$B$3:$AAA$3,0))</f>
        <v>0</v>
      </c>
      <c r="S6" s="310" cm="1">
        <f t="array" ref="S6">INDEX('생산수량Back-Data'!$B$5:$AAA$10041,
       MATCH($B5,'생산수량Back-Data'!$B$5:$B$10041,0)+1,
       MATCH(S$3,'생산수량Back-Data'!$B$3:$AAA$3,0))</f>
        <v>0</v>
      </c>
      <c r="T6" s="310" cm="1">
        <f t="array" ref="T6">INDEX('생산수량Back-Data'!$B$5:$AAA$10041,
       MATCH($B5,'생산수량Back-Data'!$B$5:$B$10041,0)+1,
       MATCH(T$3,'생산수량Back-Data'!$B$3:$AAA$3,0))</f>
        <v>0</v>
      </c>
      <c r="U6" s="310" cm="1">
        <f t="array" ref="U6">INDEX('생산수량Back-Data'!$B$5:$AAA$10041,
       MATCH($B5,'생산수량Back-Data'!$B$5:$B$10041,0)+1,
       MATCH(U$3,'생산수량Back-Data'!$B$3:$AAA$3,0))</f>
        <v>0</v>
      </c>
      <c r="V6" s="310" cm="1">
        <f t="array" ref="V6">INDEX('생산수량Back-Data'!$B$5:$AAA$10041,
       MATCH($B5,'생산수량Back-Data'!$B$5:$B$10041,0)+1,
       MATCH(V$3,'생산수량Back-Data'!$B$3:$AAA$3,0))</f>
        <v>0</v>
      </c>
      <c r="W6" s="310" cm="1">
        <f t="array" ref="W6">INDEX('생산수량Back-Data'!$B$5:$AAA$10041,
       MATCH($B5,'생산수량Back-Data'!$B$5:$B$10041,0)+1,
       MATCH(W$3,'생산수량Back-Data'!$B$3:$AAA$3,0))</f>
        <v>0</v>
      </c>
      <c r="X6" s="310" cm="1">
        <f t="array" ref="X6">INDEX('생산수량Back-Data'!$B$5:$AAA$10041,
       MATCH($B5,'생산수량Back-Data'!$B$5:$B$10041,0)+1,
       MATCH(X$3,'생산수량Back-Data'!$B$3:$AAA$3,0))</f>
        <v>0</v>
      </c>
      <c r="Y6" s="310" cm="1">
        <f t="array" ref="Y6">INDEX('생산수량Back-Data'!$B$5:$AAA$10041,
       MATCH($B5,'생산수량Back-Data'!$B$5:$B$10041,0)+1,
       MATCH(Y$3,'생산수량Back-Data'!$B$3:$AAA$3,0))</f>
        <v>0</v>
      </c>
      <c r="Z6" s="310" cm="1">
        <f t="array" ref="Z6">INDEX('생산수량Back-Data'!$B$5:$AAA$10041,
       MATCH($B5,'생산수량Back-Data'!$B$5:$B$10041,0)+1,
       MATCH(Z$3,'생산수량Back-Data'!$B$3:$AAA$3,0))</f>
        <v>0</v>
      </c>
      <c r="AA6" s="310" cm="1">
        <f t="array" ref="AA6">INDEX('생산수량Back-Data'!$B$5:$AAA$10041,
       MATCH($B5,'생산수량Back-Data'!$B$5:$B$10041,0)+1,
       MATCH(AA$3,'생산수량Back-Data'!$B$3:$AAA$3,0))</f>
        <v>0</v>
      </c>
      <c r="AB6" s="310" cm="1">
        <f t="array" ref="AB6">INDEX('생산수량Back-Data'!$B$5:$AAA$10041,
       MATCH($B5,'생산수량Back-Data'!$B$5:$B$10041,0)+1,
       MATCH(AB$3,'생산수량Back-Data'!$B$3:$AAA$3,0))</f>
        <v>0</v>
      </c>
      <c r="AC6" s="310" cm="1">
        <f t="array" ref="AC6">INDEX('생산수량Back-Data'!$B$5:$AAA$10041,
       MATCH($B5,'생산수량Back-Data'!$B$5:$B$10041,0)+1,
       MATCH(AC$3,'생산수량Back-Data'!$B$3:$AAA$3,0))</f>
        <v>0</v>
      </c>
      <c r="AD6" s="310" cm="1">
        <f t="array" ref="AD6">INDEX('생산수량Back-Data'!$B$5:$AAA$10041,
       MATCH($B5,'생산수량Back-Data'!$B$5:$B$10041,0)+1,
       MATCH(AD$3,'생산수량Back-Data'!$B$3:$AAA$3,0))</f>
        <v>0</v>
      </c>
      <c r="AE6" s="310" cm="1">
        <f t="array" ref="AE6">INDEX('생산수량Back-Data'!$B$5:$AAA$10041,
       MATCH($B5,'생산수량Back-Data'!$B$5:$B$10041,0)+1,
       MATCH(AE$3,'생산수량Back-Data'!$B$3:$AAA$3,0))</f>
        <v>0</v>
      </c>
      <c r="AF6" s="310" cm="1">
        <f t="array" ref="AF6">INDEX('생산수량Back-Data'!$B$5:$AAA$10041,
       MATCH($B5,'생산수량Back-Data'!$B$5:$B$10041,0)+1,
       MATCH(AF$3,'생산수량Back-Data'!$B$3:$AAA$3,0))</f>
        <v>0</v>
      </c>
      <c r="AG6" s="310" cm="1">
        <f t="array" ref="AG6">INDEX('생산수량Back-Data'!$B$5:$AAA$10041,
       MATCH($B5,'생산수량Back-Data'!$B$5:$B$10041,0)+1,
       MATCH(AG$3,'생산수량Back-Data'!$B$3:$AAA$3,0))</f>
        <v>0</v>
      </c>
      <c r="AH6" s="310" cm="1">
        <f t="array" ref="AH6">INDEX('생산수량Back-Data'!$B$5:$AAA$10041,
       MATCH($B5,'생산수량Back-Data'!$B$5:$B$10041,0)+1,
       MATCH(AH$3,'생산수량Back-Data'!$B$3:$AAA$3,0))</f>
        <v>0</v>
      </c>
      <c r="AI6" s="310" cm="1">
        <f t="array" ref="AI6">INDEX('생산수량Back-Data'!$B$5:$AAA$10041,
       MATCH($B5,'생산수량Back-Data'!$B$5:$B$10041,0)+1,
       MATCH(AI$3,'생산수량Back-Data'!$B$3:$AAA$3,0))</f>
        <v>0</v>
      </c>
      <c r="AJ6" s="310" cm="1">
        <f t="array" ref="AJ6">INDEX('생산수량Back-Data'!$B$5:$AAA$10041,
       MATCH($B5,'생산수량Back-Data'!$B$5:$B$10041,0)+1,
       MATCH(AJ$3,'생산수량Back-Data'!$B$3:$AAA$3,0))</f>
        <v>0</v>
      </c>
      <c r="AK6" s="310" cm="1">
        <f t="array" ref="AK6">INDEX('생산수량Back-Data'!$B$5:$AAA$10041,
       MATCH($B5,'생산수량Back-Data'!$B$5:$B$10041,0)+1,
       MATCH(AK$3,'생산수량Back-Data'!$B$3:$AAA$3,0))</f>
        <v>0</v>
      </c>
      <c r="AL6" s="310" cm="1">
        <f t="array" ref="AL6">INDEX('생산수량Back-Data'!$B$5:$AAA$10041,
       MATCH($B5,'생산수량Back-Data'!$B$5:$B$10041,0)+1,
       MATCH(AL$3,'생산수량Back-Data'!$B$3:$AAA$3,0))</f>
        <v>0</v>
      </c>
      <c r="AM6" s="310" cm="1">
        <f t="array" ref="AM6">INDEX('생산수량Back-Data'!$B$5:$AAA$10041,
       MATCH($B5,'생산수량Back-Data'!$B$5:$B$10041,0)+1,
       MATCH(AM$3,'생산수량Back-Data'!$B$3:$AAA$3,0))</f>
        <v>0</v>
      </c>
      <c r="AN6" s="310" cm="1">
        <f t="array" ref="AN6">INDEX('생산수량Back-Data'!$B$5:$AAA$10041,
       MATCH($B5,'생산수량Back-Data'!$B$5:$B$10041,0)+1,
       MATCH(AN$3,'생산수량Back-Data'!$B$3:$AAA$3,0))</f>
        <v>0</v>
      </c>
      <c r="AO6" s="310" cm="1">
        <f t="array" ref="AO6">INDEX('생산수량Back-Data'!$B$5:$AAA$10041,
       MATCH($B5,'생산수량Back-Data'!$B$5:$B$10041,0)+1,
       MATCH(AO$3,'생산수량Back-Data'!$B$3:$AAA$3,0))</f>
        <v>0</v>
      </c>
      <c r="AP6" s="310" cm="1">
        <f t="array" ref="AP6">INDEX('생산수량Back-Data'!$B$5:$AAA$10041,
       MATCH($B5,'생산수량Back-Data'!$B$5:$B$10041,0)+1,
       MATCH(AP$3,'생산수량Back-Data'!$B$3:$AAA$3,0))</f>
        <v>0</v>
      </c>
      <c r="AQ6" s="310" cm="1">
        <f t="array" ref="AQ6">INDEX('생산수량Back-Data'!$B$5:$AAA$10041,
       MATCH($B5,'생산수량Back-Data'!$B$5:$B$10041,0)+1,
       MATCH(AQ$3,'생산수량Back-Data'!$B$3:$AAA$3,0))</f>
        <v>0</v>
      </c>
      <c r="AR6" s="310" cm="1">
        <f t="array" ref="AR6">INDEX('생산수량Back-Data'!$B$5:$AAA$10041,
       MATCH($B5,'생산수량Back-Data'!$B$5:$B$10041,0)+1,
       MATCH(AR$3,'생산수량Back-Data'!$B$3:$AAA$3,0))</f>
        <v>0</v>
      </c>
      <c r="AS6" s="310" cm="1">
        <f t="array" ref="AS6">INDEX('생산수량Back-Data'!$B$5:$AAA$10041,
       MATCH($B5,'생산수량Back-Data'!$B$5:$B$10041,0)+1,
       MATCH(AS$3,'생산수량Back-Data'!$B$3:$AAA$3,0))</f>
        <v>0</v>
      </c>
      <c r="AT6" s="324" cm="1">
        <f t="array" ref="AT6">INDEX('생산수량Back-Data'!$B$5:$AAA$10041,
       MATCH($B5,'생산수량Back-Data'!$B$5:$B$10041,0)+1,
       MATCH(AT$3,'생산수량Back-Data'!$B$3:$AAA$3,0))</f>
        <v>0</v>
      </c>
    </row>
    <row r="7" spans="2:46" ht="32.1" customHeight="1" x14ac:dyDescent="0.3">
      <c r="B7" s="444" t="s">
        <v>35</v>
      </c>
      <c r="C7" s="444" t="s">
        <v>185</v>
      </c>
      <c r="D7" s="444" t="s">
        <v>186</v>
      </c>
      <c r="E7" s="438">
        <f>ABS(SUMIFS('Fixture 총 발주수량'!Z:Z,'Fixture 총 발주수량'!B:B,'후공정(샌딩)생산계획'!B7,'Fixture 총 발주수량'!Z:Z,"&lt;0"))</f>
        <v>2038</v>
      </c>
      <c r="F7" s="437">
        <f>G7-E7</f>
        <v>-2038</v>
      </c>
      <c r="G7" s="437">
        <f>SUMIF(P7:AT7, "&gt;0")</f>
        <v>0</v>
      </c>
      <c r="H7" s="437">
        <f>SUMIF(P8:AT8, "&gt;0")</f>
        <v>0</v>
      </c>
      <c r="I7" s="442">
        <f>IFERROR(H7/G7,)</f>
        <v>0</v>
      </c>
      <c r="J7" s="437">
        <f ca="1">IFERROR(SUMIF('Fixture 총 발주수량'!B:AG,'후공정(샌딩)생산계획'!B7,'Fixture 총 발주수량'!AC:AC),)</f>
        <v>0</v>
      </c>
      <c r="K7" s="438">
        <f>ROUNDUP(E7/2000,)</f>
        <v>2</v>
      </c>
      <c r="L7" s="438">
        <f>L5+K7</f>
        <v>3</v>
      </c>
      <c r="M7" s="438">
        <f>L7+K7</f>
        <v>5</v>
      </c>
      <c r="N7" s="438">
        <f>N5+K7</f>
        <v>3</v>
      </c>
      <c r="O7" s="306" t="s">
        <v>264</v>
      </c>
      <c r="P7" s="311"/>
      <c r="Q7" s="312"/>
      <c r="R7" s="312"/>
      <c r="S7" s="312"/>
      <c r="T7" s="312"/>
      <c r="U7" s="312"/>
      <c r="V7" s="312"/>
      <c r="W7" s="312"/>
      <c r="X7" s="312"/>
      <c r="Y7" s="312"/>
      <c r="Z7" s="312"/>
      <c r="AA7" s="312"/>
      <c r="AB7" s="312"/>
      <c r="AC7" s="312"/>
      <c r="AD7" s="312"/>
      <c r="AE7" s="312"/>
      <c r="AF7" s="312"/>
      <c r="AG7" s="312"/>
      <c r="AH7" s="312"/>
      <c r="AI7" s="312"/>
      <c r="AJ7" s="312"/>
      <c r="AK7" s="312"/>
      <c r="AL7" s="312"/>
      <c r="AM7" s="312"/>
      <c r="AN7" s="312"/>
      <c r="AO7" s="312"/>
      <c r="AP7" s="312"/>
      <c r="AQ7" s="312"/>
      <c r="AR7" s="312"/>
      <c r="AS7" s="312"/>
      <c r="AT7" s="313"/>
    </row>
    <row r="8" spans="2:46" ht="32.1" customHeight="1" x14ac:dyDescent="0.3">
      <c r="B8" s="445"/>
      <c r="C8" s="445"/>
      <c r="D8" s="445"/>
      <c r="E8" s="439"/>
      <c r="F8" s="436"/>
      <c r="G8" s="436"/>
      <c r="H8" s="436"/>
      <c r="I8" s="443"/>
      <c r="J8" s="436"/>
      <c r="K8" s="439"/>
      <c r="L8" s="439"/>
      <c r="M8" s="439"/>
      <c r="N8" s="439"/>
      <c r="O8" s="306" t="s">
        <v>266</v>
      </c>
      <c r="P8" s="310" cm="1">
        <f t="array" ref="P8">INDEX('생산수량Back-Data'!$B$5:$AAA$10041,
       MATCH($B7,'생산수량Back-Data'!$B$5:$B$10041,0)+1,
       MATCH(P$3,'생산수량Back-Data'!$B$3:$AAA$3,0))</f>
        <v>0</v>
      </c>
      <c r="Q8" s="310" cm="1">
        <f t="array" ref="Q8">INDEX('생산수량Back-Data'!$B$5:$AAA$10041,
       MATCH($B7,'생산수량Back-Data'!$B$5:$B$10041,0)+1,
       MATCH(Q$3,'생산수량Back-Data'!$B$3:$AAA$3,0))</f>
        <v>0</v>
      </c>
      <c r="R8" s="310" cm="1">
        <f t="array" ref="R8">INDEX('생산수량Back-Data'!$B$5:$AAA$10041,
       MATCH($B7,'생산수량Back-Data'!$B$5:$B$10041,0)+1,
       MATCH(R$3,'생산수량Back-Data'!$B$3:$AAA$3,0))</f>
        <v>0</v>
      </c>
      <c r="S8" s="310" cm="1">
        <f t="array" ref="S8">INDEX('생산수량Back-Data'!$B$5:$AAA$10041,
       MATCH($B7,'생산수량Back-Data'!$B$5:$B$10041,0)+1,
       MATCH(S$3,'생산수량Back-Data'!$B$3:$AAA$3,0))</f>
        <v>0</v>
      </c>
      <c r="T8" s="310" cm="1">
        <f t="array" ref="T8">INDEX('생산수량Back-Data'!$B$5:$AAA$10041,
       MATCH($B7,'생산수량Back-Data'!$B$5:$B$10041,0)+1,
       MATCH(T$3,'생산수량Back-Data'!$B$3:$AAA$3,0))</f>
        <v>0</v>
      </c>
      <c r="U8" s="310" cm="1">
        <f t="array" ref="U8">INDEX('생산수량Back-Data'!$B$5:$AAA$10041,
       MATCH($B7,'생산수량Back-Data'!$B$5:$B$10041,0)+1,
       MATCH(U$3,'생산수량Back-Data'!$B$3:$AAA$3,0))</f>
        <v>0</v>
      </c>
      <c r="V8" s="310" cm="1">
        <f t="array" ref="V8">INDEX('생산수량Back-Data'!$B$5:$AAA$10041,
       MATCH($B7,'생산수량Back-Data'!$B$5:$B$10041,0)+1,
       MATCH(V$3,'생산수량Back-Data'!$B$3:$AAA$3,0))</f>
        <v>0</v>
      </c>
      <c r="W8" s="310" cm="1">
        <f t="array" ref="W8">INDEX('생산수량Back-Data'!$B$5:$AAA$10041,
       MATCH($B7,'생산수량Back-Data'!$B$5:$B$10041,0)+1,
       MATCH(W$3,'생산수량Back-Data'!$B$3:$AAA$3,0))</f>
        <v>0</v>
      </c>
      <c r="X8" s="310" cm="1">
        <f t="array" ref="X8">INDEX('생산수량Back-Data'!$B$5:$AAA$10041,
       MATCH($B7,'생산수량Back-Data'!$B$5:$B$10041,0)+1,
       MATCH(X$3,'생산수량Back-Data'!$B$3:$AAA$3,0))</f>
        <v>0</v>
      </c>
      <c r="Y8" s="310" cm="1">
        <f t="array" ref="Y8">INDEX('생산수량Back-Data'!$B$5:$AAA$10041,
       MATCH($B7,'생산수량Back-Data'!$B$5:$B$10041,0)+1,
       MATCH(Y$3,'생산수량Back-Data'!$B$3:$AAA$3,0))</f>
        <v>0</v>
      </c>
      <c r="Z8" s="310" cm="1">
        <f t="array" ref="Z8">INDEX('생산수량Back-Data'!$B$5:$AAA$10041,
       MATCH($B7,'생산수량Back-Data'!$B$5:$B$10041,0)+1,
       MATCH(Z$3,'생산수량Back-Data'!$B$3:$AAA$3,0))</f>
        <v>0</v>
      </c>
      <c r="AA8" s="310" cm="1">
        <f t="array" ref="AA8">INDEX('생산수량Back-Data'!$B$5:$AAA$10041,
       MATCH($B7,'생산수량Back-Data'!$B$5:$B$10041,0)+1,
       MATCH(AA$3,'생산수량Back-Data'!$B$3:$AAA$3,0))</f>
        <v>0</v>
      </c>
      <c r="AB8" s="310" cm="1">
        <f t="array" ref="AB8">INDEX('생산수량Back-Data'!$B$5:$AAA$10041,
       MATCH($B7,'생산수량Back-Data'!$B$5:$B$10041,0)+1,
       MATCH(AB$3,'생산수량Back-Data'!$B$3:$AAA$3,0))</f>
        <v>0</v>
      </c>
      <c r="AC8" s="310" cm="1">
        <f t="array" ref="AC8">INDEX('생산수량Back-Data'!$B$5:$AAA$10041,
       MATCH($B7,'생산수량Back-Data'!$B$5:$B$10041,0)+1,
       MATCH(AC$3,'생산수량Back-Data'!$B$3:$AAA$3,0))</f>
        <v>0</v>
      </c>
      <c r="AD8" s="310" cm="1">
        <f t="array" ref="AD8">INDEX('생산수량Back-Data'!$B$5:$AAA$10041,
       MATCH($B7,'생산수량Back-Data'!$B$5:$B$10041,0)+1,
       MATCH(AD$3,'생산수량Back-Data'!$B$3:$AAA$3,0))</f>
        <v>0</v>
      </c>
      <c r="AE8" s="310" cm="1">
        <f t="array" ref="AE8">INDEX('생산수량Back-Data'!$B$5:$AAA$10041,
       MATCH($B7,'생산수량Back-Data'!$B$5:$B$10041,0)+1,
       MATCH(AE$3,'생산수량Back-Data'!$B$3:$AAA$3,0))</f>
        <v>0</v>
      </c>
      <c r="AF8" s="310" cm="1">
        <f t="array" ref="AF8">INDEX('생산수량Back-Data'!$B$5:$AAA$10041,
       MATCH($B7,'생산수량Back-Data'!$B$5:$B$10041,0)+1,
       MATCH(AF$3,'생산수량Back-Data'!$B$3:$AAA$3,0))</f>
        <v>0</v>
      </c>
      <c r="AG8" s="310" cm="1">
        <f t="array" ref="AG8">INDEX('생산수량Back-Data'!$B$5:$AAA$10041,
       MATCH($B7,'생산수량Back-Data'!$B$5:$B$10041,0)+1,
       MATCH(AG$3,'생산수량Back-Data'!$B$3:$AAA$3,0))</f>
        <v>0</v>
      </c>
      <c r="AH8" s="310" cm="1">
        <f t="array" ref="AH8">INDEX('생산수량Back-Data'!$B$5:$AAA$10041,
       MATCH($B7,'생산수량Back-Data'!$B$5:$B$10041,0)+1,
       MATCH(AH$3,'생산수량Back-Data'!$B$3:$AAA$3,0))</f>
        <v>0</v>
      </c>
      <c r="AI8" s="310" cm="1">
        <f t="array" ref="AI8">INDEX('생산수량Back-Data'!$B$5:$AAA$10041,
       MATCH($B7,'생산수량Back-Data'!$B$5:$B$10041,0)+1,
       MATCH(AI$3,'생산수량Back-Data'!$B$3:$AAA$3,0))</f>
        <v>0</v>
      </c>
      <c r="AJ8" s="310" cm="1">
        <f t="array" ref="AJ8">INDEX('생산수량Back-Data'!$B$5:$AAA$10041,
       MATCH($B7,'생산수량Back-Data'!$B$5:$B$10041,0)+1,
       MATCH(AJ$3,'생산수량Back-Data'!$B$3:$AAA$3,0))</f>
        <v>0</v>
      </c>
      <c r="AK8" s="310" cm="1">
        <f t="array" ref="AK8">INDEX('생산수량Back-Data'!$B$5:$AAA$10041,
       MATCH($B7,'생산수량Back-Data'!$B$5:$B$10041,0)+1,
       MATCH(AK$3,'생산수량Back-Data'!$B$3:$AAA$3,0))</f>
        <v>0</v>
      </c>
      <c r="AL8" s="310" cm="1">
        <f t="array" ref="AL8">INDEX('생산수량Back-Data'!$B$5:$AAA$10041,
       MATCH($B7,'생산수량Back-Data'!$B$5:$B$10041,0)+1,
       MATCH(AL$3,'생산수량Back-Data'!$B$3:$AAA$3,0))</f>
        <v>0</v>
      </c>
      <c r="AM8" s="310" cm="1">
        <f t="array" ref="AM8">INDEX('생산수량Back-Data'!$B$5:$AAA$10041,
       MATCH($B7,'생산수량Back-Data'!$B$5:$B$10041,0)+1,
       MATCH(AM$3,'생산수량Back-Data'!$B$3:$AAA$3,0))</f>
        <v>0</v>
      </c>
      <c r="AN8" s="310" cm="1">
        <f t="array" ref="AN8">INDEX('생산수량Back-Data'!$B$5:$AAA$10041,
       MATCH($B7,'생산수량Back-Data'!$B$5:$B$10041,0)+1,
       MATCH(AN$3,'생산수량Back-Data'!$B$3:$AAA$3,0))</f>
        <v>0</v>
      </c>
      <c r="AO8" s="310" cm="1">
        <f t="array" ref="AO8">INDEX('생산수량Back-Data'!$B$5:$AAA$10041,
       MATCH($B7,'생산수량Back-Data'!$B$5:$B$10041,0)+1,
       MATCH(AO$3,'생산수량Back-Data'!$B$3:$AAA$3,0))</f>
        <v>0</v>
      </c>
      <c r="AP8" s="310" cm="1">
        <f t="array" ref="AP8">INDEX('생산수량Back-Data'!$B$5:$AAA$10041,
       MATCH($B7,'생산수량Back-Data'!$B$5:$B$10041,0)+1,
       MATCH(AP$3,'생산수량Back-Data'!$B$3:$AAA$3,0))</f>
        <v>0</v>
      </c>
      <c r="AQ8" s="310" cm="1">
        <f t="array" ref="AQ8">INDEX('생산수량Back-Data'!$B$5:$AAA$10041,
       MATCH($B7,'생산수량Back-Data'!$B$5:$B$10041,0)+1,
       MATCH(AQ$3,'생산수량Back-Data'!$B$3:$AAA$3,0))</f>
        <v>0</v>
      </c>
      <c r="AR8" s="310" cm="1">
        <f t="array" ref="AR8">INDEX('생산수량Back-Data'!$B$5:$AAA$10041,
       MATCH($B7,'생산수량Back-Data'!$B$5:$B$10041,0)+1,
       MATCH(AR$3,'생산수량Back-Data'!$B$3:$AAA$3,0))</f>
        <v>0</v>
      </c>
      <c r="AS8" s="310" cm="1">
        <f t="array" ref="AS8">INDEX('생산수량Back-Data'!$B$5:$AAA$10041,
       MATCH($B7,'생산수량Back-Data'!$B$5:$B$10041,0)+1,
       MATCH(AS$3,'생산수량Back-Data'!$B$3:$AAA$3,0))</f>
        <v>0</v>
      </c>
      <c r="AT8" s="324" cm="1">
        <f t="array" ref="AT8">INDEX('생산수량Back-Data'!$B$5:$AAA$10041,
       MATCH($B7,'생산수량Back-Data'!$B$5:$B$10041,0)+1,
       MATCH(AT$3,'생산수량Back-Data'!$B$3:$AAA$3,0))</f>
        <v>0</v>
      </c>
    </row>
    <row r="9" spans="2:46" ht="32.1" customHeight="1" x14ac:dyDescent="0.3">
      <c r="B9" s="444" t="s">
        <v>37</v>
      </c>
      <c r="C9" s="444" t="s">
        <v>185</v>
      </c>
      <c r="D9" s="444" t="s">
        <v>187</v>
      </c>
      <c r="E9" s="438">
        <f>ABS(SUMIFS('Fixture 총 발주수량'!Z:Z,'Fixture 총 발주수량'!B:B,'후공정(샌딩)생산계획'!B9,'Fixture 총 발주수량'!Z:Z,"&lt;0"))</f>
        <v>843</v>
      </c>
      <c r="F9" s="437">
        <f>G9-E9</f>
        <v>-843</v>
      </c>
      <c r="G9" s="437">
        <f>SUMIF(P9:AT9, "&gt;0")</f>
        <v>0</v>
      </c>
      <c r="H9" s="437">
        <f>SUMIF(P10:AT10, "&gt;0")</f>
        <v>0</v>
      </c>
      <c r="I9" s="442">
        <f>IFERROR(H9/G9,)</f>
        <v>0</v>
      </c>
      <c r="J9" s="437">
        <f ca="1">IFERROR(SUMIF('Fixture 총 발주수량'!B:AG,'후공정(샌딩)생산계획'!B9,'Fixture 총 발주수량'!AC:AC),)</f>
        <v>0</v>
      </c>
      <c r="K9" s="438">
        <f>ROUNDUP(E9/2000,)</f>
        <v>1</v>
      </c>
      <c r="L9" s="438">
        <f>L7+K9</f>
        <v>4</v>
      </c>
      <c r="M9" s="438">
        <f>L9+K9</f>
        <v>5</v>
      </c>
      <c r="N9" s="438">
        <f>N7+K9</f>
        <v>4</v>
      </c>
      <c r="O9" s="306" t="s">
        <v>264</v>
      </c>
      <c r="P9" s="311"/>
      <c r="Q9" s="312"/>
      <c r="R9" s="312"/>
      <c r="S9" s="312"/>
      <c r="T9" s="312"/>
      <c r="U9" s="312"/>
      <c r="V9" s="312"/>
      <c r="W9" s="312"/>
      <c r="X9" s="312"/>
      <c r="Y9" s="312"/>
      <c r="Z9" s="312"/>
      <c r="AA9" s="312"/>
      <c r="AB9" s="312"/>
      <c r="AC9" s="312"/>
      <c r="AD9" s="312"/>
      <c r="AE9" s="312"/>
      <c r="AF9" s="312"/>
      <c r="AG9" s="312"/>
      <c r="AH9" s="312"/>
      <c r="AI9" s="312"/>
      <c r="AJ9" s="312"/>
      <c r="AK9" s="312"/>
      <c r="AL9" s="312"/>
      <c r="AM9" s="312"/>
      <c r="AN9" s="312"/>
      <c r="AO9" s="312"/>
      <c r="AP9" s="312"/>
      <c r="AQ9" s="312"/>
      <c r="AR9" s="312"/>
      <c r="AS9" s="312"/>
      <c r="AT9" s="313"/>
    </row>
    <row r="10" spans="2:46" ht="32.1" customHeight="1" x14ac:dyDescent="0.3">
      <c r="B10" s="445"/>
      <c r="C10" s="445"/>
      <c r="D10" s="445"/>
      <c r="E10" s="439"/>
      <c r="F10" s="436"/>
      <c r="G10" s="436"/>
      <c r="H10" s="436"/>
      <c r="I10" s="443"/>
      <c r="J10" s="436"/>
      <c r="K10" s="439"/>
      <c r="L10" s="439"/>
      <c r="M10" s="439"/>
      <c r="N10" s="439"/>
      <c r="O10" s="306" t="s">
        <v>266</v>
      </c>
      <c r="P10" s="310" cm="1">
        <f t="array" ref="P10">INDEX('생산수량Back-Data'!$B$5:$AAA$10041,
       MATCH($B9,'생산수량Back-Data'!$B$5:$B$10041,0)+1,
       MATCH(P$3,'생산수량Back-Data'!$B$3:$AAA$3,0))</f>
        <v>0</v>
      </c>
      <c r="Q10" s="310" cm="1">
        <f t="array" ref="Q10">INDEX('생산수량Back-Data'!$B$5:$AAA$10041,
       MATCH($B9,'생산수량Back-Data'!$B$5:$B$10041,0)+1,
       MATCH(Q$3,'생산수량Back-Data'!$B$3:$AAA$3,0))</f>
        <v>0</v>
      </c>
      <c r="R10" s="310" cm="1">
        <f t="array" ref="R10">INDEX('생산수량Back-Data'!$B$5:$AAA$10041,
       MATCH($B9,'생산수량Back-Data'!$B$5:$B$10041,0)+1,
       MATCH(R$3,'생산수량Back-Data'!$B$3:$AAA$3,0))</f>
        <v>0</v>
      </c>
      <c r="S10" s="310" cm="1">
        <f t="array" ref="S10">INDEX('생산수량Back-Data'!$B$5:$AAA$10041,
       MATCH($B9,'생산수량Back-Data'!$B$5:$B$10041,0)+1,
       MATCH(S$3,'생산수량Back-Data'!$B$3:$AAA$3,0))</f>
        <v>0</v>
      </c>
      <c r="T10" s="310" cm="1">
        <f t="array" ref="T10">INDEX('생산수량Back-Data'!$B$5:$AAA$10041,
       MATCH($B9,'생산수량Back-Data'!$B$5:$B$10041,0)+1,
       MATCH(T$3,'생산수량Back-Data'!$B$3:$AAA$3,0))</f>
        <v>0</v>
      </c>
      <c r="U10" s="310" cm="1">
        <f t="array" ref="U10">INDEX('생산수량Back-Data'!$B$5:$AAA$10041,
       MATCH($B9,'생산수량Back-Data'!$B$5:$B$10041,0)+1,
       MATCH(U$3,'생산수량Back-Data'!$B$3:$AAA$3,0))</f>
        <v>0</v>
      </c>
      <c r="V10" s="310" cm="1">
        <f t="array" ref="V10">INDEX('생산수량Back-Data'!$B$5:$AAA$10041,
       MATCH($B9,'생산수량Back-Data'!$B$5:$B$10041,0)+1,
       MATCH(V$3,'생산수량Back-Data'!$B$3:$AAA$3,0))</f>
        <v>0</v>
      </c>
      <c r="W10" s="310" cm="1">
        <f t="array" ref="W10">INDEX('생산수량Back-Data'!$B$5:$AAA$10041,
       MATCH($B9,'생산수량Back-Data'!$B$5:$B$10041,0)+1,
       MATCH(W$3,'생산수량Back-Data'!$B$3:$AAA$3,0))</f>
        <v>0</v>
      </c>
      <c r="X10" s="310" cm="1">
        <f t="array" ref="X10">INDEX('생산수량Back-Data'!$B$5:$AAA$10041,
       MATCH($B9,'생산수량Back-Data'!$B$5:$B$10041,0)+1,
       MATCH(X$3,'생산수량Back-Data'!$B$3:$AAA$3,0))</f>
        <v>0</v>
      </c>
      <c r="Y10" s="310" cm="1">
        <f t="array" ref="Y10">INDEX('생산수량Back-Data'!$B$5:$AAA$10041,
       MATCH($B9,'생산수량Back-Data'!$B$5:$B$10041,0)+1,
       MATCH(Y$3,'생산수량Back-Data'!$B$3:$AAA$3,0))</f>
        <v>0</v>
      </c>
      <c r="Z10" s="310" cm="1">
        <f t="array" ref="Z10">INDEX('생산수량Back-Data'!$B$5:$AAA$10041,
       MATCH($B9,'생산수량Back-Data'!$B$5:$B$10041,0)+1,
       MATCH(Z$3,'생산수량Back-Data'!$B$3:$AAA$3,0))</f>
        <v>0</v>
      </c>
      <c r="AA10" s="310" cm="1">
        <f t="array" ref="AA10">INDEX('생산수량Back-Data'!$B$5:$AAA$10041,
       MATCH($B9,'생산수량Back-Data'!$B$5:$B$10041,0)+1,
       MATCH(AA$3,'생산수량Back-Data'!$B$3:$AAA$3,0))</f>
        <v>0</v>
      </c>
      <c r="AB10" s="310" cm="1">
        <f t="array" ref="AB10">INDEX('생산수량Back-Data'!$B$5:$AAA$10041,
       MATCH($B9,'생산수량Back-Data'!$B$5:$B$10041,0)+1,
       MATCH(AB$3,'생산수량Back-Data'!$B$3:$AAA$3,0))</f>
        <v>0</v>
      </c>
      <c r="AC10" s="310" cm="1">
        <f t="array" ref="AC10">INDEX('생산수량Back-Data'!$B$5:$AAA$10041,
       MATCH($B9,'생산수량Back-Data'!$B$5:$B$10041,0)+1,
       MATCH(AC$3,'생산수량Back-Data'!$B$3:$AAA$3,0))</f>
        <v>0</v>
      </c>
      <c r="AD10" s="310" cm="1">
        <f t="array" ref="AD10">INDEX('생산수량Back-Data'!$B$5:$AAA$10041,
       MATCH($B9,'생산수량Back-Data'!$B$5:$B$10041,0)+1,
       MATCH(AD$3,'생산수량Back-Data'!$B$3:$AAA$3,0))</f>
        <v>0</v>
      </c>
      <c r="AE10" s="310" cm="1">
        <f t="array" ref="AE10">INDEX('생산수량Back-Data'!$B$5:$AAA$10041,
       MATCH($B9,'생산수량Back-Data'!$B$5:$B$10041,0)+1,
       MATCH(AE$3,'생산수량Back-Data'!$B$3:$AAA$3,0))</f>
        <v>0</v>
      </c>
      <c r="AF10" s="310" cm="1">
        <f t="array" ref="AF10">INDEX('생산수량Back-Data'!$B$5:$AAA$10041,
       MATCH($B9,'생산수량Back-Data'!$B$5:$B$10041,0)+1,
       MATCH(AF$3,'생산수량Back-Data'!$B$3:$AAA$3,0))</f>
        <v>0</v>
      </c>
      <c r="AG10" s="310" cm="1">
        <f t="array" ref="AG10">INDEX('생산수량Back-Data'!$B$5:$AAA$10041,
       MATCH($B9,'생산수량Back-Data'!$B$5:$B$10041,0)+1,
       MATCH(AG$3,'생산수량Back-Data'!$B$3:$AAA$3,0))</f>
        <v>0</v>
      </c>
      <c r="AH10" s="310" cm="1">
        <f t="array" ref="AH10">INDEX('생산수량Back-Data'!$B$5:$AAA$10041,
       MATCH($B9,'생산수량Back-Data'!$B$5:$B$10041,0)+1,
       MATCH(AH$3,'생산수량Back-Data'!$B$3:$AAA$3,0))</f>
        <v>0</v>
      </c>
      <c r="AI10" s="310" cm="1">
        <f t="array" ref="AI10">INDEX('생산수량Back-Data'!$B$5:$AAA$10041,
       MATCH($B9,'생산수량Back-Data'!$B$5:$B$10041,0)+1,
       MATCH(AI$3,'생산수량Back-Data'!$B$3:$AAA$3,0))</f>
        <v>0</v>
      </c>
      <c r="AJ10" s="310" cm="1">
        <f t="array" ref="AJ10">INDEX('생산수량Back-Data'!$B$5:$AAA$10041,
       MATCH($B9,'생산수량Back-Data'!$B$5:$B$10041,0)+1,
       MATCH(AJ$3,'생산수량Back-Data'!$B$3:$AAA$3,0))</f>
        <v>0</v>
      </c>
      <c r="AK10" s="310" cm="1">
        <f t="array" ref="AK10">INDEX('생산수량Back-Data'!$B$5:$AAA$10041,
       MATCH($B9,'생산수량Back-Data'!$B$5:$B$10041,0)+1,
       MATCH(AK$3,'생산수량Back-Data'!$B$3:$AAA$3,0))</f>
        <v>0</v>
      </c>
      <c r="AL10" s="310" cm="1">
        <f t="array" ref="AL10">INDEX('생산수량Back-Data'!$B$5:$AAA$10041,
       MATCH($B9,'생산수량Back-Data'!$B$5:$B$10041,0)+1,
       MATCH(AL$3,'생산수량Back-Data'!$B$3:$AAA$3,0))</f>
        <v>0</v>
      </c>
      <c r="AM10" s="310" cm="1">
        <f t="array" ref="AM10">INDEX('생산수량Back-Data'!$B$5:$AAA$10041,
       MATCH($B9,'생산수량Back-Data'!$B$5:$B$10041,0)+1,
       MATCH(AM$3,'생산수량Back-Data'!$B$3:$AAA$3,0))</f>
        <v>0</v>
      </c>
      <c r="AN10" s="310" cm="1">
        <f t="array" ref="AN10">INDEX('생산수량Back-Data'!$B$5:$AAA$10041,
       MATCH($B9,'생산수량Back-Data'!$B$5:$B$10041,0)+1,
       MATCH(AN$3,'생산수량Back-Data'!$B$3:$AAA$3,0))</f>
        <v>0</v>
      </c>
      <c r="AO10" s="310" cm="1">
        <f t="array" ref="AO10">INDEX('생산수량Back-Data'!$B$5:$AAA$10041,
       MATCH($B9,'생산수량Back-Data'!$B$5:$B$10041,0)+1,
       MATCH(AO$3,'생산수량Back-Data'!$B$3:$AAA$3,0))</f>
        <v>0</v>
      </c>
      <c r="AP10" s="310" cm="1">
        <f t="array" ref="AP10">INDEX('생산수량Back-Data'!$B$5:$AAA$10041,
       MATCH($B9,'생산수량Back-Data'!$B$5:$B$10041,0)+1,
       MATCH(AP$3,'생산수량Back-Data'!$B$3:$AAA$3,0))</f>
        <v>0</v>
      </c>
      <c r="AQ10" s="310" cm="1">
        <f t="array" ref="AQ10">INDEX('생산수량Back-Data'!$B$5:$AAA$10041,
       MATCH($B9,'생산수량Back-Data'!$B$5:$B$10041,0)+1,
       MATCH(AQ$3,'생산수량Back-Data'!$B$3:$AAA$3,0))</f>
        <v>0</v>
      </c>
      <c r="AR10" s="310" cm="1">
        <f t="array" ref="AR10">INDEX('생산수량Back-Data'!$B$5:$AAA$10041,
       MATCH($B9,'생산수량Back-Data'!$B$5:$B$10041,0)+1,
       MATCH(AR$3,'생산수량Back-Data'!$B$3:$AAA$3,0))</f>
        <v>0</v>
      </c>
      <c r="AS10" s="310" cm="1">
        <f t="array" ref="AS10">INDEX('생산수량Back-Data'!$B$5:$AAA$10041,
       MATCH($B9,'생산수량Back-Data'!$B$5:$B$10041,0)+1,
       MATCH(AS$3,'생산수량Back-Data'!$B$3:$AAA$3,0))</f>
        <v>0</v>
      </c>
      <c r="AT10" s="324" cm="1">
        <f t="array" ref="AT10">INDEX('생산수량Back-Data'!$B$5:$AAA$10041,
       MATCH($B9,'생산수량Back-Data'!$B$5:$B$10041,0)+1,
       MATCH(AT$3,'생산수량Back-Data'!$B$3:$AAA$3,0))</f>
        <v>0</v>
      </c>
    </row>
    <row r="11" spans="2:46" ht="32.1" customHeight="1" x14ac:dyDescent="0.3">
      <c r="B11" s="444" t="s">
        <v>39</v>
      </c>
      <c r="C11" s="444" t="s">
        <v>185</v>
      </c>
      <c r="D11" s="444" t="s">
        <v>188</v>
      </c>
      <c r="E11" s="438">
        <f>ABS(SUMIFS('Fixture 총 발주수량'!Z:Z,'Fixture 총 발주수량'!B:B,'후공정(샌딩)생산계획'!B11,'Fixture 총 발주수량'!Z:Z,"&lt;0"))</f>
        <v>451</v>
      </c>
      <c r="F11" s="437">
        <f>G11-E11</f>
        <v>-451</v>
      </c>
      <c r="G11" s="437">
        <f>SUMIF(P11:AT11, "&gt;0")</f>
        <v>0</v>
      </c>
      <c r="H11" s="437">
        <f>SUMIF(P12:AT12, "&gt;0")</f>
        <v>0</v>
      </c>
      <c r="I11" s="442">
        <f>IFERROR(H11/G11,)</f>
        <v>0</v>
      </c>
      <c r="J11" s="437">
        <f ca="1">IFERROR(SUMIF('Fixture 총 발주수량'!B:AG,'후공정(샌딩)생산계획'!B11,'Fixture 총 발주수량'!AC:AC),)</f>
        <v>0</v>
      </c>
      <c r="K11" s="438">
        <f>ROUNDUP(E11/2000,)</f>
        <v>1</v>
      </c>
      <c r="L11" s="438">
        <f>L9+K11</f>
        <v>5</v>
      </c>
      <c r="M11" s="438">
        <f>L11+K11</f>
        <v>6</v>
      </c>
      <c r="N11" s="438">
        <f>N9+K11</f>
        <v>5</v>
      </c>
      <c r="O11" s="306" t="s">
        <v>264</v>
      </c>
      <c r="P11" s="311"/>
      <c r="Q11" s="312"/>
      <c r="R11" s="312"/>
      <c r="S11" s="312"/>
      <c r="T11" s="312"/>
      <c r="U11" s="312"/>
      <c r="V11" s="312"/>
      <c r="W11" s="312"/>
      <c r="X11" s="312"/>
      <c r="Y11" s="312"/>
      <c r="Z11" s="312"/>
      <c r="AA11" s="312"/>
      <c r="AB11" s="312"/>
      <c r="AC11" s="312"/>
      <c r="AD11" s="312"/>
      <c r="AE11" s="312"/>
      <c r="AF11" s="312"/>
      <c r="AG11" s="312"/>
      <c r="AH11" s="312"/>
      <c r="AI11" s="312"/>
      <c r="AJ11" s="312"/>
      <c r="AK11" s="312"/>
      <c r="AL11" s="312"/>
      <c r="AM11" s="312"/>
      <c r="AN11" s="312"/>
      <c r="AO11" s="312"/>
      <c r="AP11" s="312"/>
      <c r="AQ11" s="312"/>
      <c r="AR11" s="312"/>
      <c r="AS11" s="312"/>
      <c r="AT11" s="313"/>
    </row>
    <row r="12" spans="2:46" ht="32.1" customHeight="1" thickBot="1" x14ac:dyDescent="0.35">
      <c r="B12" s="454"/>
      <c r="C12" s="454"/>
      <c r="D12" s="454"/>
      <c r="E12" s="450"/>
      <c r="F12" s="452"/>
      <c r="G12" s="452"/>
      <c r="H12" s="452"/>
      <c r="I12" s="453"/>
      <c r="J12" s="452"/>
      <c r="K12" s="450"/>
      <c r="L12" s="450"/>
      <c r="M12" s="450"/>
      <c r="N12" s="450"/>
      <c r="O12" s="305" t="s">
        <v>266</v>
      </c>
      <c r="P12" s="310" cm="1">
        <f t="array" ref="P12">INDEX('생산수량Back-Data'!$B$5:$AAA$10041,
       MATCH($B11,'생산수량Back-Data'!$B$5:$B$10041,0)+1,
       MATCH(P$3,'생산수량Back-Data'!$B$3:$AAA$3,0))</f>
        <v>0</v>
      </c>
      <c r="Q12" s="310" cm="1">
        <f t="array" ref="Q12">INDEX('생산수량Back-Data'!$B$5:$AAA$10041,
       MATCH($B11,'생산수량Back-Data'!$B$5:$B$10041,0)+1,
       MATCH(Q$3,'생산수량Back-Data'!$B$3:$AAA$3,0))</f>
        <v>0</v>
      </c>
      <c r="R12" s="310" cm="1">
        <f t="array" ref="R12">INDEX('생산수량Back-Data'!$B$5:$AAA$10041,
       MATCH($B11,'생산수량Back-Data'!$B$5:$B$10041,0)+1,
       MATCH(R$3,'생산수량Back-Data'!$B$3:$AAA$3,0))</f>
        <v>0</v>
      </c>
      <c r="S12" s="310" cm="1">
        <f t="array" ref="S12">INDEX('생산수량Back-Data'!$B$5:$AAA$10041,
       MATCH($B11,'생산수량Back-Data'!$B$5:$B$10041,0)+1,
       MATCH(S$3,'생산수량Back-Data'!$B$3:$AAA$3,0))</f>
        <v>0</v>
      </c>
      <c r="T12" s="310" cm="1">
        <f t="array" ref="T12">INDEX('생산수량Back-Data'!$B$5:$AAA$10041,
       MATCH($B11,'생산수량Back-Data'!$B$5:$B$10041,0)+1,
       MATCH(T$3,'생산수량Back-Data'!$B$3:$AAA$3,0))</f>
        <v>0</v>
      </c>
      <c r="U12" s="310" cm="1">
        <f t="array" ref="U12">INDEX('생산수량Back-Data'!$B$5:$AAA$10041,
       MATCH($B11,'생산수량Back-Data'!$B$5:$B$10041,0)+1,
       MATCH(U$3,'생산수량Back-Data'!$B$3:$AAA$3,0))</f>
        <v>0</v>
      </c>
      <c r="V12" s="310" cm="1">
        <f t="array" ref="V12">INDEX('생산수량Back-Data'!$B$5:$AAA$10041,
       MATCH($B11,'생산수량Back-Data'!$B$5:$B$10041,0)+1,
       MATCH(V$3,'생산수량Back-Data'!$B$3:$AAA$3,0))</f>
        <v>0</v>
      </c>
      <c r="W12" s="310" cm="1">
        <f t="array" ref="W12">INDEX('생산수량Back-Data'!$B$5:$AAA$10041,
       MATCH($B11,'생산수량Back-Data'!$B$5:$B$10041,0)+1,
       MATCH(W$3,'생산수량Back-Data'!$B$3:$AAA$3,0))</f>
        <v>0</v>
      </c>
      <c r="X12" s="310" cm="1">
        <f t="array" ref="X12">INDEX('생산수량Back-Data'!$B$5:$AAA$10041,
       MATCH($B11,'생산수량Back-Data'!$B$5:$B$10041,0)+1,
       MATCH(X$3,'생산수량Back-Data'!$B$3:$AAA$3,0))</f>
        <v>0</v>
      </c>
      <c r="Y12" s="310" cm="1">
        <f t="array" ref="Y12">INDEX('생산수량Back-Data'!$B$5:$AAA$10041,
       MATCH($B11,'생산수량Back-Data'!$B$5:$B$10041,0)+1,
       MATCH(Y$3,'생산수량Back-Data'!$B$3:$AAA$3,0))</f>
        <v>0</v>
      </c>
      <c r="Z12" s="310" cm="1">
        <f t="array" ref="Z12">INDEX('생산수량Back-Data'!$B$5:$AAA$10041,
       MATCH($B11,'생산수량Back-Data'!$B$5:$B$10041,0)+1,
       MATCH(Z$3,'생산수량Back-Data'!$B$3:$AAA$3,0))</f>
        <v>0</v>
      </c>
      <c r="AA12" s="310" cm="1">
        <f t="array" ref="AA12">INDEX('생산수량Back-Data'!$B$5:$AAA$10041,
       MATCH($B11,'생산수량Back-Data'!$B$5:$B$10041,0)+1,
       MATCH(AA$3,'생산수량Back-Data'!$B$3:$AAA$3,0))</f>
        <v>0</v>
      </c>
      <c r="AB12" s="310" cm="1">
        <f t="array" ref="AB12">INDEX('생산수량Back-Data'!$B$5:$AAA$10041,
       MATCH($B11,'생산수량Back-Data'!$B$5:$B$10041,0)+1,
       MATCH(AB$3,'생산수량Back-Data'!$B$3:$AAA$3,0))</f>
        <v>0</v>
      </c>
      <c r="AC12" s="310" cm="1">
        <f t="array" ref="AC12">INDEX('생산수량Back-Data'!$B$5:$AAA$10041,
       MATCH($B11,'생산수량Back-Data'!$B$5:$B$10041,0)+1,
       MATCH(AC$3,'생산수량Back-Data'!$B$3:$AAA$3,0))</f>
        <v>0</v>
      </c>
      <c r="AD12" s="310" cm="1">
        <f t="array" ref="AD12">INDEX('생산수량Back-Data'!$B$5:$AAA$10041,
       MATCH($B11,'생산수량Back-Data'!$B$5:$B$10041,0)+1,
       MATCH(AD$3,'생산수량Back-Data'!$B$3:$AAA$3,0))</f>
        <v>0</v>
      </c>
      <c r="AE12" s="310" cm="1">
        <f t="array" ref="AE12">INDEX('생산수량Back-Data'!$B$5:$AAA$10041,
       MATCH($B11,'생산수량Back-Data'!$B$5:$B$10041,0)+1,
       MATCH(AE$3,'생산수량Back-Data'!$B$3:$AAA$3,0))</f>
        <v>0</v>
      </c>
      <c r="AF12" s="310" cm="1">
        <f t="array" ref="AF12">INDEX('생산수량Back-Data'!$B$5:$AAA$10041,
       MATCH($B11,'생산수량Back-Data'!$B$5:$B$10041,0)+1,
       MATCH(AF$3,'생산수량Back-Data'!$B$3:$AAA$3,0))</f>
        <v>0</v>
      </c>
      <c r="AG12" s="310" cm="1">
        <f t="array" ref="AG12">INDEX('생산수량Back-Data'!$B$5:$AAA$10041,
       MATCH($B11,'생산수량Back-Data'!$B$5:$B$10041,0)+1,
       MATCH(AG$3,'생산수량Back-Data'!$B$3:$AAA$3,0))</f>
        <v>0</v>
      </c>
      <c r="AH12" s="310" cm="1">
        <f t="array" ref="AH12">INDEX('생산수량Back-Data'!$B$5:$AAA$10041,
       MATCH($B11,'생산수량Back-Data'!$B$5:$B$10041,0)+1,
       MATCH(AH$3,'생산수량Back-Data'!$B$3:$AAA$3,0))</f>
        <v>0</v>
      </c>
      <c r="AI12" s="310" cm="1">
        <f t="array" ref="AI12">INDEX('생산수량Back-Data'!$B$5:$AAA$10041,
       MATCH($B11,'생산수량Back-Data'!$B$5:$B$10041,0)+1,
       MATCH(AI$3,'생산수량Back-Data'!$B$3:$AAA$3,0))</f>
        <v>0</v>
      </c>
      <c r="AJ12" s="310" cm="1">
        <f t="array" ref="AJ12">INDEX('생산수량Back-Data'!$B$5:$AAA$10041,
       MATCH($B11,'생산수량Back-Data'!$B$5:$B$10041,0)+1,
       MATCH(AJ$3,'생산수량Back-Data'!$B$3:$AAA$3,0))</f>
        <v>0</v>
      </c>
      <c r="AK12" s="310" cm="1">
        <f t="array" ref="AK12">INDEX('생산수량Back-Data'!$B$5:$AAA$10041,
       MATCH($B11,'생산수량Back-Data'!$B$5:$B$10041,0)+1,
       MATCH(AK$3,'생산수량Back-Data'!$B$3:$AAA$3,0))</f>
        <v>0</v>
      </c>
      <c r="AL12" s="310" cm="1">
        <f t="array" ref="AL12">INDEX('생산수량Back-Data'!$B$5:$AAA$10041,
       MATCH($B11,'생산수량Back-Data'!$B$5:$B$10041,0)+1,
       MATCH(AL$3,'생산수량Back-Data'!$B$3:$AAA$3,0))</f>
        <v>0</v>
      </c>
      <c r="AM12" s="310" cm="1">
        <f t="array" ref="AM12">INDEX('생산수량Back-Data'!$B$5:$AAA$10041,
       MATCH($B11,'생산수량Back-Data'!$B$5:$B$10041,0)+1,
       MATCH(AM$3,'생산수량Back-Data'!$B$3:$AAA$3,0))</f>
        <v>0</v>
      </c>
      <c r="AN12" s="310" cm="1">
        <f t="array" ref="AN12">INDEX('생산수량Back-Data'!$B$5:$AAA$10041,
       MATCH($B11,'생산수량Back-Data'!$B$5:$B$10041,0)+1,
       MATCH(AN$3,'생산수량Back-Data'!$B$3:$AAA$3,0))</f>
        <v>0</v>
      </c>
      <c r="AO12" s="310" cm="1">
        <f t="array" ref="AO12">INDEX('생산수량Back-Data'!$B$5:$AAA$10041,
       MATCH($B11,'생산수량Back-Data'!$B$5:$B$10041,0)+1,
       MATCH(AO$3,'생산수량Back-Data'!$B$3:$AAA$3,0))</f>
        <v>0</v>
      </c>
      <c r="AP12" s="310" cm="1">
        <f t="array" ref="AP12">INDEX('생산수량Back-Data'!$B$5:$AAA$10041,
       MATCH($B11,'생산수량Back-Data'!$B$5:$B$10041,0)+1,
       MATCH(AP$3,'생산수량Back-Data'!$B$3:$AAA$3,0))</f>
        <v>0</v>
      </c>
      <c r="AQ12" s="310" cm="1">
        <f t="array" ref="AQ12">INDEX('생산수량Back-Data'!$B$5:$AAA$10041,
       MATCH($B11,'생산수량Back-Data'!$B$5:$B$10041,0)+1,
       MATCH(AQ$3,'생산수량Back-Data'!$B$3:$AAA$3,0))</f>
        <v>0</v>
      </c>
      <c r="AR12" s="310" cm="1">
        <f t="array" ref="AR12">INDEX('생산수량Back-Data'!$B$5:$AAA$10041,
       MATCH($B11,'생산수량Back-Data'!$B$5:$B$10041,0)+1,
       MATCH(AR$3,'생산수량Back-Data'!$B$3:$AAA$3,0))</f>
        <v>0</v>
      </c>
      <c r="AS12" s="310" cm="1">
        <f t="array" ref="AS12">INDEX('생산수량Back-Data'!$B$5:$AAA$10041,
       MATCH($B11,'생산수량Back-Data'!$B$5:$B$10041,0)+1,
       MATCH(AS$3,'생산수량Back-Data'!$B$3:$AAA$3,0))</f>
        <v>0</v>
      </c>
      <c r="AT12" s="324" cm="1">
        <f t="array" ref="AT12">INDEX('생산수량Back-Data'!$B$5:$AAA$10041,
       MATCH($B11,'생산수량Back-Data'!$B$5:$B$10041,0)+1,
       MATCH(AT$3,'생산수량Back-Data'!$B$3:$AAA$3,0))</f>
        <v>0</v>
      </c>
    </row>
    <row r="13" spans="2:46" ht="32.1" customHeight="1" x14ac:dyDescent="0.3">
      <c r="B13" s="449" t="s">
        <v>44</v>
      </c>
      <c r="C13" s="449" t="s">
        <v>185</v>
      </c>
      <c r="D13" s="449" t="s">
        <v>189</v>
      </c>
      <c r="E13" s="446">
        <f>ABS(SUMIFS('Fixture 총 발주수량'!Z:Z,'Fixture 총 발주수량'!B:B,'후공정(샌딩)생산계획'!B13,'Fixture 총 발주수량'!Z:Z,"&lt;0"))</f>
        <v>1025</v>
      </c>
      <c r="F13" s="435">
        <f>G13-E13</f>
        <v>-1025</v>
      </c>
      <c r="G13" s="435">
        <f>SUMIF(P13:AT13, "&gt;0")</f>
        <v>0</v>
      </c>
      <c r="H13" s="435">
        <f>SUMIF(P14:AT14, "&gt;0")</f>
        <v>0</v>
      </c>
      <c r="I13" s="448">
        <f>IFERROR(H13/G13,)</f>
        <v>0</v>
      </c>
      <c r="J13" s="435">
        <f ca="1">IFERROR(SUMIF('Fixture 총 발주수량'!B:AG,'후공정(샌딩)생산계획'!B13,'Fixture 총 발주수량'!AC:AC),)</f>
        <v>1605</v>
      </c>
      <c r="K13" s="446">
        <f>ROUNDUP(E13/2000,)</f>
        <v>1</v>
      </c>
      <c r="L13" s="446">
        <f>L11+K13</f>
        <v>6</v>
      </c>
      <c r="M13" s="446">
        <f>L13+K13</f>
        <v>7</v>
      </c>
      <c r="N13" s="446">
        <f>N11+K13</f>
        <v>6</v>
      </c>
      <c r="O13" s="336" t="s">
        <v>264</v>
      </c>
      <c r="P13" s="416"/>
      <c r="Q13" s="417"/>
      <c r="R13" s="417"/>
      <c r="S13" s="417"/>
      <c r="T13" s="417"/>
      <c r="U13" s="417"/>
      <c r="V13" s="417"/>
      <c r="W13" s="417"/>
      <c r="X13" s="417"/>
      <c r="Y13" s="417"/>
      <c r="Z13" s="417"/>
      <c r="AA13" s="417"/>
      <c r="AB13" s="417"/>
      <c r="AC13" s="417"/>
      <c r="AD13" s="417"/>
      <c r="AE13" s="417"/>
      <c r="AF13" s="417"/>
      <c r="AG13" s="417"/>
      <c r="AH13" s="417"/>
      <c r="AI13" s="417"/>
      <c r="AJ13" s="417"/>
      <c r="AK13" s="417"/>
      <c r="AL13" s="417"/>
      <c r="AM13" s="417"/>
      <c r="AN13" s="417"/>
      <c r="AO13" s="417"/>
      <c r="AP13" s="417"/>
      <c r="AQ13" s="417"/>
      <c r="AR13" s="417"/>
      <c r="AS13" s="417"/>
      <c r="AT13" s="418"/>
    </row>
    <row r="14" spans="2:46" ht="32.1" customHeight="1" x14ac:dyDescent="0.3">
      <c r="B14" s="445"/>
      <c r="C14" s="445"/>
      <c r="D14" s="445"/>
      <c r="E14" s="439"/>
      <c r="F14" s="436"/>
      <c r="G14" s="436"/>
      <c r="H14" s="436"/>
      <c r="I14" s="443"/>
      <c r="J14" s="436"/>
      <c r="K14" s="439"/>
      <c r="L14" s="439"/>
      <c r="M14" s="439"/>
      <c r="N14" s="439"/>
      <c r="O14" s="306" t="s">
        <v>266</v>
      </c>
      <c r="P14" s="328" cm="1">
        <f t="array" ref="P14">INDEX('생산수량Back-Data'!$B$5:$AAA$10041,
       MATCH($B13,'생산수량Back-Data'!$B$5:$B$10041,0)+1,
       MATCH(P$3,'생산수량Back-Data'!$B$3:$AAA$3,0))</f>
        <v>0</v>
      </c>
      <c r="Q14" s="328" cm="1">
        <f t="array" ref="Q14">INDEX('생산수량Back-Data'!$B$5:$AAA$10041,
       MATCH($B13,'생산수량Back-Data'!$B$5:$B$10041,0)+1,
       MATCH(Q$3,'생산수량Back-Data'!$B$3:$AAA$3,0))</f>
        <v>0</v>
      </c>
      <c r="R14" s="328" cm="1">
        <f t="array" ref="R14">INDEX('생산수량Back-Data'!$B$5:$AAA$10041,
       MATCH($B13,'생산수량Back-Data'!$B$5:$B$10041,0)+1,
       MATCH(R$3,'생산수량Back-Data'!$B$3:$AAA$3,0))</f>
        <v>0</v>
      </c>
      <c r="S14" s="328" cm="1">
        <f t="array" ref="S14">INDEX('생산수량Back-Data'!$B$5:$AAA$10041,
       MATCH($B13,'생산수량Back-Data'!$B$5:$B$10041,0)+1,
       MATCH(S$3,'생산수량Back-Data'!$B$3:$AAA$3,0))</f>
        <v>0</v>
      </c>
      <c r="T14" s="328" cm="1">
        <f t="array" ref="T14">INDEX('생산수량Back-Data'!$B$5:$AAA$10041,
       MATCH($B13,'생산수량Back-Data'!$B$5:$B$10041,0)+1,
       MATCH(T$3,'생산수량Back-Data'!$B$3:$AAA$3,0))</f>
        <v>0</v>
      </c>
      <c r="U14" s="328" cm="1">
        <f t="array" ref="U14">INDEX('생산수량Back-Data'!$B$5:$AAA$10041,
       MATCH($B13,'생산수량Back-Data'!$B$5:$B$10041,0)+1,
       MATCH(U$3,'생산수량Back-Data'!$B$3:$AAA$3,0))</f>
        <v>0</v>
      </c>
      <c r="V14" s="328" cm="1">
        <f t="array" ref="V14">INDEX('생산수량Back-Data'!$B$5:$AAA$10041,
       MATCH($B13,'생산수량Back-Data'!$B$5:$B$10041,0)+1,
       MATCH(V$3,'생산수량Back-Data'!$B$3:$AAA$3,0))</f>
        <v>0</v>
      </c>
      <c r="W14" s="328" cm="1">
        <f t="array" ref="W14">INDEX('생산수량Back-Data'!$B$5:$AAA$10041,
       MATCH($B13,'생산수량Back-Data'!$B$5:$B$10041,0)+1,
       MATCH(W$3,'생산수량Back-Data'!$B$3:$AAA$3,0))</f>
        <v>0</v>
      </c>
      <c r="X14" s="328" cm="1">
        <f t="array" ref="X14">INDEX('생산수량Back-Data'!$B$5:$AAA$10041,
       MATCH($B13,'생산수량Back-Data'!$B$5:$B$10041,0)+1,
       MATCH(X$3,'생산수량Back-Data'!$B$3:$AAA$3,0))</f>
        <v>0</v>
      </c>
      <c r="Y14" s="328" cm="1">
        <f t="array" ref="Y14">INDEX('생산수량Back-Data'!$B$5:$AAA$10041,
       MATCH($B13,'생산수량Back-Data'!$B$5:$B$10041,0)+1,
       MATCH(Y$3,'생산수량Back-Data'!$B$3:$AAA$3,0))</f>
        <v>0</v>
      </c>
      <c r="Z14" s="328" cm="1">
        <f t="array" ref="Z14">INDEX('생산수량Back-Data'!$B$5:$AAA$10041,
       MATCH($B13,'생산수량Back-Data'!$B$5:$B$10041,0)+1,
       MATCH(Z$3,'생산수량Back-Data'!$B$3:$AAA$3,0))</f>
        <v>0</v>
      </c>
      <c r="AA14" s="328" cm="1">
        <f t="array" ref="AA14">INDEX('생산수량Back-Data'!$B$5:$AAA$10041,
       MATCH($B13,'생산수량Back-Data'!$B$5:$B$10041,0)+1,
       MATCH(AA$3,'생산수량Back-Data'!$B$3:$AAA$3,0))</f>
        <v>0</v>
      </c>
      <c r="AB14" s="328" cm="1">
        <f t="array" ref="AB14">INDEX('생산수량Back-Data'!$B$5:$AAA$10041,
       MATCH($B13,'생산수량Back-Data'!$B$5:$B$10041,0)+1,
       MATCH(AB$3,'생산수량Back-Data'!$B$3:$AAA$3,0))</f>
        <v>0</v>
      </c>
      <c r="AC14" s="328" cm="1">
        <f t="array" ref="AC14">INDEX('생산수량Back-Data'!$B$5:$AAA$10041,
       MATCH($B13,'생산수량Back-Data'!$B$5:$B$10041,0)+1,
       MATCH(AC$3,'생산수량Back-Data'!$B$3:$AAA$3,0))</f>
        <v>0</v>
      </c>
      <c r="AD14" s="328" cm="1">
        <f t="array" ref="AD14">INDEX('생산수량Back-Data'!$B$5:$AAA$10041,
       MATCH($B13,'생산수량Back-Data'!$B$5:$B$10041,0)+1,
       MATCH(AD$3,'생산수량Back-Data'!$B$3:$AAA$3,0))</f>
        <v>0</v>
      </c>
      <c r="AE14" s="328" cm="1">
        <f t="array" ref="AE14">INDEX('생산수량Back-Data'!$B$5:$AAA$10041,
       MATCH($B13,'생산수량Back-Data'!$B$5:$B$10041,0)+1,
       MATCH(AE$3,'생산수량Back-Data'!$B$3:$AAA$3,0))</f>
        <v>0</v>
      </c>
      <c r="AF14" s="328" cm="1">
        <f t="array" ref="AF14">INDEX('생산수량Back-Data'!$B$5:$AAA$10041,
       MATCH($B13,'생산수량Back-Data'!$B$5:$B$10041,0)+1,
       MATCH(AF$3,'생산수량Back-Data'!$B$3:$AAA$3,0))</f>
        <v>0</v>
      </c>
      <c r="AG14" s="328" cm="1">
        <f t="array" ref="AG14">INDEX('생산수량Back-Data'!$B$5:$AAA$10041,
       MATCH($B13,'생산수량Back-Data'!$B$5:$B$10041,0)+1,
       MATCH(AG$3,'생산수량Back-Data'!$B$3:$AAA$3,0))</f>
        <v>0</v>
      </c>
      <c r="AH14" s="328" cm="1">
        <f t="array" ref="AH14">INDEX('생산수량Back-Data'!$B$5:$AAA$10041,
       MATCH($B13,'생산수량Back-Data'!$B$5:$B$10041,0)+1,
       MATCH(AH$3,'생산수량Back-Data'!$B$3:$AAA$3,0))</f>
        <v>0</v>
      </c>
      <c r="AI14" s="328" cm="1">
        <f t="array" ref="AI14">INDEX('생산수량Back-Data'!$B$5:$AAA$10041,
       MATCH($B13,'생산수량Back-Data'!$B$5:$B$10041,0)+1,
       MATCH(AI$3,'생산수량Back-Data'!$B$3:$AAA$3,0))</f>
        <v>0</v>
      </c>
      <c r="AJ14" s="328" cm="1">
        <f t="array" ref="AJ14">INDEX('생산수량Back-Data'!$B$5:$AAA$10041,
       MATCH($B13,'생산수량Back-Data'!$B$5:$B$10041,0)+1,
       MATCH(AJ$3,'생산수량Back-Data'!$B$3:$AAA$3,0))</f>
        <v>0</v>
      </c>
      <c r="AK14" s="328" cm="1">
        <f t="array" ref="AK14">INDEX('생산수량Back-Data'!$B$5:$AAA$10041,
       MATCH($B13,'생산수량Back-Data'!$B$5:$B$10041,0)+1,
       MATCH(AK$3,'생산수량Back-Data'!$B$3:$AAA$3,0))</f>
        <v>0</v>
      </c>
      <c r="AL14" s="328" cm="1">
        <f t="array" ref="AL14">INDEX('생산수량Back-Data'!$B$5:$AAA$10041,
       MATCH($B13,'생산수량Back-Data'!$B$5:$B$10041,0)+1,
       MATCH(AL$3,'생산수량Back-Data'!$B$3:$AAA$3,0))</f>
        <v>0</v>
      </c>
      <c r="AM14" s="328" cm="1">
        <f t="array" ref="AM14">INDEX('생산수량Back-Data'!$B$5:$AAA$10041,
       MATCH($B13,'생산수량Back-Data'!$B$5:$B$10041,0)+1,
       MATCH(AM$3,'생산수량Back-Data'!$B$3:$AAA$3,0))</f>
        <v>0</v>
      </c>
      <c r="AN14" s="328" cm="1">
        <f t="array" ref="AN14">INDEX('생산수량Back-Data'!$B$5:$AAA$10041,
       MATCH($B13,'생산수량Back-Data'!$B$5:$B$10041,0)+1,
       MATCH(AN$3,'생산수량Back-Data'!$B$3:$AAA$3,0))</f>
        <v>0</v>
      </c>
      <c r="AO14" s="328" cm="1">
        <f t="array" ref="AO14">INDEX('생산수량Back-Data'!$B$5:$AAA$10041,
       MATCH($B13,'생산수량Back-Data'!$B$5:$B$10041,0)+1,
       MATCH(AO$3,'생산수량Back-Data'!$B$3:$AAA$3,0))</f>
        <v>0</v>
      </c>
      <c r="AP14" s="328" cm="1">
        <f t="array" ref="AP14">INDEX('생산수량Back-Data'!$B$5:$AAA$10041,
       MATCH($B13,'생산수량Back-Data'!$B$5:$B$10041,0)+1,
       MATCH(AP$3,'생산수량Back-Data'!$B$3:$AAA$3,0))</f>
        <v>0</v>
      </c>
      <c r="AQ14" s="328" cm="1">
        <f t="array" ref="AQ14">INDEX('생산수량Back-Data'!$B$5:$AAA$10041,
       MATCH($B13,'생산수량Back-Data'!$B$5:$B$10041,0)+1,
       MATCH(AQ$3,'생산수량Back-Data'!$B$3:$AAA$3,0))</f>
        <v>0</v>
      </c>
      <c r="AR14" s="328" cm="1">
        <f t="array" ref="AR14">INDEX('생산수량Back-Data'!$B$5:$AAA$10041,
       MATCH($B13,'생산수량Back-Data'!$B$5:$B$10041,0)+1,
       MATCH(AR$3,'생산수량Back-Data'!$B$3:$AAA$3,0))</f>
        <v>0</v>
      </c>
      <c r="AS14" s="328" cm="1">
        <f t="array" ref="AS14">INDEX('생산수량Back-Data'!$B$5:$AAA$10041,
       MATCH($B13,'생산수량Back-Data'!$B$5:$B$10041,0)+1,
       MATCH(AS$3,'생산수량Back-Data'!$B$3:$AAA$3,0))</f>
        <v>0</v>
      </c>
      <c r="AT14" s="329" cm="1">
        <f t="array" ref="AT14">INDEX('생산수량Back-Data'!$B$5:$AAA$10041,
       MATCH($B13,'생산수량Back-Data'!$B$5:$B$10041,0)+1,
       MATCH(AT$3,'생산수량Back-Data'!$B$3:$AAA$3,0))</f>
        <v>0</v>
      </c>
    </row>
    <row r="15" spans="2:46" ht="32.1" customHeight="1" x14ac:dyDescent="0.3">
      <c r="B15" s="444" t="s">
        <v>45</v>
      </c>
      <c r="C15" s="444" t="s">
        <v>185</v>
      </c>
      <c r="D15" s="444" t="s">
        <v>190</v>
      </c>
      <c r="E15" s="438">
        <f>ABS(SUMIFS('Fixture 총 발주수량'!Z:Z,'Fixture 총 발주수량'!B:B,'후공정(샌딩)생산계획'!B15,'Fixture 총 발주수량'!Z:Z,"&lt;0"))</f>
        <v>1846</v>
      </c>
      <c r="F15" s="437">
        <f>G15-E15</f>
        <v>-1846</v>
      </c>
      <c r="G15" s="437">
        <f>SUMIF(P15:AT15, "&gt;0")</f>
        <v>0</v>
      </c>
      <c r="H15" s="437">
        <f>SUMIF(P16:AT16, "&gt;0")</f>
        <v>0</v>
      </c>
      <c r="I15" s="442">
        <f>IFERROR(H15/G15,)</f>
        <v>0</v>
      </c>
      <c r="J15" s="437">
        <f ca="1">IFERROR(SUMIF('Fixture 총 발주수량'!B:AG,'후공정(샌딩)생산계획'!B15,'Fixture 총 발주수량'!AC:AC),)</f>
        <v>2446</v>
      </c>
      <c r="K15" s="438">
        <f>ROUNDUP(E15/2000,)</f>
        <v>1</v>
      </c>
      <c r="L15" s="438">
        <f>L13+K15</f>
        <v>7</v>
      </c>
      <c r="M15" s="438">
        <f>L15+K15</f>
        <v>8</v>
      </c>
      <c r="N15" s="438">
        <f>N13+K15</f>
        <v>7</v>
      </c>
      <c r="O15" s="306" t="s">
        <v>264</v>
      </c>
      <c r="P15" s="311"/>
      <c r="Q15" s="312"/>
      <c r="R15" s="312"/>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313"/>
    </row>
    <row r="16" spans="2:46" ht="32.1" customHeight="1" x14ac:dyDescent="0.3">
      <c r="B16" s="445"/>
      <c r="C16" s="445"/>
      <c r="D16" s="445"/>
      <c r="E16" s="439"/>
      <c r="F16" s="436"/>
      <c r="G16" s="436"/>
      <c r="H16" s="436"/>
      <c r="I16" s="443"/>
      <c r="J16" s="436"/>
      <c r="K16" s="439"/>
      <c r="L16" s="439"/>
      <c r="M16" s="439"/>
      <c r="N16" s="439"/>
      <c r="O16" s="306" t="s">
        <v>266</v>
      </c>
      <c r="P16" s="310" cm="1">
        <f t="array" ref="P16">INDEX('생산수량Back-Data'!$B$5:$AAA$10041,
       MATCH($B15,'생산수량Back-Data'!$B$5:$B$10041,0)+1,
       MATCH(P$3,'생산수량Back-Data'!$B$3:$AAA$3,0))</f>
        <v>0</v>
      </c>
      <c r="Q16" s="310" cm="1">
        <f t="array" ref="Q16">INDEX('생산수량Back-Data'!$B$5:$AAA$10041,
       MATCH($B15,'생산수량Back-Data'!$B$5:$B$10041,0)+1,
       MATCH(Q$3,'생산수량Back-Data'!$B$3:$AAA$3,0))</f>
        <v>0</v>
      </c>
      <c r="R16" s="310" cm="1">
        <f t="array" ref="R16">INDEX('생산수량Back-Data'!$B$5:$AAA$10041,
       MATCH($B15,'생산수량Back-Data'!$B$5:$B$10041,0)+1,
       MATCH(R$3,'생산수량Back-Data'!$B$3:$AAA$3,0))</f>
        <v>0</v>
      </c>
      <c r="S16" s="310" cm="1">
        <f t="array" ref="S16">INDEX('생산수량Back-Data'!$B$5:$AAA$10041,
       MATCH($B15,'생산수량Back-Data'!$B$5:$B$10041,0)+1,
       MATCH(S$3,'생산수량Back-Data'!$B$3:$AAA$3,0))</f>
        <v>0</v>
      </c>
      <c r="T16" s="310" cm="1">
        <f t="array" ref="T16">INDEX('생산수량Back-Data'!$B$5:$AAA$10041,
       MATCH($B15,'생산수량Back-Data'!$B$5:$B$10041,0)+1,
       MATCH(T$3,'생산수량Back-Data'!$B$3:$AAA$3,0))</f>
        <v>0</v>
      </c>
      <c r="U16" s="310" cm="1">
        <f t="array" ref="U16">INDEX('생산수량Back-Data'!$B$5:$AAA$10041,
       MATCH($B15,'생산수량Back-Data'!$B$5:$B$10041,0)+1,
       MATCH(U$3,'생산수량Back-Data'!$B$3:$AAA$3,0))</f>
        <v>0</v>
      </c>
      <c r="V16" s="310" cm="1">
        <f t="array" ref="V16">INDEX('생산수량Back-Data'!$B$5:$AAA$10041,
       MATCH($B15,'생산수량Back-Data'!$B$5:$B$10041,0)+1,
       MATCH(V$3,'생산수량Back-Data'!$B$3:$AAA$3,0))</f>
        <v>0</v>
      </c>
      <c r="W16" s="310" cm="1">
        <f t="array" ref="W16">INDEX('생산수량Back-Data'!$B$5:$AAA$10041,
       MATCH($B15,'생산수량Back-Data'!$B$5:$B$10041,0)+1,
       MATCH(W$3,'생산수량Back-Data'!$B$3:$AAA$3,0))</f>
        <v>0</v>
      </c>
      <c r="X16" s="310" cm="1">
        <f t="array" ref="X16">INDEX('생산수량Back-Data'!$B$5:$AAA$10041,
       MATCH($B15,'생산수량Back-Data'!$B$5:$B$10041,0)+1,
       MATCH(X$3,'생산수량Back-Data'!$B$3:$AAA$3,0))</f>
        <v>0</v>
      </c>
      <c r="Y16" s="310" cm="1">
        <f t="array" ref="Y16">INDEX('생산수량Back-Data'!$B$5:$AAA$10041,
       MATCH($B15,'생산수량Back-Data'!$B$5:$B$10041,0)+1,
       MATCH(Y$3,'생산수량Back-Data'!$B$3:$AAA$3,0))</f>
        <v>0</v>
      </c>
      <c r="Z16" s="310" cm="1">
        <f t="array" ref="Z16">INDEX('생산수량Back-Data'!$B$5:$AAA$10041,
       MATCH($B15,'생산수량Back-Data'!$B$5:$B$10041,0)+1,
       MATCH(Z$3,'생산수량Back-Data'!$B$3:$AAA$3,0))</f>
        <v>0</v>
      </c>
      <c r="AA16" s="310" cm="1">
        <f t="array" ref="AA16">INDEX('생산수량Back-Data'!$B$5:$AAA$10041,
       MATCH($B15,'생산수량Back-Data'!$B$5:$B$10041,0)+1,
       MATCH(AA$3,'생산수량Back-Data'!$B$3:$AAA$3,0))</f>
        <v>0</v>
      </c>
      <c r="AB16" s="310" cm="1">
        <f t="array" ref="AB16">INDEX('생산수량Back-Data'!$B$5:$AAA$10041,
       MATCH($B15,'생산수량Back-Data'!$B$5:$B$10041,0)+1,
       MATCH(AB$3,'생산수량Back-Data'!$B$3:$AAA$3,0))</f>
        <v>0</v>
      </c>
      <c r="AC16" s="310" cm="1">
        <f t="array" ref="AC16">INDEX('생산수량Back-Data'!$B$5:$AAA$10041,
       MATCH($B15,'생산수량Back-Data'!$B$5:$B$10041,0)+1,
       MATCH(AC$3,'생산수량Back-Data'!$B$3:$AAA$3,0))</f>
        <v>0</v>
      </c>
      <c r="AD16" s="310" cm="1">
        <f t="array" ref="AD16">INDEX('생산수량Back-Data'!$B$5:$AAA$10041,
       MATCH($B15,'생산수량Back-Data'!$B$5:$B$10041,0)+1,
       MATCH(AD$3,'생산수량Back-Data'!$B$3:$AAA$3,0))</f>
        <v>0</v>
      </c>
      <c r="AE16" s="310" cm="1">
        <f t="array" ref="AE16">INDEX('생산수량Back-Data'!$B$5:$AAA$10041,
       MATCH($B15,'생산수량Back-Data'!$B$5:$B$10041,0)+1,
       MATCH(AE$3,'생산수량Back-Data'!$B$3:$AAA$3,0))</f>
        <v>0</v>
      </c>
      <c r="AF16" s="310" cm="1">
        <f t="array" ref="AF16">INDEX('생산수량Back-Data'!$B$5:$AAA$10041,
       MATCH($B15,'생산수량Back-Data'!$B$5:$B$10041,0)+1,
       MATCH(AF$3,'생산수량Back-Data'!$B$3:$AAA$3,0))</f>
        <v>0</v>
      </c>
      <c r="AG16" s="310" cm="1">
        <f t="array" ref="AG16">INDEX('생산수량Back-Data'!$B$5:$AAA$10041,
       MATCH($B15,'생산수량Back-Data'!$B$5:$B$10041,0)+1,
       MATCH(AG$3,'생산수량Back-Data'!$B$3:$AAA$3,0))</f>
        <v>0</v>
      </c>
      <c r="AH16" s="310" cm="1">
        <f t="array" ref="AH16">INDEX('생산수량Back-Data'!$B$5:$AAA$10041,
       MATCH($B15,'생산수량Back-Data'!$B$5:$B$10041,0)+1,
       MATCH(AH$3,'생산수량Back-Data'!$B$3:$AAA$3,0))</f>
        <v>0</v>
      </c>
      <c r="AI16" s="310" cm="1">
        <f t="array" ref="AI16">INDEX('생산수량Back-Data'!$B$5:$AAA$10041,
       MATCH($B15,'생산수량Back-Data'!$B$5:$B$10041,0)+1,
       MATCH(AI$3,'생산수량Back-Data'!$B$3:$AAA$3,0))</f>
        <v>0</v>
      </c>
      <c r="AJ16" s="310" cm="1">
        <f t="array" ref="AJ16">INDEX('생산수량Back-Data'!$B$5:$AAA$10041,
       MATCH($B15,'생산수량Back-Data'!$B$5:$B$10041,0)+1,
       MATCH(AJ$3,'생산수량Back-Data'!$B$3:$AAA$3,0))</f>
        <v>0</v>
      </c>
      <c r="AK16" s="310" cm="1">
        <f t="array" ref="AK16">INDEX('생산수량Back-Data'!$B$5:$AAA$10041,
       MATCH($B15,'생산수량Back-Data'!$B$5:$B$10041,0)+1,
       MATCH(AK$3,'생산수량Back-Data'!$B$3:$AAA$3,0))</f>
        <v>0</v>
      </c>
      <c r="AL16" s="310" cm="1">
        <f t="array" ref="AL16">INDEX('생산수량Back-Data'!$B$5:$AAA$10041,
       MATCH($B15,'생산수량Back-Data'!$B$5:$B$10041,0)+1,
       MATCH(AL$3,'생산수량Back-Data'!$B$3:$AAA$3,0))</f>
        <v>0</v>
      </c>
      <c r="AM16" s="310" cm="1">
        <f t="array" ref="AM16">INDEX('생산수량Back-Data'!$B$5:$AAA$10041,
       MATCH($B15,'생산수량Back-Data'!$B$5:$B$10041,0)+1,
       MATCH(AM$3,'생산수량Back-Data'!$B$3:$AAA$3,0))</f>
        <v>0</v>
      </c>
      <c r="AN16" s="310" cm="1">
        <f t="array" ref="AN16">INDEX('생산수량Back-Data'!$B$5:$AAA$10041,
       MATCH($B15,'생산수량Back-Data'!$B$5:$B$10041,0)+1,
       MATCH(AN$3,'생산수량Back-Data'!$B$3:$AAA$3,0))</f>
        <v>0</v>
      </c>
      <c r="AO16" s="310" cm="1">
        <f t="array" ref="AO16">INDEX('생산수량Back-Data'!$B$5:$AAA$10041,
       MATCH($B15,'생산수량Back-Data'!$B$5:$B$10041,0)+1,
       MATCH(AO$3,'생산수량Back-Data'!$B$3:$AAA$3,0))</f>
        <v>0</v>
      </c>
      <c r="AP16" s="310" cm="1">
        <f t="array" ref="AP16">INDEX('생산수량Back-Data'!$B$5:$AAA$10041,
       MATCH($B15,'생산수량Back-Data'!$B$5:$B$10041,0)+1,
       MATCH(AP$3,'생산수량Back-Data'!$B$3:$AAA$3,0))</f>
        <v>0</v>
      </c>
      <c r="AQ16" s="310" cm="1">
        <f t="array" ref="AQ16">INDEX('생산수량Back-Data'!$B$5:$AAA$10041,
       MATCH($B15,'생산수량Back-Data'!$B$5:$B$10041,0)+1,
       MATCH(AQ$3,'생산수량Back-Data'!$B$3:$AAA$3,0))</f>
        <v>0</v>
      </c>
      <c r="AR16" s="310" cm="1">
        <f t="array" ref="AR16">INDEX('생산수량Back-Data'!$B$5:$AAA$10041,
       MATCH($B15,'생산수량Back-Data'!$B$5:$B$10041,0)+1,
       MATCH(AR$3,'생산수량Back-Data'!$B$3:$AAA$3,0))</f>
        <v>0</v>
      </c>
      <c r="AS16" s="310" cm="1">
        <f t="array" ref="AS16">INDEX('생산수량Back-Data'!$B$5:$AAA$10041,
       MATCH($B15,'생산수량Back-Data'!$B$5:$B$10041,0)+1,
       MATCH(AS$3,'생산수량Back-Data'!$B$3:$AAA$3,0))</f>
        <v>0</v>
      </c>
      <c r="AT16" s="324" cm="1">
        <f t="array" ref="AT16">INDEX('생산수량Back-Data'!$B$5:$AAA$10041,
       MATCH($B15,'생산수량Back-Data'!$B$5:$B$10041,0)+1,
       MATCH(AT$3,'생산수량Back-Data'!$B$3:$AAA$3,0))</f>
        <v>0</v>
      </c>
    </row>
    <row r="17" spans="2:46" ht="32.1" customHeight="1" x14ac:dyDescent="0.3">
      <c r="B17" s="444" t="s">
        <v>46</v>
      </c>
      <c r="C17" s="444" t="s">
        <v>185</v>
      </c>
      <c r="D17" s="444" t="s">
        <v>191</v>
      </c>
      <c r="E17" s="438">
        <f>ABS(SUMIFS('Fixture 총 발주수량'!Z:Z,'Fixture 총 발주수량'!B:B,'후공정(샌딩)생산계획'!B17,'Fixture 총 발주수량'!Z:Z,"&lt;0"))</f>
        <v>1585</v>
      </c>
      <c r="F17" s="437">
        <f>G17-E17</f>
        <v>-1585</v>
      </c>
      <c r="G17" s="437">
        <f>SUMIF(P17:AT17, "&gt;0")</f>
        <v>0</v>
      </c>
      <c r="H17" s="437">
        <f>SUMIF(P18:AT18, "&gt;0")</f>
        <v>0</v>
      </c>
      <c r="I17" s="442">
        <f>IFERROR(H17/G17,)</f>
        <v>0</v>
      </c>
      <c r="J17" s="437">
        <f ca="1">IFERROR(SUMIF('Fixture 총 발주수량'!B:AG,'후공정(샌딩)생산계획'!B17,'Fixture 총 발주수량'!AC:AC),)</f>
        <v>1222</v>
      </c>
      <c r="K17" s="438">
        <f>ROUNDUP(E17/2000,)</f>
        <v>1</v>
      </c>
      <c r="L17" s="438">
        <f>L15+K17</f>
        <v>8</v>
      </c>
      <c r="M17" s="438">
        <f>L17+K17</f>
        <v>9</v>
      </c>
      <c r="N17" s="438">
        <f>N15+K17</f>
        <v>8</v>
      </c>
      <c r="O17" s="306" t="s">
        <v>264</v>
      </c>
      <c r="P17" s="311"/>
      <c r="Q17" s="312"/>
      <c r="R17" s="312"/>
      <c r="S17" s="312"/>
      <c r="T17" s="312"/>
      <c r="U17" s="312"/>
      <c r="V17" s="312"/>
      <c r="W17" s="312"/>
      <c r="X17" s="312"/>
      <c r="Y17" s="312"/>
      <c r="Z17" s="312"/>
      <c r="AA17" s="312"/>
      <c r="AB17" s="312"/>
      <c r="AC17" s="312"/>
      <c r="AD17" s="312"/>
      <c r="AE17" s="312"/>
      <c r="AF17" s="312"/>
      <c r="AG17" s="312"/>
      <c r="AH17" s="312"/>
      <c r="AI17" s="312"/>
      <c r="AJ17" s="312"/>
      <c r="AK17" s="312"/>
      <c r="AL17" s="312"/>
      <c r="AM17" s="312"/>
      <c r="AN17" s="312"/>
      <c r="AO17" s="312"/>
      <c r="AP17" s="312"/>
      <c r="AQ17" s="312"/>
      <c r="AR17" s="312"/>
      <c r="AS17" s="312"/>
      <c r="AT17" s="313"/>
    </row>
    <row r="18" spans="2:46" ht="32.1" customHeight="1" x14ac:dyDescent="0.3">
      <c r="B18" s="445"/>
      <c r="C18" s="445"/>
      <c r="D18" s="445"/>
      <c r="E18" s="439"/>
      <c r="F18" s="436"/>
      <c r="G18" s="436"/>
      <c r="H18" s="436"/>
      <c r="I18" s="443"/>
      <c r="J18" s="436"/>
      <c r="K18" s="439"/>
      <c r="L18" s="439"/>
      <c r="M18" s="439"/>
      <c r="N18" s="439"/>
      <c r="O18" s="306" t="s">
        <v>266</v>
      </c>
      <c r="P18" s="310" cm="1">
        <f t="array" ref="P18">INDEX('생산수량Back-Data'!$B$5:$AAA$10041,
       MATCH($B17,'생산수량Back-Data'!$B$5:$B$10041,0)+1,
       MATCH(P$3,'생산수량Back-Data'!$B$3:$AAA$3,0))</f>
        <v>0</v>
      </c>
      <c r="Q18" s="310" cm="1">
        <f t="array" ref="Q18">INDEX('생산수량Back-Data'!$B$5:$AAA$10041,
       MATCH($B17,'생산수량Back-Data'!$B$5:$B$10041,0)+1,
       MATCH(Q$3,'생산수량Back-Data'!$B$3:$AAA$3,0))</f>
        <v>0</v>
      </c>
      <c r="R18" s="310" cm="1">
        <f t="array" ref="R18">INDEX('생산수량Back-Data'!$B$5:$AAA$10041,
       MATCH($B17,'생산수량Back-Data'!$B$5:$B$10041,0)+1,
       MATCH(R$3,'생산수량Back-Data'!$B$3:$AAA$3,0))</f>
        <v>0</v>
      </c>
      <c r="S18" s="310" cm="1">
        <f t="array" ref="S18">INDEX('생산수량Back-Data'!$B$5:$AAA$10041,
       MATCH($B17,'생산수량Back-Data'!$B$5:$B$10041,0)+1,
       MATCH(S$3,'생산수량Back-Data'!$B$3:$AAA$3,0))</f>
        <v>0</v>
      </c>
      <c r="T18" s="310" cm="1">
        <f t="array" ref="T18">INDEX('생산수량Back-Data'!$B$5:$AAA$10041,
       MATCH($B17,'생산수량Back-Data'!$B$5:$B$10041,0)+1,
       MATCH(T$3,'생산수량Back-Data'!$B$3:$AAA$3,0))</f>
        <v>0</v>
      </c>
      <c r="U18" s="310" cm="1">
        <f t="array" ref="U18">INDEX('생산수량Back-Data'!$B$5:$AAA$10041,
       MATCH($B17,'생산수량Back-Data'!$B$5:$B$10041,0)+1,
       MATCH(U$3,'생산수량Back-Data'!$B$3:$AAA$3,0))</f>
        <v>0</v>
      </c>
      <c r="V18" s="310" cm="1">
        <f t="array" ref="V18">INDEX('생산수량Back-Data'!$B$5:$AAA$10041,
       MATCH($B17,'생산수량Back-Data'!$B$5:$B$10041,0)+1,
       MATCH(V$3,'생산수량Back-Data'!$B$3:$AAA$3,0))</f>
        <v>0</v>
      </c>
      <c r="W18" s="310" cm="1">
        <f t="array" ref="W18">INDEX('생산수량Back-Data'!$B$5:$AAA$10041,
       MATCH($B17,'생산수량Back-Data'!$B$5:$B$10041,0)+1,
       MATCH(W$3,'생산수량Back-Data'!$B$3:$AAA$3,0))</f>
        <v>0</v>
      </c>
      <c r="X18" s="310" cm="1">
        <f t="array" ref="X18">INDEX('생산수량Back-Data'!$B$5:$AAA$10041,
       MATCH($B17,'생산수량Back-Data'!$B$5:$B$10041,0)+1,
       MATCH(X$3,'생산수량Back-Data'!$B$3:$AAA$3,0))</f>
        <v>0</v>
      </c>
      <c r="Y18" s="310" cm="1">
        <f t="array" ref="Y18">INDEX('생산수량Back-Data'!$B$5:$AAA$10041,
       MATCH($B17,'생산수량Back-Data'!$B$5:$B$10041,0)+1,
       MATCH(Y$3,'생산수량Back-Data'!$B$3:$AAA$3,0))</f>
        <v>0</v>
      </c>
      <c r="Z18" s="310" cm="1">
        <f t="array" ref="Z18">INDEX('생산수량Back-Data'!$B$5:$AAA$10041,
       MATCH($B17,'생산수량Back-Data'!$B$5:$B$10041,0)+1,
       MATCH(Z$3,'생산수량Back-Data'!$B$3:$AAA$3,0))</f>
        <v>0</v>
      </c>
      <c r="AA18" s="310" cm="1">
        <f t="array" ref="AA18">INDEX('생산수량Back-Data'!$B$5:$AAA$10041,
       MATCH($B17,'생산수량Back-Data'!$B$5:$B$10041,0)+1,
       MATCH(AA$3,'생산수량Back-Data'!$B$3:$AAA$3,0))</f>
        <v>0</v>
      </c>
      <c r="AB18" s="310" cm="1">
        <f t="array" ref="AB18">INDEX('생산수량Back-Data'!$B$5:$AAA$10041,
       MATCH($B17,'생산수량Back-Data'!$B$5:$B$10041,0)+1,
       MATCH(AB$3,'생산수량Back-Data'!$B$3:$AAA$3,0))</f>
        <v>0</v>
      </c>
      <c r="AC18" s="310" cm="1">
        <f t="array" ref="AC18">INDEX('생산수량Back-Data'!$B$5:$AAA$10041,
       MATCH($B17,'생산수량Back-Data'!$B$5:$B$10041,0)+1,
       MATCH(AC$3,'생산수량Back-Data'!$B$3:$AAA$3,0))</f>
        <v>0</v>
      </c>
      <c r="AD18" s="310" cm="1">
        <f t="array" ref="AD18">INDEX('생산수량Back-Data'!$B$5:$AAA$10041,
       MATCH($B17,'생산수량Back-Data'!$B$5:$B$10041,0)+1,
       MATCH(AD$3,'생산수량Back-Data'!$B$3:$AAA$3,0))</f>
        <v>0</v>
      </c>
      <c r="AE18" s="310" cm="1">
        <f t="array" ref="AE18">INDEX('생산수량Back-Data'!$B$5:$AAA$10041,
       MATCH($B17,'생산수량Back-Data'!$B$5:$B$10041,0)+1,
       MATCH(AE$3,'생산수량Back-Data'!$B$3:$AAA$3,0))</f>
        <v>0</v>
      </c>
      <c r="AF18" s="310" cm="1">
        <f t="array" ref="AF18">INDEX('생산수량Back-Data'!$B$5:$AAA$10041,
       MATCH($B17,'생산수량Back-Data'!$B$5:$B$10041,0)+1,
       MATCH(AF$3,'생산수량Back-Data'!$B$3:$AAA$3,0))</f>
        <v>0</v>
      </c>
      <c r="AG18" s="310" cm="1">
        <f t="array" ref="AG18">INDEX('생산수량Back-Data'!$B$5:$AAA$10041,
       MATCH($B17,'생산수량Back-Data'!$B$5:$B$10041,0)+1,
       MATCH(AG$3,'생산수량Back-Data'!$B$3:$AAA$3,0))</f>
        <v>0</v>
      </c>
      <c r="AH18" s="310" cm="1">
        <f t="array" ref="AH18">INDEX('생산수량Back-Data'!$B$5:$AAA$10041,
       MATCH($B17,'생산수량Back-Data'!$B$5:$B$10041,0)+1,
       MATCH(AH$3,'생산수량Back-Data'!$B$3:$AAA$3,0))</f>
        <v>0</v>
      </c>
      <c r="AI18" s="310" cm="1">
        <f t="array" ref="AI18">INDEX('생산수량Back-Data'!$B$5:$AAA$10041,
       MATCH($B17,'생산수량Back-Data'!$B$5:$B$10041,0)+1,
       MATCH(AI$3,'생산수량Back-Data'!$B$3:$AAA$3,0))</f>
        <v>0</v>
      </c>
      <c r="AJ18" s="310" cm="1">
        <f t="array" ref="AJ18">INDEX('생산수량Back-Data'!$B$5:$AAA$10041,
       MATCH($B17,'생산수량Back-Data'!$B$5:$B$10041,0)+1,
       MATCH(AJ$3,'생산수량Back-Data'!$B$3:$AAA$3,0))</f>
        <v>0</v>
      </c>
      <c r="AK18" s="310" cm="1">
        <f t="array" ref="AK18">INDEX('생산수량Back-Data'!$B$5:$AAA$10041,
       MATCH($B17,'생산수량Back-Data'!$B$5:$B$10041,0)+1,
       MATCH(AK$3,'생산수량Back-Data'!$B$3:$AAA$3,0))</f>
        <v>0</v>
      </c>
      <c r="AL18" s="310" cm="1">
        <f t="array" ref="AL18">INDEX('생산수량Back-Data'!$B$5:$AAA$10041,
       MATCH($B17,'생산수량Back-Data'!$B$5:$B$10041,0)+1,
       MATCH(AL$3,'생산수량Back-Data'!$B$3:$AAA$3,0))</f>
        <v>0</v>
      </c>
      <c r="AM18" s="310" cm="1">
        <f t="array" ref="AM18">INDEX('생산수량Back-Data'!$B$5:$AAA$10041,
       MATCH($B17,'생산수량Back-Data'!$B$5:$B$10041,0)+1,
       MATCH(AM$3,'생산수량Back-Data'!$B$3:$AAA$3,0))</f>
        <v>0</v>
      </c>
      <c r="AN18" s="310" cm="1">
        <f t="array" ref="AN18">INDEX('생산수량Back-Data'!$B$5:$AAA$10041,
       MATCH($B17,'생산수량Back-Data'!$B$5:$B$10041,0)+1,
       MATCH(AN$3,'생산수량Back-Data'!$B$3:$AAA$3,0))</f>
        <v>0</v>
      </c>
      <c r="AO18" s="310" cm="1">
        <f t="array" ref="AO18">INDEX('생산수량Back-Data'!$B$5:$AAA$10041,
       MATCH($B17,'생산수량Back-Data'!$B$5:$B$10041,0)+1,
       MATCH(AO$3,'생산수량Back-Data'!$B$3:$AAA$3,0))</f>
        <v>0</v>
      </c>
      <c r="AP18" s="310" cm="1">
        <f t="array" ref="AP18">INDEX('생산수량Back-Data'!$B$5:$AAA$10041,
       MATCH($B17,'생산수량Back-Data'!$B$5:$B$10041,0)+1,
       MATCH(AP$3,'생산수량Back-Data'!$B$3:$AAA$3,0))</f>
        <v>0</v>
      </c>
      <c r="AQ18" s="310" cm="1">
        <f t="array" ref="AQ18">INDEX('생산수량Back-Data'!$B$5:$AAA$10041,
       MATCH($B17,'생산수량Back-Data'!$B$5:$B$10041,0)+1,
       MATCH(AQ$3,'생산수량Back-Data'!$B$3:$AAA$3,0))</f>
        <v>0</v>
      </c>
      <c r="AR18" s="310" cm="1">
        <f t="array" ref="AR18">INDEX('생산수량Back-Data'!$B$5:$AAA$10041,
       MATCH($B17,'생산수량Back-Data'!$B$5:$B$10041,0)+1,
       MATCH(AR$3,'생산수량Back-Data'!$B$3:$AAA$3,0))</f>
        <v>0</v>
      </c>
      <c r="AS18" s="310" cm="1">
        <f t="array" ref="AS18">INDEX('생산수량Back-Data'!$B$5:$AAA$10041,
       MATCH($B17,'생산수량Back-Data'!$B$5:$B$10041,0)+1,
       MATCH(AS$3,'생산수량Back-Data'!$B$3:$AAA$3,0))</f>
        <v>0</v>
      </c>
      <c r="AT18" s="324" cm="1">
        <f t="array" ref="AT18">INDEX('생산수량Back-Data'!$B$5:$AAA$10041,
       MATCH($B17,'생산수량Back-Data'!$B$5:$B$10041,0)+1,
       MATCH(AT$3,'생산수량Back-Data'!$B$3:$AAA$3,0))</f>
        <v>0</v>
      </c>
    </row>
    <row r="19" spans="2:46" ht="32.1" customHeight="1" x14ac:dyDescent="0.3">
      <c r="B19" s="444" t="s">
        <v>47</v>
      </c>
      <c r="C19" s="444" t="s">
        <v>185</v>
      </c>
      <c r="D19" s="444" t="s">
        <v>192</v>
      </c>
      <c r="E19" s="438">
        <f>ABS(SUMIFS('Fixture 총 발주수량'!Z:Z,'Fixture 총 발주수량'!B:B,'후공정(샌딩)생산계획'!B19,'Fixture 총 발주수량'!Z:Z,"&lt;0"))</f>
        <v>0</v>
      </c>
      <c r="F19" s="437">
        <f>G19-E19</f>
        <v>0</v>
      </c>
      <c r="G19" s="437">
        <f>SUMIF(P19:AT19, "&gt;0")</f>
        <v>0</v>
      </c>
      <c r="H19" s="437">
        <f>SUMIF(P20:AT20, "&gt;0")</f>
        <v>0</v>
      </c>
      <c r="I19" s="442">
        <f>IFERROR(H19/G19,)</f>
        <v>0</v>
      </c>
      <c r="J19" s="437">
        <f ca="1">IFERROR(SUMIF('Fixture 총 발주수량'!B:AG,'후공정(샌딩)생산계획'!B19,'Fixture 총 발주수량'!AC:AC),)</f>
        <v>0</v>
      </c>
      <c r="K19" s="438">
        <f>ROUNDUP(E19/2000,)</f>
        <v>0</v>
      </c>
      <c r="L19" s="438">
        <f>L17+K19</f>
        <v>8</v>
      </c>
      <c r="M19" s="438">
        <f>L19+K19</f>
        <v>8</v>
      </c>
      <c r="N19" s="438">
        <f>N17+K19</f>
        <v>8</v>
      </c>
      <c r="O19" s="306" t="s">
        <v>264</v>
      </c>
      <c r="P19" s="311"/>
      <c r="Q19" s="312"/>
      <c r="R19" s="312"/>
      <c r="S19" s="312"/>
      <c r="T19" s="312"/>
      <c r="U19" s="312"/>
      <c r="V19" s="312"/>
      <c r="W19" s="312"/>
      <c r="X19" s="312"/>
      <c r="Y19" s="312"/>
      <c r="Z19" s="312"/>
      <c r="AA19" s="312"/>
      <c r="AB19" s="312"/>
      <c r="AC19" s="312"/>
      <c r="AD19" s="312"/>
      <c r="AE19" s="312"/>
      <c r="AF19" s="312"/>
      <c r="AG19" s="312"/>
      <c r="AH19" s="312"/>
      <c r="AI19" s="312"/>
      <c r="AJ19" s="312"/>
      <c r="AK19" s="312"/>
      <c r="AL19" s="312"/>
      <c r="AM19" s="312"/>
      <c r="AN19" s="312"/>
      <c r="AO19" s="312"/>
      <c r="AP19" s="312"/>
      <c r="AQ19" s="312"/>
      <c r="AR19" s="312"/>
      <c r="AS19" s="312"/>
      <c r="AT19" s="313"/>
    </row>
    <row r="20" spans="2:46" ht="32.1" customHeight="1" thickBot="1" x14ac:dyDescent="0.35">
      <c r="B20" s="454"/>
      <c r="C20" s="454"/>
      <c r="D20" s="454"/>
      <c r="E20" s="450"/>
      <c r="F20" s="452"/>
      <c r="G20" s="452"/>
      <c r="H20" s="452"/>
      <c r="I20" s="453"/>
      <c r="J20" s="452"/>
      <c r="K20" s="450"/>
      <c r="L20" s="450"/>
      <c r="M20" s="450"/>
      <c r="N20" s="450"/>
      <c r="O20" s="305" t="s">
        <v>266</v>
      </c>
      <c r="P20" s="310" cm="1">
        <f t="array" ref="P20">INDEX('생산수량Back-Data'!$B$5:$AAA$10041,
       MATCH($B19,'생산수량Back-Data'!$B$5:$B$10041,0)+1,
       MATCH(P$3,'생산수량Back-Data'!$B$3:$AAA$3,0))</f>
        <v>0</v>
      </c>
      <c r="Q20" s="310" cm="1">
        <f t="array" ref="Q20">INDEX('생산수량Back-Data'!$B$5:$AAA$10041,
       MATCH($B19,'생산수량Back-Data'!$B$5:$B$10041,0)+1,
       MATCH(Q$3,'생산수량Back-Data'!$B$3:$AAA$3,0))</f>
        <v>0</v>
      </c>
      <c r="R20" s="310" cm="1">
        <f t="array" ref="R20">INDEX('생산수량Back-Data'!$B$5:$AAA$10041,
       MATCH($B19,'생산수량Back-Data'!$B$5:$B$10041,0)+1,
       MATCH(R$3,'생산수량Back-Data'!$B$3:$AAA$3,0))</f>
        <v>0</v>
      </c>
      <c r="S20" s="310" cm="1">
        <f t="array" ref="S20">INDEX('생산수량Back-Data'!$B$5:$AAA$10041,
       MATCH($B19,'생산수량Back-Data'!$B$5:$B$10041,0)+1,
       MATCH(S$3,'생산수량Back-Data'!$B$3:$AAA$3,0))</f>
        <v>0</v>
      </c>
      <c r="T20" s="310" cm="1">
        <f t="array" ref="T20">INDEX('생산수량Back-Data'!$B$5:$AAA$10041,
       MATCH($B19,'생산수량Back-Data'!$B$5:$B$10041,0)+1,
       MATCH(T$3,'생산수량Back-Data'!$B$3:$AAA$3,0))</f>
        <v>0</v>
      </c>
      <c r="U20" s="310" cm="1">
        <f t="array" ref="U20">INDEX('생산수량Back-Data'!$B$5:$AAA$10041,
       MATCH($B19,'생산수량Back-Data'!$B$5:$B$10041,0)+1,
       MATCH(U$3,'생산수량Back-Data'!$B$3:$AAA$3,0))</f>
        <v>0</v>
      </c>
      <c r="V20" s="310" cm="1">
        <f t="array" ref="V20">INDEX('생산수량Back-Data'!$B$5:$AAA$10041,
       MATCH($B19,'생산수량Back-Data'!$B$5:$B$10041,0)+1,
       MATCH(V$3,'생산수량Back-Data'!$B$3:$AAA$3,0))</f>
        <v>0</v>
      </c>
      <c r="W20" s="310" cm="1">
        <f t="array" ref="W20">INDEX('생산수량Back-Data'!$B$5:$AAA$10041,
       MATCH($B19,'생산수량Back-Data'!$B$5:$B$10041,0)+1,
       MATCH(W$3,'생산수량Back-Data'!$B$3:$AAA$3,0))</f>
        <v>0</v>
      </c>
      <c r="X20" s="310" cm="1">
        <f t="array" ref="X20">INDEX('생산수량Back-Data'!$B$5:$AAA$10041,
       MATCH($B19,'생산수량Back-Data'!$B$5:$B$10041,0)+1,
       MATCH(X$3,'생산수량Back-Data'!$B$3:$AAA$3,0))</f>
        <v>0</v>
      </c>
      <c r="Y20" s="310" cm="1">
        <f t="array" ref="Y20">INDEX('생산수량Back-Data'!$B$5:$AAA$10041,
       MATCH($B19,'생산수량Back-Data'!$B$5:$B$10041,0)+1,
       MATCH(Y$3,'생산수량Back-Data'!$B$3:$AAA$3,0))</f>
        <v>0</v>
      </c>
      <c r="Z20" s="310" cm="1">
        <f t="array" ref="Z20">INDEX('생산수량Back-Data'!$B$5:$AAA$10041,
       MATCH($B19,'생산수량Back-Data'!$B$5:$B$10041,0)+1,
       MATCH(Z$3,'생산수량Back-Data'!$B$3:$AAA$3,0))</f>
        <v>0</v>
      </c>
      <c r="AA20" s="310" cm="1">
        <f t="array" ref="AA20">INDEX('생산수량Back-Data'!$B$5:$AAA$10041,
       MATCH($B19,'생산수량Back-Data'!$B$5:$B$10041,0)+1,
       MATCH(AA$3,'생산수량Back-Data'!$B$3:$AAA$3,0))</f>
        <v>0</v>
      </c>
      <c r="AB20" s="310" cm="1">
        <f t="array" ref="AB20">INDEX('생산수량Back-Data'!$B$5:$AAA$10041,
       MATCH($B19,'생산수량Back-Data'!$B$5:$B$10041,0)+1,
       MATCH(AB$3,'생산수량Back-Data'!$B$3:$AAA$3,0))</f>
        <v>0</v>
      </c>
      <c r="AC20" s="310" cm="1">
        <f t="array" ref="AC20">INDEX('생산수량Back-Data'!$B$5:$AAA$10041,
       MATCH($B19,'생산수량Back-Data'!$B$5:$B$10041,0)+1,
       MATCH(AC$3,'생산수량Back-Data'!$B$3:$AAA$3,0))</f>
        <v>0</v>
      </c>
      <c r="AD20" s="310" cm="1">
        <f t="array" ref="AD20">INDEX('생산수량Back-Data'!$B$5:$AAA$10041,
       MATCH($B19,'생산수량Back-Data'!$B$5:$B$10041,0)+1,
       MATCH(AD$3,'생산수량Back-Data'!$B$3:$AAA$3,0))</f>
        <v>0</v>
      </c>
      <c r="AE20" s="310" cm="1">
        <f t="array" ref="AE20">INDEX('생산수량Back-Data'!$B$5:$AAA$10041,
       MATCH($B19,'생산수량Back-Data'!$B$5:$B$10041,0)+1,
       MATCH(AE$3,'생산수량Back-Data'!$B$3:$AAA$3,0))</f>
        <v>0</v>
      </c>
      <c r="AF20" s="310" cm="1">
        <f t="array" ref="AF20">INDEX('생산수량Back-Data'!$B$5:$AAA$10041,
       MATCH($B19,'생산수량Back-Data'!$B$5:$B$10041,0)+1,
       MATCH(AF$3,'생산수량Back-Data'!$B$3:$AAA$3,0))</f>
        <v>0</v>
      </c>
      <c r="AG20" s="310" cm="1">
        <f t="array" ref="AG20">INDEX('생산수량Back-Data'!$B$5:$AAA$10041,
       MATCH($B19,'생산수량Back-Data'!$B$5:$B$10041,0)+1,
       MATCH(AG$3,'생산수량Back-Data'!$B$3:$AAA$3,0))</f>
        <v>0</v>
      </c>
      <c r="AH20" s="310" cm="1">
        <f t="array" ref="AH20">INDEX('생산수량Back-Data'!$B$5:$AAA$10041,
       MATCH($B19,'생산수량Back-Data'!$B$5:$B$10041,0)+1,
       MATCH(AH$3,'생산수량Back-Data'!$B$3:$AAA$3,0))</f>
        <v>0</v>
      </c>
      <c r="AI20" s="310" cm="1">
        <f t="array" ref="AI20">INDEX('생산수량Back-Data'!$B$5:$AAA$10041,
       MATCH($B19,'생산수량Back-Data'!$B$5:$B$10041,0)+1,
       MATCH(AI$3,'생산수량Back-Data'!$B$3:$AAA$3,0))</f>
        <v>0</v>
      </c>
      <c r="AJ20" s="310" cm="1">
        <f t="array" ref="AJ20">INDEX('생산수량Back-Data'!$B$5:$AAA$10041,
       MATCH($B19,'생산수량Back-Data'!$B$5:$B$10041,0)+1,
       MATCH(AJ$3,'생산수량Back-Data'!$B$3:$AAA$3,0))</f>
        <v>0</v>
      </c>
      <c r="AK20" s="310" cm="1">
        <f t="array" ref="AK20">INDEX('생산수량Back-Data'!$B$5:$AAA$10041,
       MATCH($B19,'생산수량Back-Data'!$B$5:$B$10041,0)+1,
       MATCH(AK$3,'생산수량Back-Data'!$B$3:$AAA$3,0))</f>
        <v>0</v>
      </c>
      <c r="AL20" s="310" cm="1">
        <f t="array" ref="AL20">INDEX('생산수량Back-Data'!$B$5:$AAA$10041,
       MATCH($B19,'생산수량Back-Data'!$B$5:$B$10041,0)+1,
       MATCH(AL$3,'생산수량Back-Data'!$B$3:$AAA$3,0))</f>
        <v>0</v>
      </c>
      <c r="AM20" s="310" cm="1">
        <f t="array" ref="AM20">INDEX('생산수량Back-Data'!$B$5:$AAA$10041,
       MATCH($B19,'생산수량Back-Data'!$B$5:$B$10041,0)+1,
       MATCH(AM$3,'생산수량Back-Data'!$B$3:$AAA$3,0))</f>
        <v>0</v>
      </c>
      <c r="AN20" s="310" cm="1">
        <f t="array" ref="AN20">INDEX('생산수량Back-Data'!$B$5:$AAA$10041,
       MATCH($B19,'생산수량Back-Data'!$B$5:$B$10041,0)+1,
       MATCH(AN$3,'생산수량Back-Data'!$B$3:$AAA$3,0))</f>
        <v>0</v>
      </c>
      <c r="AO20" s="310" cm="1">
        <f t="array" ref="AO20">INDEX('생산수량Back-Data'!$B$5:$AAA$10041,
       MATCH($B19,'생산수량Back-Data'!$B$5:$B$10041,0)+1,
       MATCH(AO$3,'생산수량Back-Data'!$B$3:$AAA$3,0))</f>
        <v>0</v>
      </c>
      <c r="AP20" s="310" cm="1">
        <f t="array" ref="AP20">INDEX('생산수량Back-Data'!$B$5:$AAA$10041,
       MATCH($B19,'생산수량Back-Data'!$B$5:$B$10041,0)+1,
       MATCH(AP$3,'생산수량Back-Data'!$B$3:$AAA$3,0))</f>
        <v>0</v>
      </c>
      <c r="AQ20" s="310" cm="1">
        <f t="array" ref="AQ20">INDEX('생산수량Back-Data'!$B$5:$AAA$10041,
       MATCH($B19,'생산수량Back-Data'!$B$5:$B$10041,0)+1,
       MATCH(AQ$3,'생산수량Back-Data'!$B$3:$AAA$3,0))</f>
        <v>0</v>
      </c>
      <c r="AR20" s="310" cm="1">
        <f t="array" ref="AR20">INDEX('생산수량Back-Data'!$B$5:$AAA$10041,
       MATCH($B19,'생산수량Back-Data'!$B$5:$B$10041,0)+1,
       MATCH(AR$3,'생산수량Back-Data'!$B$3:$AAA$3,0))</f>
        <v>0</v>
      </c>
      <c r="AS20" s="310" cm="1">
        <f t="array" ref="AS20">INDEX('생산수량Back-Data'!$B$5:$AAA$10041,
       MATCH($B19,'생산수량Back-Data'!$B$5:$B$10041,0)+1,
       MATCH(AS$3,'생산수량Back-Data'!$B$3:$AAA$3,0))</f>
        <v>0</v>
      </c>
      <c r="AT20" s="324" cm="1">
        <f t="array" ref="AT20">INDEX('생산수량Back-Data'!$B$5:$AAA$10041,
       MATCH($B19,'생산수량Back-Data'!$B$5:$B$10041,0)+1,
       MATCH(AT$3,'생산수량Back-Data'!$B$3:$AAA$3,0))</f>
        <v>0</v>
      </c>
    </row>
    <row r="21" spans="2:46" ht="32.1" customHeight="1" x14ac:dyDescent="0.3">
      <c r="B21" s="449" t="s">
        <v>40</v>
      </c>
      <c r="C21" s="449" t="s">
        <v>185</v>
      </c>
      <c r="D21" s="449" t="s">
        <v>189</v>
      </c>
      <c r="E21" s="446">
        <f>ABS(SUMIFS('Fixture 총 발주수량'!Z:Z,'Fixture 총 발주수량'!B:B,'후공정(샌딩)생산계획'!B21,'Fixture 총 발주수량'!Z:Z,"&lt;0"))</f>
        <v>1941</v>
      </c>
      <c r="F21" s="435">
        <f>G21-E21</f>
        <v>-1941</v>
      </c>
      <c r="G21" s="435">
        <f>SUMIF(P21:AT21, "&gt;0")</f>
        <v>0</v>
      </c>
      <c r="H21" s="435">
        <f>SUMIF(P22:AT22, "&gt;0")</f>
        <v>0</v>
      </c>
      <c r="I21" s="448">
        <f>IFERROR(H21/G21,)</f>
        <v>0</v>
      </c>
      <c r="J21" s="435">
        <f ca="1">IFERROR(SUMIF('Fixture 총 발주수량'!B:AG,'후공정(샌딩)생산계획'!B21,'Fixture 총 발주수량'!AC:AC),)</f>
        <v>0</v>
      </c>
      <c r="K21" s="446">
        <f>ROUNDUP(E21/2000,)</f>
        <v>1</v>
      </c>
      <c r="L21" s="446">
        <f>L19+K21</f>
        <v>9</v>
      </c>
      <c r="M21" s="446">
        <f>L21+K21</f>
        <v>10</v>
      </c>
      <c r="N21" s="446">
        <f>N19+K21</f>
        <v>9</v>
      </c>
      <c r="O21" s="336" t="s">
        <v>264</v>
      </c>
      <c r="P21" s="337"/>
      <c r="Q21" s="338"/>
      <c r="R21" s="338"/>
      <c r="S21" s="338"/>
      <c r="T21" s="338"/>
      <c r="U21" s="338"/>
      <c r="V21" s="338"/>
      <c r="W21" s="338"/>
      <c r="X21" s="338"/>
      <c r="Y21" s="338"/>
      <c r="Z21" s="338"/>
      <c r="AA21" s="338"/>
      <c r="AB21" s="338"/>
      <c r="AC21" s="338"/>
      <c r="AD21" s="338"/>
      <c r="AE21" s="338"/>
      <c r="AF21" s="338"/>
      <c r="AG21" s="338"/>
      <c r="AH21" s="338"/>
      <c r="AI21" s="338"/>
      <c r="AJ21" s="338"/>
      <c r="AK21" s="338"/>
      <c r="AL21" s="338"/>
      <c r="AM21" s="338"/>
      <c r="AN21" s="338"/>
      <c r="AO21" s="338"/>
      <c r="AP21" s="338"/>
      <c r="AQ21" s="338"/>
      <c r="AR21" s="338"/>
      <c r="AS21" s="338"/>
      <c r="AT21" s="339"/>
    </row>
    <row r="22" spans="2:46" ht="32.1" customHeight="1" x14ac:dyDescent="0.3">
      <c r="B22" s="445"/>
      <c r="C22" s="445"/>
      <c r="D22" s="445"/>
      <c r="E22" s="439"/>
      <c r="F22" s="436"/>
      <c r="G22" s="436"/>
      <c r="H22" s="436"/>
      <c r="I22" s="443"/>
      <c r="J22" s="436"/>
      <c r="K22" s="439"/>
      <c r="L22" s="439"/>
      <c r="M22" s="439"/>
      <c r="N22" s="439"/>
      <c r="O22" s="306" t="s">
        <v>266</v>
      </c>
      <c r="P22" s="328" cm="1">
        <f t="array" ref="P22">INDEX('생산수량Back-Data'!$B$5:$AAA$10041,
       MATCH($B21,'생산수량Back-Data'!$B$5:$B$10041,0)+1,
       MATCH(P$3,'생산수량Back-Data'!$B$3:$AAA$3,0))</f>
        <v>0</v>
      </c>
      <c r="Q22" s="328" cm="1">
        <f t="array" ref="Q22">INDEX('생산수량Back-Data'!$B$5:$AAA$10041,
       MATCH($B21,'생산수량Back-Data'!$B$5:$B$10041,0)+1,
       MATCH(Q$3,'생산수량Back-Data'!$B$3:$AAA$3,0))</f>
        <v>0</v>
      </c>
      <c r="R22" s="328" cm="1">
        <f t="array" ref="R22">INDEX('생산수량Back-Data'!$B$5:$AAA$10041,
       MATCH($B21,'생산수량Back-Data'!$B$5:$B$10041,0)+1,
       MATCH(R$3,'생산수량Back-Data'!$B$3:$AAA$3,0))</f>
        <v>0</v>
      </c>
      <c r="S22" s="328" cm="1">
        <f t="array" ref="S22">INDEX('생산수량Back-Data'!$B$5:$AAA$10041,
       MATCH($B21,'생산수량Back-Data'!$B$5:$B$10041,0)+1,
       MATCH(S$3,'생산수량Back-Data'!$B$3:$AAA$3,0))</f>
        <v>0</v>
      </c>
      <c r="T22" s="328" cm="1">
        <f t="array" ref="T22">INDEX('생산수량Back-Data'!$B$5:$AAA$10041,
       MATCH($B21,'생산수량Back-Data'!$B$5:$B$10041,0)+1,
       MATCH(T$3,'생산수량Back-Data'!$B$3:$AAA$3,0))</f>
        <v>0</v>
      </c>
      <c r="U22" s="328" cm="1">
        <f t="array" ref="U22">INDEX('생산수량Back-Data'!$B$5:$AAA$10041,
       MATCH($B21,'생산수량Back-Data'!$B$5:$B$10041,0)+1,
       MATCH(U$3,'생산수량Back-Data'!$B$3:$AAA$3,0))</f>
        <v>0</v>
      </c>
      <c r="V22" s="328" cm="1">
        <f t="array" ref="V22">INDEX('생산수량Back-Data'!$B$5:$AAA$10041,
       MATCH($B21,'생산수량Back-Data'!$B$5:$B$10041,0)+1,
       MATCH(V$3,'생산수량Back-Data'!$B$3:$AAA$3,0))</f>
        <v>0</v>
      </c>
      <c r="W22" s="328" cm="1">
        <f t="array" ref="W22">INDEX('생산수량Back-Data'!$B$5:$AAA$10041,
       MATCH($B21,'생산수량Back-Data'!$B$5:$B$10041,0)+1,
       MATCH(W$3,'생산수량Back-Data'!$B$3:$AAA$3,0))</f>
        <v>0</v>
      </c>
      <c r="X22" s="328" cm="1">
        <f t="array" ref="X22">INDEX('생산수량Back-Data'!$B$5:$AAA$10041,
       MATCH($B21,'생산수량Back-Data'!$B$5:$B$10041,0)+1,
       MATCH(X$3,'생산수량Back-Data'!$B$3:$AAA$3,0))</f>
        <v>0</v>
      </c>
      <c r="Y22" s="328" cm="1">
        <f t="array" ref="Y22">INDEX('생산수량Back-Data'!$B$5:$AAA$10041,
       MATCH($B21,'생산수량Back-Data'!$B$5:$B$10041,0)+1,
       MATCH(Y$3,'생산수량Back-Data'!$B$3:$AAA$3,0))</f>
        <v>0</v>
      </c>
      <c r="Z22" s="328" cm="1">
        <f t="array" ref="Z22">INDEX('생산수량Back-Data'!$B$5:$AAA$10041,
       MATCH($B21,'생산수량Back-Data'!$B$5:$B$10041,0)+1,
       MATCH(Z$3,'생산수량Back-Data'!$B$3:$AAA$3,0))</f>
        <v>0</v>
      </c>
      <c r="AA22" s="328" cm="1">
        <f t="array" ref="AA22">INDEX('생산수량Back-Data'!$B$5:$AAA$10041,
       MATCH($B21,'생산수량Back-Data'!$B$5:$B$10041,0)+1,
       MATCH(AA$3,'생산수량Back-Data'!$B$3:$AAA$3,0))</f>
        <v>0</v>
      </c>
      <c r="AB22" s="328" cm="1">
        <f t="array" ref="AB22">INDEX('생산수량Back-Data'!$B$5:$AAA$10041,
       MATCH($B21,'생산수량Back-Data'!$B$5:$B$10041,0)+1,
       MATCH(AB$3,'생산수량Back-Data'!$B$3:$AAA$3,0))</f>
        <v>0</v>
      </c>
      <c r="AC22" s="328" cm="1">
        <f t="array" ref="AC22">INDEX('생산수량Back-Data'!$B$5:$AAA$10041,
       MATCH($B21,'생산수량Back-Data'!$B$5:$B$10041,0)+1,
       MATCH(AC$3,'생산수량Back-Data'!$B$3:$AAA$3,0))</f>
        <v>0</v>
      </c>
      <c r="AD22" s="328" cm="1">
        <f t="array" ref="AD22">INDEX('생산수량Back-Data'!$B$5:$AAA$10041,
       MATCH($B21,'생산수량Back-Data'!$B$5:$B$10041,0)+1,
       MATCH(AD$3,'생산수량Back-Data'!$B$3:$AAA$3,0))</f>
        <v>0</v>
      </c>
      <c r="AE22" s="328" cm="1">
        <f t="array" ref="AE22">INDEX('생산수량Back-Data'!$B$5:$AAA$10041,
       MATCH($B21,'생산수량Back-Data'!$B$5:$B$10041,0)+1,
       MATCH(AE$3,'생산수량Back-Data'!$B$3:$AAA$3,0))</f>
        <v>0</v>
      </c>
      <c r="AF22" s="328" cm="1">
        <f t="array" ref="AF22">INDEX('생산수량Back-Data'!$B$5:$AAA$10041,
       MATCH($B21,'생산수량Back-Data'!$B$5:$B$10041,0)+1,
       MATCH(AF$3,'생산수량Back-Data'!$B$3:$AAA$3,0))</f>
        <v>0</v>
      </c>
      <c r="AG22" s="328" cm="1">
        <f t="array" ref="AG22">INDEX('생산수량Back-Data'!$B$5:$AAA$10041,
       MATCH($B21,'생산수량Back-Data'!$B$5:$B$10041,0)+1,
       MATCH(AG$3,'생산수량Back-Data'!$B$3:$AAA$3,0))</f>
        <v>0</v>
      </c>
      <c r="AH22" s="328" cm="1">
        <f t="array" ref="AH22">INDEX('생산수량Back-Data'!$B$5:$AAA$10041,
       MATCH($B21,'생산수량Back-Data'!$B$5:$B$10041,0)+1,
       MATCH(AH$3,'생산수량Back-Data'!$B$3:$AAA$3,0))</f>
        <v>0</v>
      </c>
      <c r="AI22" s="328" cm="1">
        <f t="array" ref="AI22">INDEX('생산수량Back-Data'!$B$5:$AAA$10041,
       MATCH($B21,'생산수량Back-Data'!$B$5:$B$10041,0)+1,
       MATCH(AI$3,'생산수량Back-Data'!$B$3:$AAA$3,0))</f>
        <v>0</v>
      </c>
      <c r="AJ22" s="328" cm="1">
        <f t="array" ref="AJ22">INDEX('생산수량Back-Data'!$B$5:$AAA$10041,
       MATCH($B21,'생산수량Back-Data'!$B$5:$B$10041,0)+1,
       MATCH(AJ$3,'생산수량Back-Data'!$B$3:$AAA$3,0))</f>
        <v>0</v>
      </c>
      <c r="AK22" s="328" cm="1">
        <f t="array" ref="AK22">INDEX('생산수량Back-Data'!$B$5:$AAA$10041,
       MATCH($B21,'생산수량Back-Data'!$B$5:$B$10041,0)+1,
       MATCH(AK$3,'생산수량Back-Data'!$B$3:$AAA$3,0))</f>
        <v>0</v>
      </c>
      <c r="AL22" s="328" cm="1">
        <f t="array" ref="AL22">INDEX('생산수량Back-Data'!$B$5:$AAA$10041,
       MATCH($B21,'생산수량Back-Data'!$B$5:$B$10041,0)+1,
       MATCH(AL$3,'생산수량Back-Data'!$B$3:$AAA$3,0))</f>
        <v>0</v>
      </c>
      <c r="AM22" s="328" cm="1">
        <f t="array" ref="AM22">INDEX('생산수량Back-Data'!$B$5:$AAA$10041,
       MATCH($B21,'생산수량Back-Data'!$B$5:$B$10041,0)+1,
       MATCH(AM$3,'생산수량Back-Data'!$B$3:$AAA$3,0))</f>
        <v>0</v>
      </c>
      <c r="AN22" s="328" cm="1">
        <f t="array" ref="AN22">INDEX('생산수량Back-Data'!$B$5:$AAA$10041,
       MATCH($B21,'생산수량Back-Data'!$B$5:$B$10041,0)+1,
       MATCH(AN$3,'생산수량Back-Data'!$B$3:$AAA$3,0))</f>
        <v>0</v>
      </c>
      <c r="AO22" s="328" cm="1">
        <f t="array" ref="AO22">INDEX('생산수량Back-Data'!$B$5:$AAA$10041,
       MATCH($B21,'생산수량Back-Data'!$B$5:$B$10041,0)+1,
       MATCH(AO$3,'생산수량Back-Data'!$B$3:$AAA$3,0))</f>
        <v>0</v>
      </c>
      <c r="AP22" s="328" cm="1">
        <f t="array" ref="AP22">INDEX('생산수량Back-Data'!$B$5:$AAA$10041,
       MATCH($B21,'생산수량Back-Data'!$B$5:$B$10041,0)+1,
       MATCH(AP$3,'생산수량Back-Data'!$B$3:$AAA$3,0))</f>
        <v>0</v>
      </c>
      <c r="AQ22" s="328" cm="1">
        <f t="array" ref="AQ22">INDEX('생산수량Back-Data'!$B$5:$AAA$10041,
       MATCH($B21,'생산수량Back-Data'!$B$5:$B$10041,0)+1,
       MATCH(AQ$3,'생산수량Back-Data'!$B$3:$AAA$3,0))</f>
        <v>0</v>
      </c>
      <c r="AR22" s="328" cm="1">
        <f t="array" ref="AR22">INDEX('생산수량Back-Data'!$B$5:$AAA$10041,
       MATCH($B21,'생산수량Back-Data'!$B$5:$B$10041,0)+1,
       MATCH(AR$3,'생산수량Back-Data'!$B$3:$AAA$3,0))</f>
        <v>0</v>
      </c>
      <c r="AS22" s="328" cm="1">
        <f t="array" ref="AS22">INDEX('생산수량Back-Data'!$B$5:$AAA$10041,
       MATCH($B21,'생산수량Back-Data'!$B$5:$B$10041,0)+1,
       MATCH(AS$3,'생산수량Back-Data'!$B$3:$AAA$3,0))</f>
        <v>0</v>
      </c>
      <c r="AT22" s="329" cm="1">
        <f t="array" ref="AT22">INDEX('생산수량Back-Data'!$B$5:$AAA$10041,
       MATCH($B21,'생산수량Back-Data'!$B$5:$B$10041,0)+1,
       MATCH(AT$3,'생산수량Back-Data'!$B$3:$AAA$3,0))</f>
        <v>0</v>
      </c>
    </row>
    <row r="23" spans="2:46" ht="32.1" customHeight="1" x14ac:dyDescent="0.3">
      <c r="B23" s="444" t="s">
        <v>41</v>
      </c>
      <c r="C23" s="444" t="s">
        <v>185</v>
      </c>
      <c r="D23" s="444" t="s">
        <v>190</v>
      </c>
      <c r="E23" s="438">
        <f>ABS(SUMIFS('Fixture 총 발주수량'!Z:Z,'Fixture 총 발주수량'!B:B,'후공정(샌딩)생산계획'!B23,'Fixture 총 발주수량'!Z:Z,"&lt;0"))</f>
        <v>2783</v>
      </c>
      <c r="F23" s="437">
        <f>G23-E23</f>
        <v>-2783</v>
      </c>
      <c r="G23" s="437">
        <f>SUMIF(P23:AT23, "&gt;0")</f>
        <v>0</v>
      </c>
      <c r="H23" s="437">
        <f>SUMIF(P24:AT24, "&gt;0")</f>
        <v>0</v>
      </c>
      <c r="I23" s="442">
        <f>IFERROR(H23/G23,)</f>
        <v>0</v>
      </c>
      <c r="J23" s="437">
        <f ca="1">IFERROR(SUMIF('Fixture 총 발주수량'!B:AG,'후공정(샌딩)생산계획'!B23,'Fixture 총 발주수량'!AC:AC),)</f>
        <v>1633</v>
      </c>
      <c r="K23" s="438">
        <f>ROUNDUP(E23/2000,)</f>
        <v>2</v>
      </c>
      <c r="L23" s="438">
        <f>L21+K23</f>
        <v>11</v>
      </c>
      <c r="M23" s="438">
        <f>L23+K23</f>
        <v>13</v>
      </c>
      <c r="N23" s="438">
        <f>N21+K23</f>
        <v>11</v>
      </c>
      <c r="O23" s="306" t="s">
        <v>264</v>
      </c>
      <c r="P23" s="311"/>
      <c r="Q23" s="312"/>
      <c r="R23" s="312"/>
      <c r="S23" s="312"/>
      <c r="T23" s="312"/>
      <c r="U23" s="312"/>
      <c r="V23" s="312"/>
      <c r="W23" s="312"/>
      <c r="X23" s="312"/>
      <c r="Y23" s="312"/>
      <c r="Z23" s="312"/>
      <c r="AA23" s="312"/>
      <c r="AB23" s="312"/>
      <c r="AC23" s="312"/>
      <c r="AD23" s="312"/>
      <c r="AE23" s="312"/>
      <c r="AF23" s="312"/>
      <c r="AG23" s="312"/>
      <c r="AH23" s="312"/>
      <c r="AI23" s="312"/>
      <c r="AJ23" s="312"/>
      <c r="AK23" s="312"/>
      <c r="AL23" s="312"/>
      <c r="AM23" s="312"/>
      <c r="AN23" s="312"/>
      <c r="AO23" s="312"/>
      <c r="AP23" s="312"/>
      <c r="AQ23" s="312"/>
      <c r="AR23" s="312"/>
      <c r="AS23" s="312"/>
      <c r="AT23" s="313"/>
    </row>
    <row r="24" spans="2:46" ht="32.1" customHeight="1" x14ac:dyDescent="0.3">
      <c r="B24" s="445"/>
      <c r="C24" s="445"/>
      <c r="D24" s="445"/>
      <c r="E24" s="439"/>
      <c r="F24" s="436"/>
      <c r="G24" s="436"/>
      <c r="H24" s="436"/>
      <c r="I24" s="443"/>
      <c r="J24" s="436"/>
      <c r="K24" s="439"/>
      <c r="L24" s="439"/>
      <c r="M24" s="439"/>
      <c r="N24" s="439"/>
      <c r="O24" s="306" t="s">
        <v>266</v>
      </c>
      <c r="P24" s="310" cm="1">
        <f t="array" ref="P24">INDEX('생산수량Back-Data'!$B$5:$AAA$10041,
       MATCH($B23,'생산수량Back-Data'!$B$5:$B$10041,0)+1,
       MATCH(P$3,'생산수량Back-Data'!$B$3:$AAA$3,0))</f>
        <v>0</v>
      </c>
      <c r="Q24" s="310" cm="1">
        <f t="array" ref="Q24">INDEX('생산수량Back-Data'!$B$5:$AAA$10041,
       MATCH($B23,'생산수량Back-Data'!$B$5:$B$10041,0)+1,
       MATCH(Q$3,'생산수량Back-Data'!$B$3:$AAA$3,0))</f>
        <v>0</v>
      </c>
      <c r="R24" s="310" cm="1">
        <f t="array" ref="R24">INDEX('생산수량Back-Data'!$B$5:$AAA$10041,
       MATCH($B23,'생산수량Back-Data'!$B$5:$B$10041,0)+1,
       MATCH(R$3,'생산수량Back-Data'!$B$3:$AAA$3,0))</f>
        <v>0</v>
      </c>
      <c r="S24" s="310" cm="1">
        <f t="array" ref="S24">INDEX('생산수량Back-Data'!$B$5:$AAA$10041,
       MATCH($B23,'생산수량Back-Data'!$B$5:$B$10041,0)+1,
       MATCH(S$3,'생산수량Back-Data'!$B$3:$AAA$3,0))</f>
        <v>0</v>
      </c>
      <c r="T24" s="310" cm="1">
        <f t="array" ref="T24">INDEX('생산수량Back-Data'!$B$5:$AAA$10041,
       MATCH($B23,'생산수량Back-Data'!$B$5:$B$10041,0)+1,
       MATCH(T$3,'생산수량Back-Data'!$B$3:$AAA$3,0))</f>
        <v>0</v>
      </c>
      <c r="U24" s="310" cm="1">
        <f t="array" ref="U24">INDEX('생산수량Back-Data'!$B$5:$AAA$10041,
       MATCH($B23,'생산수량Back-Data'!$B$5:$B$10041,0)+1,
       MATCH(U$3,'생산수량Back-Data'!$B$3:$AAA$3,0))</f>
        <v>0</v>
      </c>
      <c r="V24" s="310" cm="1">
        <f t="array" ref="V24">INDEX('생산수량Back-Data'!$B$5:$AAA$10041,
       MATCH($B23,'생산수량Back-Data'!$B$5:$B$10041,0)+1,
       MATCH(V$3,'생산수량Back-Data'!$B$3:$AAA$3,0))</f>
        <v>0</v>
      </c>
      <c r="W24" s="310" cm="1">
        <f t="array" ref="W24">INDEX('생산수량Back-Data'!$B$5:$AAA$10041,
       MATCH($B23,'생산수량Back-Data'!$B$5:$B$10041,0)+1,
       MATCH(W$3,'생산수량Back-Data'!$B$3:$AAA$3,0))</f>
        <v>0</v>
      </c>
      <c r="X24" s="310" cm="1">
        <f t="array" ref="X24">INDEX('생산수량Back-Data'!$B$5:$AAA$10041,
       MATCH($B23,'생산수량Back-Data'!$B$5:$B$10041,0)+1,
       MATCH(X$3,'생산수량Back-Data'!$B$3:$AAA$3,0))</f>
        <v>0</v>
      </c>
      <c r="Y24" s="310" cm="1">
        <f t="array" ref="Y24">INDEX('생산수량Back-Data'!$B$5:$AAA$10041,
       MATCH($B23,'생산수량Back-Data'!$B$5:$B$10041,0)+1,
       MATCH(Y$3,'생산수량Back-Data'!$B$3:$AAA$3,0))</f>
        <v>0</v>
      </c>
      <c r="Z24" s="310" cm="1">
        <f t="array" ref="Z24">INDEX('생산수량Back-Data'!$B$5:$AAA$10041,
       MATCH($B23,'생산수량Back-Data'!$B$5:$B$10041,0)+1,
       MATCH(Z$3,'생산수량Back-Data'!$B$3:$AAA$3,0))</f>
        <v>0</v>
      </c>
      <c r="AA24" s="310" cm="1">
        <f t="array" ref="AA24">INDEX('생산수량Back-Data'!$B$5:$AAA$10041,
       MATCH($B23,'생산수량Back-Data'!$B$5:$B$10041,0)+1,
       MATCH(AA$3,'생산수량Back-Data'!$B$3:$AAA$3,0))</f>
        <v>0</v>
      </c>
      <c r="AB24" s="310" cm="1">
        <f t="array" ref="AB24">INDEX('생산수량Back-Data'!$B$5:$AAA$10041,
       MATCH($B23,'생산수량Back-Data'!$B$5:$B$10041,0)+1,
       MATCH(AB$3,'생산수량Back-Data'!$B$3:$AAA$3,0))</f>
        <v>0</v>
      </c>
      <c r="AC24" s="310" cm="1">
        <f t="array" ref="AC24">INDEX('생산수량Back-Data'!$B$5:$AAA$10041,
       MATCH($B23,'생산수량Back-Data'!$B$5:$B$10041,0)+1,
       MATCH(AC$3,'생산수량Back-Data'!$B$3:$AAA$3,0))</f>
        <v>0</v>
      </c>
      <c r="AD24" s="310" cm="1">
        <f t="array" ref="AD24">INDEX('생산수량Back-Data'!$B$5:$AAA$10041,
       MATCH($B23,'생산수량Back-Data'!$B$5:$B$10041,0)+1,
       MATCH(AD$3,'생산수량Back-Data'!$B$3:$AAA$3,0))</f>
        <v>0</v>
      </c>
      <c r="AE24" s="310" cm="1">
        <f t="array" ref="AE24">INDEX('생산수량Back-Data'!$B$5:$AAA$10041,
       MATCH($B23,'생산수량Back-Data'!$B$5:$B$10041,0)+1,
       MATCH(AE$3,'생산수량Back-Data'!$B$3:$AAA$3,0))</f>
        <v>0</v>
      </c>
      <c r="AF24" s="310" cm="1">
        <f t="array" ref="AF24">INDEX('생산수량Back-Data'!$B$5:$AAA$10041,
       MATCH($B23,'생산수량Back-Data'!$B$5:$B$10041,0)+1,
       MATCH(AF$3,'생산수량Back-Data'!$B$3:$AAA$3,0))</f>
        <v>0</v>
      </c>
      <c r="AG24" s="310" cm="1">
        <f t="array" ref="AG24">INDEX('생산수량Back-Data'!$B$5:$AAA$10041,
       MATCH($B23,'생산수량Back-Data'!$B$5:$B$10041,0)+1,
       MATCH(AG$3,'생산수량Back-Data'!$B$3:$AAA$3,0))</f>
        <v>0</v>
      </c>
      <c r="AH24" s="310" cm="1">
        <f t="array" ref="AH24">INDEX('생산수량Back-Data'!$B$5:$AAA$10041,
       MATCH($B23,'생산수량Back-Data'!$B$5:$B$10041,0)+1,
       MATCH(AH$3,'생산수량Back-Data'!$B$3:$AAA$3,0))</f>
        <v>0</v>
      </c>
      <c r="AI24" s="310" cm="1">
        <f t="array" ref="AI24">INDEX('생산수량Back-Data'!$B$5:$AAA$10041,
       MATCH($B23,'생산수량Back-Data'!$B$5:$B$10041,0)+1,
       MATCH(AI$3,'생산수량Back-Data'!$B$3:$AAA$3,0))</f>
        <v>0</v>
      </c>
      <c r="AJ24" s="310" cm="1">
        <f t="array" ref="AJ24">INDEX('생산수량Back-Data'!$B$5:$AAA$10041,
       MATCH($B23,'생산수량Back-Data'!$B$5:$B$10041,0)+1,
       MATCH(AJ$3,'생산수량Back-Data'!$B$3:$AAA$3,0))</f>
        <v>0</v>
      </c>
      <c r="AK24" s="310" cm="1">
        <f t="array" ref="AK24">INDEX('생산수량Back-Data'!$B$5:$AAA$10041,
       MATCH($B23,'생산수량Back-Data'!$B$5:$B$10041,0)+1,
       MATCH(AK$3,'생산수량Back-Data'!$B$3:$AAA$3,0))</f>
        <v>0</v>
      </c>
      <c r="AL24" s="310" cm="1">
        <f t="array" ref="AL24">INDEX('생산수량Back-Data'!$B$5:$AAA$10041,
       MATCH($B23,'생산수량Back-Data'!$B$5:$B$10041,0)+1,
       MATCH(AL$3,'생산수량Back-Data'!$B$3:$AAA$3,0))</f>
        <v>0</v>
      </c>
      <c r="AM24" s="310" cm="1">
        <f t="array" ref="AM24">INDEX('생산수량Back-Data'!$B$5:$AAA$10041,
       MATCH($B23,'생산수량Back-Data'!$B$5:$B$10041,0)+1,
       MATCH(AM$3,'생산수량Back-Data'!$B$3:$AAA$3,0))</f>
        <v>0</v>
      </c>
      <c r="AN24" s="310" cm="1">
        <f t="array" ref="AN24">INDEX('생산수량Back-Data'!$B$5:$AAA$10041,
       MATCH($B23,'생산수량Back-Data'!$B$5:$B$10041,0)+1,
       MATCH(AN$3,'생산수량Back-Data'!$B$3:$AAA$3,0))</f>
        <v>0</v>
      </c>
      <c r="AO24" s="310" cm="1">
        <f t="array" ref="AO24">INDEX('생산수량Back-Data'!$B$5:$AAA$10041,
       MATCH($B23,'생산수량Back-Data'!$B$5:$B$10041,0)+1,
       MATCH(AO$3,'생산수량Back-Data'!$B$3:$AAA$3,0))</f>
        <v>0</v>
      </c>
      <c r="AP24" s="310" cm="1">
        <f t="array" ref="AP24">INDEX('생산수량Back-Data'!$B$5:$AAA$10041,
       MATCH($B23,'생산수량Back-Data'!$B$5:$B$10041,0)+1,
       MATCH(AP$3,'생산수량Back-Data'!$B$3:$AAA$3,0))</f>
        <v>0</v>
      </c>
      <c r="AQ24" s="310" cm="1">
        <f t="array" ref="AQ24">INDEX('생산수량Back-Data'!$B$5:$AAA$10041,
       MATCH($B23,'생산수량Back-Data'!$B$5:$B$10041,0)+1,
       MATCH(AQ$3,'생산수량Back-Data'!$B$3:$AAA$3,0))</f>
        <v>0</v>
      </c>
      <c r="AR24" s="310" cm="1">
        <f t="array" ref="AR24">INDEX('생산수량Back-Data'!$B$5:$AAA$10041,
       MATCH($B23,'생산수량Back-Data'!$B$5:$B$10041,0)+1,
       MATCH(AR$3,'생산수량Back-Data'!$B$3:$AAA$3,0))</f>
        <v>0</v>
      </c>
      <c r="AS24" s="310" cm="1">
        <f t="array" ref="AS24">INDEX('생산수량Back-Data'!$B$5:$AAA$10041,
       MATCH($B23,'생산수량Back-Data'!$B$5:$B$10041,0)+1,
       MATCH(AS$3,'생산수량Back-Data'!$B$3:$AAA$3,0))</f>
        <v>0</v>
      </c>
      <c r="AT24" s="324" cm="1">
        <f t="array" ref="AT24">INDEX('생산수량Back-Data'!$B$5:$AAA$10041,
       MATCH($B23,'생산수량Back-Data'!$B$5:$B$10041,0)+1,
       MATCH(AT$3,'생산수량Back-Data'!$B$3:$AAA$3,0))</f>
        <v>0</v>
      </c>
    </row>
    <row r="25" spans="2:46" ht="32.1" customHeight="1" x14ac:dyDescent="0.3">
      <c r="B25" s="444" t="s">
        <v>42</v>
      </c>
      <c r="C25" s="444" t="s">
        <v>185</v>
      </c>
      <c r="D25" s="444" t="s">
        <v>191</v>
      </c>
      <c r="E25" s="438">
        <f>ABS(SUMIFS('Fixture 총 발주수량'!Z:Z,'Fixture 총 발주수량'!B:B,'후공정(샌딩)생산계획'!B25,'Fixture 총 발주수량'!Z:Z,"&lt;0"))</f>
        <v>2405</v>
      </c>
      <c r="F25" s="437">
        <f>G25-E25</f>
        <v>-2405</v>
      </c>
      <c r="G25" s="437">
        <f>SUMIF(P25:AT25, "&gt;0")</f>
        <v>0</v>
      </c>
      <c r="H25" s="437">
        <f>SUMIF(P26:AT26, "&gt;0")</f>
        <v>0</v>
      </c>
      <c r="I25" s="442">
        <f>IFERROR(H25/G25,)</f>
        <v>0</v>
      </c>
      <c r="J25" s="437">
        <f ca="1">IFERROR(SUMIF('Fixture 총 발주수량'!B:AG,'후공정(샌딩)생산계획'!B25,'Fixture 총 발주수량'!AC:AC),)</f>
        <v>0</v>
      </c>
      <c r="K25" s="438">
        <f>ROUNDUP(E25/2000,)</f>
        <v>2</v>
      </c>
      <c r="L25" s="438">
        <f>L23+K25</f>
        <v>13</v>
      </c>
      <c r="M25" s="438">
        <f>L25+K25</f>
        <v>15</v>
      </c>
      <c r="N25" s="438">
        <f>N23+K25</f>
        <v>13</v>
      </c>
      <c r="O25" s="306" t="s">
        <v>264</v>
      </c>
      <c r="P25" s="311"/>
      <c r="Q25" s="312"/>
      <c r="R25" s="312"/>
      <c r="S25" s="312"/>
      <c r="T25" s="312"/>
      <c r="U25" s="312"/>
      <c r="V25" s="312"/>
      <c r="W25" s="312"/>
      <c r="X25" s="312"/>
      <c r="Y25" s="312"/>
      <c r="Z25" s="312"/>
      <c r="AA25" s="312"/>
      <c r="AB25" s="312"/>
      <c r="AC25" s="312"/>
      <c r="AD25" s="312"/>
      <c r="AE25" s="312"/>
      <c r="AF25" s="312"/>
      <c r="AG25" s="312"/>
      <c r="AH25" s="312"/>
      <c r="AI25" s="312"/>
      <c r="AJ25" s="312"/>
      <c r="AK25" s="312"/>
      <c r="AL25" s="312"/>
      <c r="AM25" s="312"/>
      <c r="AN25" s="312"/>
      <c r="AO25" s="312"/>
      <c r="AP25" s="312"/>
      <c r="AQ25" s="312"/>
      <c r="AR25" s="312"/>
      <c r="AS25" s="312"/>
      <c r="AT25" s="313"/>
    </row>
    <row r="26" spans="2:46" ht="32.1" customHeight="1" x14ac:dyDescent="0.3">
      <c r="B26" s="445"/>
      <c r="C26" s="445"/>
      <c r="D26" s="445"/>
      <c r="E26" s="439"/>
      <c r="F26" s="436"/>
      <c r="G26" s="436"/>
      <c r="H26" s="436"/>
      <c r="I26" s="443"/>
      <c r="J26" s="436"/>
      <c r="K26" s="439"/>
      <c r="L26" s="439"/>
      <c r="M26" s="439"/>
      <c r="N26" s="439"/>
      <c r="O26" s="306" t="s">
        <v>266</v>
      </c>
      <c r="P26" s="310" cm="1">
        <f t="array" ref="P26">INDEX('생산수량Back-Data'!$B$5:$AAA$10041,
       MATCH($B25,'생산수량Back-Data'!$B$5:$B$10041,0)+1,
       MATCH(P$3,'생산수량Back-Data'!$B$3:$AAA$3,0))</f>
        <v>0</v>
      </c>
      <c r="Q26" s="310" cm="1">
        <f t="array" ref="Q26">INDEX('생산수량Back-Data'!$B$5:$AAA$10041,
       MATCH($B25,'생산수량Back-Data'!$B$5:$B$10041,0)+1,
       MATCH(Q$3,'생산수량Back-Data'!$B$3:$AAA$3,0))</f>
        <v>0</v>
      </c>
      <c r="R26" s="310" cm="1">
        <f t="array" ref="R26">INDEX('생산수량Back-Data'!$B$5:$AAA$10041,
       MATCH($B25,'생산수량Back-Data'!$B$5:$B$10041,0)+1,
       MATCH(R$3,'생산수량Back-Data'!$B$3:$AAA$3,0))</f>
        <v>0</v>
      </c>
      <c r="S26" s="310" cm="1">
        <f t="array" ref="S26">INDEX('생산수량Back-Data'!$B$5:$AAA$10041,
       MATCH($B25,'생산수량Back-Data'!$B$5:$B$10041,0)+1,
       MATCH(S$3,'생산수량Back-Data'!$B$3:$AAA$3,0))</f>
        <v>0</v>
      </c>
      <c r="T26" s="310" cm="1">
        <f t="array" ref="T26">INDEX('생산수량Back-Data'!$B$5:$AAA$10041,
       MATCH($B25,'생산수량Back-Data'!$B$5:$B$10041,0)+1,
       MATCH(T$3,'생산수량Back-Data'!$B$3:$AAA$3,0))</f>
        <v>0</v>
      </c>
      <c r="U26" s="310" cm="1">
        <f t="array" ref="U26">INDEX('생산수량Back-Data'!$B$5:$AAA$10041,
       MATCH($B25,'생산수량Back-Data'!$B$5:$B$10041,0)+1,
       MATCH(U$3,'생산수량Back-Data'!$B$3:$AAA$3,0))</f>
        <v>0</v>
      </c>
      <c r="V26" s="310" cm="1">
        <f t="array" ref="V26">INDEX('생산수량Back-Data'!$B$5:$AAA$10041,
       MATCH($B25,'생산수량Back-Data'!$B$5:$B$10041,0)+1,
       MATCH(V$3,'생산수량Back-Data'!$B$3:$AAA$3,0))</f>
        <v>0</v>
      </c>
      <c r="W26" s="310" cm="1">
        <f t="array" ref="W26">INDEX('생산수량Back-Data'!$B$5:$AAA$10041,
       MATCH($B25,'생산수량Back-Data'!$B$5:$B$10041,0)+1,
       MATCH(W$3,'생산수량Back-Data'!$B$3:$AAA$3,0))</f>
        <v>0</v>
      </c>
      <c r="X26" s="310" cm="1">
        <f t="array" ref="X26">INDEX('생산수량Back-Data'!$B$5:$AAA$10041,
       MATCH($B25,'생산수량Back-Data'!$B$5:$B$10041,0)+1,
       MATCH(X$3,'생산수량Back-Data'!$B$3:$AAA$3,0))</f>
        <v>0</v>
      </c>
      <c r="Y26" s="310" cm="1">
        <f t="array" ref="Y26">INDEX('생산수량Back-Data'!$B$5:$AAA$10041,
       MATCH($B25,'생산수량Back-Data'!$B$5:$B$10041,0)+1,
       MATCH(Y$3,'생산수량Back-Data'!$B$3:$AAA$3,0))</f>
        <v>0</v>
      </c>
      <c r="Z26" s="310" cm="1">
        <f t="array" ref="Z26">INDEX('생산수량Back-Data'!$B$5:$AAA$10041,
       MATCH($B25,'생산수량Back-Data'!$B$5:$B$10041,0)+1,
       MATCH(Z$3,'생산수량Back-Data'!$B$3:$AAA$3,0))</f>
        <v>0</v>
      </c>
      <c r="AA26" s="310" cm="1">
        <f t="array" ref="AA26">INDEX('생산수량Back-Data'!$B$5:$AAA$10041,
       MATCH($B25,'생산수량Back-Data'!$B$5:$B$10041,0)+1,
       MATCH(AA$3,'생산수량Back-Data'!$B$3:$AAA$3,0))</f>
        <v>0</v>
      </c>
      <c r="AB26" s="310" cm="1">
        <f t="array" ref="AB26">INDEX('생산수량Back-Data'!$B$5:$AAA$10041,
       MATCH($B25,'생산수량Back-Data'!$B$5:$B$10041,0)+1,
       MATCH(AB$3,'생산수량Back-Data'!$B$3:$AAA$3,0))</f>
        <v>0</v>
      </c>
      <c r="AC26" s="310" cm="1">
        <f t="array" ref="AC26">INDEX('생산수량Back-Data'!$B$5:$AAA$10041,
       MATCH($B25,'생산수량Back-Data'!$B$5:$B$10041,0)+1,
       MATCH(AC$3,'생산수량Back-Data'!$B$3:$AAA$3,0))</f>
        <v>0</v>
      </c>
      <c r="AD26" s="310" cm="1">
        <f t="array" ref="AD26">INDEX('생산수량Back-Data'!$B$5:$AAA$10041,
       MATCH($B25,'생산수량Back-Data'!$B$5:$B$10041,0)+1,
       MATCH(AD$3,'생산수량Back-Data'!$B$3:$AAA$3,0))</f>
        <v>0</v>
      </c>
      <c r="AE26" s="310" cm="1">
        <f t="array" ref="AE26">INDEX('생산수량Back-Data'!$B$5:$AAA$10041,
       MATCH($B25,'생산수량Back-Data'!$B$5:$B$10041,0)+1,
       MATCH(AE$3,'생산수량Back-Data'!$B$3:$AAA$3,0))</f>
        <v>0</v>
      </c>
      <c r="AF26" s="310" cm="1">
        <f t="array" ref="AF26">INDEX('생산수량Back-Data'!$B$5:$AAA$10041,
       MATCH($B25,'생산수량Back-Data'!$B$5:$B$10041,0)+1,
       MATCH(AF$3,'생산수량Back-Data'!$B$3:$AAA$3,0))</f>
        <v>0</v>
      </c>
      <c r="AG26" s="310" cm="1">
        <f t="array" ref="AG26">INDEX('생산수량Back-Data'!$B$5:$AAA$10041,
       MATCH($B25,'생산수량Back-Data'!$B$5:$B$10041,0)+1,
       MATCH(AG$3,'생산수량Back-Data'!$B$3:$AAA$3,0))</f>
        <v>0</v>
      </c>
      <c r="AH26" s="310" cm="1">
        <f t="array" ref="AH26">INDEX('생산수량Back-Data'!$B$5:$AAA$10041,
       MATCH($B25,'생산수량Back-Data'!$B$5:$B$10041,0)+1,
       MATCH(AH$3,'생산수량Back-Data'!$B$3:$AAA$3,0))</f>
        <v>0</v>
      </c>
      <c r="AI26" s="310" cm="1">
        <f t="array" ref="AI26">INDEX('생산수량Back-Data'!$B$5:$AAA$10041,
       MATCH($B25,'생산수량Back-Data'!$B$5:$B$10041,0)+1,
       MATCH(AI$3,'생산수량Back-Data'!$B$3:$AAA$3,0))</f>
        <v>0</v>
      </c>
      <c r="AJ26" s="310" cm="1">
        <f t="array" ref="AJ26">INDEX('생산수량Back-Data'!$B$5:$AAA$10041,
       MATCH($B25,'생산수량Back-Data'!$B$5:$B$10041,0)+1,
       MATCH(AJ$3,'생산수량Back-Data'!$B$3:$AAA$3,0))</f>
        <v>0</v>
      </c>
      <c r="AK26" s="310" cm="1">
        <f t="array" ref="AK26">INDEX('생산수량Back-Data'!$B$5:$AAA$10041,
       MATCH($B25,'생산수량Back-Data'!$B$5:$B$10041,0)+1,
       MATCH(AK$3,'생산수량Back-Data'!$B$3:$AAA$3,0))</f>
        <v>0</v>
      </c>
      <c r="AL26" s="310" cm="1">
        <f t="array" ref="AL26">INDEX('생산수량Back-Data'!$B$5:$AAA$10041,
       MATCH($B25,'생산수량Back-Data'!$B$5:$B$10041,0)+1,
       MATCH(AL$3,'생산수량Back-Data'!$B$3:$AAA$3,0))</f>
        <v>0</v>
      </c>
      <c r="AM26" s="310" cm="1">
        <f t="array" ref="AM26">INDEX('생산수량Back-Data'!$B$5:$AAA$10041,
       MATCH($B25,'생산수량Back-Data'!$B$5:$B$10041,0)+1,
       MATCH(AM$3,'생산수량Back-Data'!$B$3:$AAA$3,0))</f>
        <v>0</v>
      </c>
      <c r="AN26" s="310" cm="1">
        <f t="array" ref="AN26">INDEX('생산수량Back-Data'!$B$5:$AAA$10041,
       MATCH($B25,'생산수량Back-Data'!$B$5:$B$10041,0)+1,
       MATCH(AN$3,'생산수량Back-Data'!$B$3:$AAA$3,0))</f>
        <v>0</v>
      </c>
      <c r="AO26" s="310" cm="1">
        <f t="array" ref="AO26">INDEX('생산수량Back-Data'!$B$5:$AAA$10041,
       MATCH($B25,'생산수량Back-Data'!$B$5:$B$10041,0)+1,
       MATCH(AO$3,'생산수량Back-Data'!$B$3:$AAA$3,0))</f>
        <v>0</v>
      </c>
      <c r="AP26" s="310" cm="1">
        <f t="array" ref="AP26">INDEX('생산수량Back-Data'!$B$5:$AAA$10041,
       MATCH($B25,'생산수량Back-Data'!$B$5:$B$10041,0)+1,
       MATCH(AP$3,'생산수량Back-Data'!$B$3:$AAA$3,0))</f>
        <v>0</v>
      </c>
      <c r="AQ26" s="310" cm="1">
        <f t="array" ref="AQ26">INDEX('생산수량Back-Data'!$B$5:$AAA$10041,
       MATCH($B25,'생산수량Back-Data'!$B$5:$B$10041,0)+1,
       MATCH(AQ$3,'생산수량Back-Data'!$B$3:$AAA$3,0))</f>
        <v>0</v>
      </c>
      <c r="AR26" s="310" cm="1">
        <f t="array" ref="AR26">INDEX('생산수량Back-Data'!$B$5:$AAA$10041,
       MATCH($B25,'생산수량Back-Data'!$B$5:$B$10041,0)+1,
       MATCH(AR$3,'생산수량Back-Data'!$B$3:$AAA$3,0))</f>
        <v>0</v>
      </c>
      <c r="AS26" s="310" cm="1">
        <f t="array" ref="AS26">INDEX('생산수량Back-Data'!$B$5:$AAA$10041,
       MATCH($B25,'생산수량Back-Data'!$B$5:$B$10041,0)+1,
       MATCH(AS$3,'생산수량Back-Data'!$B$3:$AAA$3,0))</f>
        <v>0</v>
      </c>
      <c r="AT26" s="324" cm="1">
        <f t="array" ref="AT26">INDEX('생산수량Back-Data'!$B$5:$AAA$10041,
       MATCH($B25,'생산수량Back-Data'!$B$5:$B$10041,0)+1,
       MATCH(AT$3,'생산수량Back-Data'!$B$3:$AAA$3,0))</f>
        <v>0</v>
      </c>
    </row>
    <row r="27" spans="2:46" ht="32.1" customHeight="1" x14ac:dyDescent="0.3">
      <c r="B27" s="444" t="s">
        <v>43</v>
      </c>
      <c r="C27" s="444" t="s">
        <v>185</v>
      </c>
      <c r="D27" s="444" t="s">
        <v>192</v>
      </c>
      <c r="E27" s="438">
        <f>ABS(SUMIFS('Fixture 총 발주수량'!Z:Z,'Fixture 총 발주수량'!B:B,'후공정(샌딩)생산계획'!B27,'Fixture 총 발주수량'!Z:Z,"&lt;0"))</f>
        <v>580</v>
      </c>
      <c r="F27" s="437">
        <f>G27-E27</f>
        <v>-580</v>
      </c>
      <c r="G27" s="437">
        <f>SUMIF(P27:AT27, "&gt;0")</f>
        <v>0</v>
      </c>
      <c r="H27" s="437">
        <f>SUMIF(P28:AT28, "&gt;0")</f>
        <v>0</v>
      </c>
      <c r="I27" s="442">
        <f>IFERROR(H27/G27,)</f>
        <v>0</v>
      </c>
      <c r="J27" s="437">
        <f ca="1">IFERROR(SUMIF('Fixture 총 발주수량'!B:AG,'후공정(샌딩)생산계획'!B27,'Fixture 총 발주수량'!AC:AC),)</f>
        <v>283</v>
      </c>
      <c r="K27" s="438">
        <f>ROUNDUP(E27/2000,)</f>
        <v>1</v>
      </c>
      <c r="L27" s="438">
        <f>L25+K27</f>
        <v>14</v>
      </c>
      <c r="M27" s="438">
        <f>L27+K27</f>
        <v>15</v>
      </c>
      <c r="N27" s="438">
        <f>N25+K27</f>
        <v>14</v>
      </c>
      <c r="O27" s="306" t="s">
        <v>264</v>
      </c>
      <c r="P27" s="314"/>
      <c r="Q27" s="315"/>
      <c r="R27" s="315"/>
      <c r="S27" s="315"/>
      <c r="T27" s="315"/>
      <c r="U27" s="315"/>
      <c r="V27" s="315"/>
      <c r="W27" s="315"/>
      <c r="X27" s="315"/>
      <c r="Y27" s="315"/>
      <c r="Z27" s="315"/>
      <c r="AA27" s="315"/>
      <c r="AB27" s="315"/>
      <c r="AC27" s="315"/>
      <c r="AD27" s="315"/>
      <c r="AE27" s="315"/>
      <c r="AF27" s="315"/>
      <c r="AG27" s="315"/>
      <c r="AH27" s="315"/>
      <c r="AI27" s="315"/>
      <c r="AJ27" s="315"/>
      <c r="AK27" s="315"/>
      <c r="AL27" s="315"/>
      <c r="AM27" s="315"/>
      <c r="AN27" s="315"/>
      <c r="AO27" s="315"/>
      <c r="AP27" s="315"/>
      <c r="AQ27" s="315"/>
      <c r="AR27" s="315"/>
      <c r="AS27" s="315"/>
      <c r="AT27" s="316"/>
    </row>
    <row r="28" spans="2:46" ht="32.1" customHeight="1" thickBot="1" x14ac:dyDescent="0.35">
      <c r="B28" s="454"/>
      <c r="C28" s="454"/>
      <c r="D28" s="454"/>
      <c r="E28" s="450"/>
      <c r="F28" s="452"/>
      <c r="G28" s="452"/>
      <c r="H28" s="452"/>
      <c r="I28" s="453"/>
      <c r="J28" s="452"/>
      <c r="K28" s="450"/>
      <c r="L28" s="450"/>
      <c r="M28" s="450"/>
      <c r="N28" s="450"/>
      <c r="O28" s="305" t="s">
        <v>266</v>
      </c>
      <c r="P28" s="310" cm="1">
        <f t="array" ref="P28">INDEX('생산수량Back-Data'!$B$5:$AAA$10041,
       MATCH($B27,'생산수량Back-Data'!$B$5:$B$10041,0)+1,
       MATCH(P$3,'생산수량Back-Data'!$B$3:$AAA$3,0))</f>
        <v>0</v>
      </c>
      <c r="Q28" s="310" cm="1">
        <f t="array" ref="Q28">INDEX('생산수량Back-Data'!$B$5:$AAA$10041,
       MATCH($B27,'생산수량Back-Data'!$B$5:$B$10041,0)+1,
       MATCH(Q$3,'생산수량Back-Data'!$B$3:$AAA$3,0))</f>
        <v>0</v>
      </c>
      <c r="R28" s="310" cm="1">
        <f t="array" ref="R28">INDEX('생산수량Back-Data'!$B$5:$AAA$10041,
       MATCH($B27,'생산수량Back-Data'!$B$5:$B$10041,0)+1,
       MATCH(R$3,'생산수량Back-Data'!$B$3:$AAA$3,0))</f>
        <v>0</v>
      </c>
      <c r="S28" s="310" cm="1">
        <f t="array" ref="S28">INDEX('생산수량Back-Data'!$B$5:$AAA$10041,
       MATCH($B27,'생산수량Back-Data'!$B$5:$B$10041,0)+1,
       MATCH(S$3,'생산수량Back-Data'!$B$3:$AAA$3,0))</f>
        <v>0</v>
      </c>
      <c r="T28" s="310" cm="1">
        <f t="array" ref="T28">INDEX('생산수량Back-Data'!$B$5:$AAA$10041,
       MATCH($B27,'생산수량Back-Data'!$B$5:$B$10041,0)+1,
       MATCH(T$3,'생산수량Back-Data'!$B$3:$AAA$3,0))</f>
        <v>0</v>
      </c>
      <c r="U28" s="310" cm="1">
        <f t="array" ref="U28">INDEX('생산수량Back-Data'!$B$5:$AAA$10041,
       MATCH($B27,'생산수량Back-Data'!$B$5:$B$10041,0)+1,
       MATCH(U$3,'생산수량Back-Data'!$B$3:$AAA$3,0))</f>
        <v>0</v>
      </c>
      <c r="V28" s="310" cm="1">
        <f t="array" ref="V28">INDEX('생산수량Back-Data'!$B$5:$AAA$10041,
       MATCH($B27,'생산수량Back-Data'!$B$5:$B$10041,0)+1,
       MATCH(V$3,'생산수량Back-Data'!$B$3:$AAA$3,0))</f>
        <v>0</v>
      </c>
      <c r="W28" s="310" cm="1">
        <f t="array" ref="W28">INDEX('생산수량Back-Data'!$B$5:$AAA$10041,
       MATCH($B27,'생산수량Back-Data'!$B$5:$B$10041,0)+1,
       MATCH(W$3,'생산수량Back-Data'!$B$3:$AAA$3,0))</f>
        <v>0</v>
      </c>
      <c r="X28" s="310" cm="1">
        <f t="array" ref="X28">INDEX('생산수량Back-Data'!$B$5:$AAA$10041,
       MATCH($B27,'생산수량Back-Data'!$B$5:$B$10041,0)+1,
       MATCH(X$3,'생산수량Back-Data'!$B$3:$AAA$3,0))</f>
        <v>0</v>
      </c>
      <c r="Y28" s="310" cm="1">
        <f t="array" ref="Y28">INDEX('생산수량Back-Data'!$B$5:$AAA$10041,
       MATCH($B27,'생산수량Back-Data'!$B$5:$B$10041,0)+1,
       MATCH(Y$3,'생산수량Back-Data'!$B$3:$AAA$3,0))</f>
        <v>0</v>
      </c>
      <c r="Z28" s="310" cm="1">
        <f t="array" ref="Z28">INDEX('생산수량Back-Data'!$B$5:$AAA$10041,
       MATCH($B27,'생산수량Back-Data'!$B$5:$B$10041,0)+1,
       MATCH(Z$3,'생산수량Back-Data'!$B$3:$AAA$3,0))</f>
        <v>0</v>
      </c>
      <c r="AA28" s="310" cm="1">
        <f t="array" ref="AA28">INDEX('생산수량Back-Data'!$B$5:$AAA$10041,
       MATCH($B27,'생산수량Back-Data'!$B$5:$B$10041,0)+1,
       MATCH(AA$3,'생산수량Back-Data'!$B$3:$AAA$3,0))</f>
        <v>0</v>
      </c>
      <c r="AB28" s="310" cm="1">
        <f t="array" ref="AB28">INDEX('생산수량Back-Data'!$B$5:$AAA$10041,
       MATCH($B27,'생산수량Back-Data'!$B$5:$B$10041,0)+1,
       MATCH(AB$3,'생산수량Back-Data'!$B$3:$AAA$3,0))</f>
        <v>0</v>
      </c>
      <c r="AC28" s="310" cm="1">
        <f t="array" ref="AC28">INDEX('생산수량Back-Data'!$B$5:$AAA$10041,
       MATCH($B27,'생산수량Back-Data'!$B$5:$B$10041,0)+1,
       MATCH(AC$3,'생산수량Back-Data'!$B$3:$AAA$3,0))</f>
        <v>0</v>
      </c>
      <c r="AD28" s="310" cm="1">
        <f t="array" ref="AD28">INDEX('생산수량Back-Data'!$B$5:$AAA$10041,
       MATCH($B27,'생산수량Back-Data'!$B$5:$B$10041,0)+1,
       MATCH(AD$3,'생산수량Back-Data'!$B$3:$AAA$3,0))</f>
        <v>0</v>
      </c>
      <c r="AE28" s="310" cm="1">
        <f t="array" ref="AE28">INDEX('생산수량Back-Data'!$B$5:$AAA$10041,
       MATCH($B27,'생산수량Back-Data'!$B$5:$B$10041,0)+1,
       MATCH(AE$3,'생산수량Back-Data'!$B$3:$AAA$3,0))</f>
        <v>0</v>
      </c>
      <c r="AF28" s="310" cm="1">
        <f t="array" ref="AF28">INDEX('생산수량Back-Data'!$B$5:$AAA$10041,
       MATCH($B27,'생산수량Back-Data'!$B$5:$B$10041,0)+1,
       MATCH(AF$3,'생산수량Back-Data'!$B$3:$AAA$3,0))</f>
        <v>0</v>
      </c>
      <c r="AG28" s="310" cm="1">
        <f t="array" ref="AG28">INDEX('생산수량Back-Data'!$B$5:$AAA$10041,
       MATCH($B27,'생산수량Back-Data'!$B$5:$B$10041,0)+1,
       MATCH(AG$3,'생산수량Back-Data'!$B$3:$AAA$3,0))</f>
        <v>0</v>
      </c>
      <c r="AH28" s="310" cm="1">
        <f t="array" ref="AH28">INDEX('생산수량Back-Data'!$B$5:$AAA$10041,
       MATCH($B27,'생산수량Back-Data'!$B$5:$B$10041,0)+1,
       MATCH(AH$3,'생산수량Back-Data'!$B$3:$AAA$3,0))</f>
        <v>0</v>
      </c>
      <c r="AI28" s="310" cm="1">
        <f t="array" ref="AI28">INDEX('생산수량Back-Data'!$B$5:$AAA$10041,
       MATCH($B27,'생산수량Back-Data'!$B$5:$B$10041,0)+1,
       MATCH(AI$3,'생산수량Back-Data'!$B$3:$AAA$3,0))</f>
        <v>0</v>
      </c>
      <c r="AJ28" s="310" cm="1">
        <f t="array" ref="AJ28">INDEX('생산수량Back-Data'!$B$5:$AAA$10041,
       MATCH($B27,'생산수량Back-Data'!$B$5:$B$10041,0)+1,
       MATCH(AJ$3,'생산수량Back-Data'!$B$3:$AAA$3,0))</f>
        <v>0</v>
      </c>
      <c r="AK28" s="310" cm="1">
        <f t="array" ref="AK28">INDEX('생산수량Back-Data'!$B$5:$AAA$10041,
       MATCH($B27,'생산수량Back-Data'!$B$5:$B$10041,0)+1,
       MATCH(AK$3,'생산수량Back-Data'!$B$3:$AAA$3,0))</f>
        <v>0</v>
      </c>
      <c r="AL28" s="310" cm="1">
        <f t="array" ref="AL28">INDEX('생산수량Back-Data'!$B$5:$AAA$10041,
       MATCH($B27,'생산수량Back-Data'!$B$5:$B$10041,0)+1,
       MATCH(AL$3,'생산수량Back-Data'!$B$3:$AAA$3,0))</f>
        <v>0</v>
      </c>
      <c r="AM28" s="310" cm="1">
        <f t="array" ref="AM28">INDEX('생산수량Back-Data'!$B$5:$AAA$10041,
       MATCH($B27,'생산수량Back-Data'!$B$5:$B$10041,0)+1,
       MATCH(AM$3,'생산수량Back-Data'!$B$3:$AAA$3,0))</f>
        <v>0</v>
      </c>
      <c r="AN28" s="310" cm="1">
        <f t="array" ref="AN28">INDEX('생산수량Back-Data'!$B$5:$AAA$10041,
       MATCH($B27,'생산수량Back-Data'!$B$5:$B$10041,0)+1,
       MATCH(AN$3,'생산수량Back-Data'!$B$3:$AAA$3,0))</f>
        <v>0</v>
      </c>
      <c r="AO28" s="310" cm="1">
        <f t="array" ref="AO28">INDEX('생산수량Back-Data'!$B$5:$AAA$10041,
       MATCH($B27,'생산수량Back-Data'!$B$5:$B$10041,0)+1,
       MATCH(AO$3,'생산수량Back-Data'!$B$3:$AAA$3,0))</f>
        <v>0</v>
      </c>
      <c r="AP28" s="310" cm="1">
        <f t="array" ref="AP28">INDEX('생산수량Back-Data'!$B$5:$AAA$10041,
       MATCH($B27,'생산수량Back-Data'!$B$5:$B$10041,0)+1,
       MATCH(AP$3,'생산수량Back-Data'!$B$3:$AAA$3,0))</f>
        <v>0</v>
      </c>
      <c r="AQ28" s="310" cm="1">
        <f t="array" ref="AQ28">INDEX('생산수량Back-Data'!$B$5:$AAA$10041,
       MATCH($B27,'생산수량Back-Data'!$B$5:$B$10041,0)+1,
       MATCH(AQ$3,'생산수량Back-Data'!$B$3:$AAA$3,0))</f>
        <v>0</v>
      </c>
      <c r="AR28" s="310" cm="1">
        <f t="array" ref="AR28">INDEX('생산수량Back-Data'!$B$5:$AAA$10041,
       MATCH($B27,'생산수량Back-Data'!$B$5:$B$10041,0)+1,
       MATCH(AR$3,'생산수량Back-Data'!$B$3:$AAA$3,0))</f>
        <v>0</v>
      </c>
      <c r="AS28" s="310" cm="1">
        <f t="array" ref="AS28">INDEX('생산수량Back-Data'!$B$5:$AAA$10041,
       MATCH($B27,'생산수량Back-Data'!$B$5:$B$10041,0)+1,
       MATCH(AS$3,'생산수량Back-Data'!$B$3:$AAA$3,0))</f>
        <v>0</v>
      </c>
      <c r="AT28" s="324" cm="1">
        <f t="array" ref="AT28">INDEX('생산수량Back-Data'!$B$5:$AAA$10041,
       MATCH($B27,'생산수량Back-Data'!$B$5:$B$10041,0)+1,
       MATCH(AT$3,'생산수량Back-Data'!$B$3:$AAA$3,0))</f>
        <v>0</v>
      </c>
    </row>
    <row r="29" spans="2:46" ht="32.1" customHeight="1" x14ac:dyDescent="0.3">
      <c r="B29" s="449" t="s">
        <v>74</v>
      </c>
      <c r="C29" s="449" t="s">
        <v>185</v>
      </c>
      <c r="D29" s="449" t="s">
        <v>208</v>
      </c>
      <c r="E29" s="446">
        <f>ABS(SUMIFS('Fixture 총 발주수량'!Z:Z,'Fixture 총 발주수량'!B:B,'후공정(샌딩)생산계획'!B29,'Fixture 총 발주수량'!Z:Z,"&lt;0"))</f>
        <v>0</v>
      </c>
      <c r="F29" s="435">
        <f>G29-E29</f>
        <v>0</v>
      </c>
      <c r="G29" s="435">
        <f>SUMIF(P29:AT29, "&gt;0")</f>
        <v>0</v>
      </c>
      <c r="H29" s="435">
        <f>SUMIF(P30:AT30, "&gt;0")</f>
        <v>0</v>
      </c>
      <c r="I29" s="448">
        <f>IFERROR(H29/G29,)</f>
        <v>0</v>
      </c>
      <c r="J29" s="435">
        <f ca="1">IFERROR(SUMIF('Fixture 총 발주수량'!B:AG,'후공정(샌딩)생산계획'!B29,'Fixture 총 발주수량'!AC:AC),)</f>
        <v>0</v>
      </c>
      <c r="K29" s="446">
        <f>ROUNDUP(E29/2000,)</f>
        <v>0</v>
      </c>
      <c r="L29" s="446">
        <f>L27+K29</f>
        <v>14</v>
      </c>
      <c r="M29" s="446">
        <f>L29+K29</f>
        <v>14</v>
      </c>
      <c r="N29" s="446">
        <f>N27+K29</f>
        <v>14</v>
      </c>
      <c r="O29" s="336" t="s">
        <v>264</v>
      </c>
      <c r="P29" s="337"/>
      <c r="Q29" s="338"/>
      <c r="R29" s="338"/>
      <c r="S29" s="338"/>
      <c r="T29" s="338"/>
      <c r="U29" s="338"/>
      <c r="V29" s="338"/>
      <c r="W29" s="338"/>
      <c r="X29" s="338"/>
      <c r="Y29" s="338"/>
      <c r="Z29" s="338"/>
      <c r="AA29" s="338"/>
      <c r="AB29" s="338"/>
      <c r="AC29" s="338"/>
      <c r="AD29" s="338"/>
      <c r="AE29" s="338"/>
      <c r="AF29" s="338"/>
      <c r="AG29" s="338"/>
      <c r="AH29" s="338"/>
      <c r="AI29" s="338"/>
      <c r="AJ29" s="338"/>
      <c r="AK29" s="338"/>
      <c r="AL29" s="338"/>
      <c r="AM29" s="338"/>
      <c r="AN29" s="338"/>
      <c r="AO29" s="338"/>
      <c r="AP29" s="338"/>
      <c r="AQ29" s="338"/>
      <c r="AR29" s="338"/>
      <c r="AS29" s="338"/>
      <c r="AT29" s="339"/>
    </row>
    <row r="30" spans="2:46" ht="32.1" customHeight="1" x14ac:dyDescent="0.3">
      <c r="B30" s="445"/>
      <c r="C30" s="445"/>
      <c r="D30" s="445"/>
      <c r="E30" s="439"/>
      <c r="F30" s="436"/>
      <c r="G30" s="436"/>
      <c r="H30" s="436"/>
      <c r="I30" s="443"/>
      <c r="J30" s="436"/>
      <c r="K30" s="439"/>
      <c r="L30" s="439"/>
      <c r="M30" s="439"/>
      <c r="N30" s="439"/>
      <c r="O30" s="306" t="s">
        <v>266</v>
      </c>
      <c r="P30" s="328" cm="1">
        <f t="array" ref="P30">INDEX('생산수량Back-Data'!$B$5:$AAA$10041,
       MATCH($B29,'생산수량Back-Data'!$B$5:$B$10041,0)+1,
       MATCH(P$3,'생산수량Back-Data'!$B$3:$AAA$3,0))</f>
        <v>0</v>
      </c>
      <c r="Q30" s="328" cm="1">
        <f t="array" ref="Q30">INDEX('생산수량Back-Data'!$B$5:$AAA$10041,
       MATCH($B29,'생산수량Back-Data'!$B$5:$B$10041,0)+1,
       MATCH(Q$3,'생산수량Back-Data'!$B$3:$AAA$3,0))</f>
        <v>0</v>
      </c>
      <c r="R30" s="328" cm="1">
        <f t="array" ref="R30">INDEX('생산수량Back-Data'!$B$5:$AAA$10041,
       MATCH($B29,'생산수량Back-Data'!$B$5:$B$10041,0)+1,
       MATCH(R$3,'생산수량Back-Data'!$B$3:$AAA$3,0))</f>
        <v>0</v>
      </c>
      <c r="S30" s="328" cm="1">
        <f t="array" ref="S30">INDEX('생산수량Back-Data'!$B$5:$AAA$10041,
       MATCH($B29,'생산수량Back-Data'!$B$5:$B$10041,0)+1,
       MATCH(S$3,'생산수량Back-Data'!$B$3:$AAA$3,0))</f>
        <v>0</v>
      </c>
      <c r="T30" s="328" cm="1">
        <f t="array" ref="T30">INDEX('생산수량Back-Data'!$B$5:$AAA$10041,
       MATCH($B29,'생산수량Back-Data'!$B$5:$B$10041,0)+1,
       MATCH(T$3,'생산수량Back-Data'!$B$3:$AAA$3,0))</f>
        <v>0</v>
      </c>
      <c r="U30" s="328" cm="1">
        <f t="array" ref="U30">INDEX('생산수량Back-Data'!$B$5:$AAA$10041,
       MATCH($B29,'생산수량Back-Data'!$B$5:$B$10041,0)+1,
       MATCH(U$3,'생산수량Back-Data'!$B$3:$AAA$3,0))</f>
        <v>0</v>
      </c>
      <c r="V30" s="328" cm="1">
        <f t="array" ref="V30">INDEX('생산수량Back-Data'!$B$5:$AAA$10041,
       MATCH($B29,'생산수량Back-Data'!$B$5:$B$10041,0)+1,
       MATCH(V$3,'생산수량Back-Data'!$B$3:$AAA$3,0))</f>
        <v>0</v>
      </c>
      <c r="W30" s="328" cm="1">
        <f t="array" ref="W30">INDEX('생산수량Back-Data'!$B$5:$AAA$10041,
       MATCH($B29,'생산수량Back-Data'!$B$5:$B$10041,0)+1,
       MATCH(W$3,'생산수량Back-Data'!$B$3:$AAA$3,0))</f>
        <v>0</v>
      </c>
      <c r="X30" s="328" cm="1">
        <f t="array" ref="X30">INDEX('생산수량Back-Data'!$B$5:$AAA$10041,
       MATCH($B29,'생산수량Back-Data'!$B$5:$B$10041,0)+1,
       MATCH(X$3,'생산수량Back-Data'!$B$3:$AAA$3,0))</f>
        <v>0</v>
      </c>
      <c r="Y30" s="328" cm="1">
        <f t="array" ref="Y30">INDEX('생산수량Back-Data'!$B$5:$AAA$10041,
       MATCH($B29,'생산수량Back-Data'!$B$5:$B$10041,0)+1,
       MATCH(Y$3,'생산수량Back-Data'!$B$3:$AAA$3,0))</f>
        <v>0</v>
      </c>
      <c r="Z30" s="328" cm="1">
        <f t="array" ref="Z30">INDEX('생산수량Back-Data'!$B$5:$AAA$10041,
       MATCH($B29,'생산수량Back-Data'!$B$5:$B$10041,0)+1,
       MATCH(Z$3,'생산수량Back-Data'!$B$3:$AAA$3,0))</f>
        <v>0</v>
      </c>
      <c r="AA30" s="328" cm="1">
        <f t="array" ref="AA30">INDEX('생산수량Back-Data'!$B$5:$AAA$10041,
       MATCH($B29,'생산수량Back-Data'!$B$5:$B$10041,0)+1,
       MATCH(AA$3,'생산수량Back-Data'!$B$3:$AAA$3,0))</f>
        <v>0</v>
      </c>
      <c r="AB30" s="328" cm="1">
        <f t="array" ref="AB30">INDEX('생산수량Back-Data'!$B$5:$AAA$10041,
       MATCH($B29,'생산수량Back-Data'!$B$5:$B$10041,0)+1,
       MATCH(AB$3,'생산수량Back-Data'!$B$3:$AAA$3,0))</f>
        <v>0</v>
      </c>
      <c r="AC30" s="328" cm="1">
        <f t="array" ref="AC30">INDEX('생산수량Back-Data'!$B$5:$AAA$10041,
       MATCH($B29,'생산수량Back-Data'!$B$5:$B$10041,0)+1,
       MATCH(AC$3,'생산수량Back-Data'!$B$3:$AAA$3,0))</f>
        <v>0</v>
      </c>
      <c r="AD30" s="328" cm="1">
        <f t="array" ref="AD30">INDEX('생산수량Back-Data'!$B$5:$AAA$10041,
       MATCH($B29,'생산수량Back-Data'!$B$5:$B$10041,0)+1,
       MATCH(AD$3,'생산수량Back-Data'!$B$3:$AAA$3,0))</f>
        <v>0</v>
      </c>
      <c r="AE30" s="328" cm="1">
        <f t="array" ref="AE30">INDEX('생산수량Back-Data'!$B$5:$AAA$10041,
       MATCH($B29,'생산수량Back-Data'!$B$5:$B$10041,0)+1,
       MATCH(AE$3,'생산수량Back-Data'!$B$3:$AAA$3,0))</f>
        <v>0</v>
      </c>
      <c r="AF30" s="328" cm="1">
        <f t="array" ref="AF30">INDEX('생산수량Back-Data'!$B$5:$AAA$10041,
       MATCH($B29,'생산수량Back-Data'!$B$5:$B$10041,0)+1,
       MATCH(AF$3,'생산수량Back-Data'!$B$3:$AAA$3,0))</f>
        <v>0</v>
      </c>
      <c r="AG30" s="328" cm="1">
        <f t="array" ref="AG30">INDEX('생산수량Back-Data'!$B$5:$AAA$10041,
       MATCH($B29,'생산수량Back-Data'!$B$5:$B$10041,0)+1,
       MATCH(AG$3,'생산수량Back-Data'!$B$3:$AAA$3,0))</f>
        <v>0</v>
      </c>
      <c r="AH30" s="328" cm="1">
        <f t="array" ref="AH30">INDEX('생산수량Back-Data'!$B$5:$AAA$10041,
       MATCH($B29,'생산수량Back-Data'!$B$5:$B$10041,0)+1,
       MATCH(AH$3,'생산수량Back-Data'!$B$3:$AAA$3,0))</f>
        <v>0</v>
      </c>
      <c r="AI30" s="328" cm="1">
        <f t="array" ref="AI30">INDEX('생산수량Back-Data'!$B$5:$AAA$10041,
       MATCH($B29,'생산수량Back-Data'!$B$5:$B$10041,0)+1,
       MATCH(AI$3,'생산수량Back-Data'!$B$3:$AAA$3,0))</f>
        <v>0</v>
      </c>
      <c r="AJ30" s="328" cm="1">
        <f t="array" ref="AJ30">INDEX('생산수량Back-Data'!$B$5:$AAA$10041,
       MATCH($B29,'생산수량Back-Data'!$B$5:$B$10041,0)+1,
       MATCH(AJ$3,'생산수량Back-Data'!$B$3:$AAA$3,0))</f>
        <v>0</v>
      </c>
      <c r="AK30" s="328" cm="1">
        <f t="array" ref="AK30">INDEX('생산수량Back-Data'!$B$5:$AAA$10041,
       MATCH($B29,'생산수량Back-Data'!$B$5:$B$10041,0)+1,
       MATCH(AK$3,'생산수량Back-Data'!$B$3:$AAA$3,0))</f>
        <v>0</v>
      </c>
      <c r="AL30" s="328" cm="1">
        <f t="array" ref="AL30">INDEX('생산수량Back-Data'!$B$5:$AAA$10041,
       MATCH($B29,'생산수량Back-Data'!$B$5:$B$10041,0)+1,
       MATCH(AL$3,'생산수량Back-Data'!$B$3:$AAA$3,0))</f>
        <v>0</v>
      </c>
      <c r="AM30" s="328" cm="1">
        <f t="array" ref="AM30">INDEX('생산수량Back-Data'!$B$5:$AAA$10041,
       MATCH($B29,'생산수량Back-Data'!$B$5:$B$10041,0)+1,
       MATCH(AM$3,'생산수량Back-Data'!$B$3:$AAA$3,0))</f>
        <v>0</v>
      </c>
      <c r="AN30" s="328" cm="1">
        <f t="array" ref="AN30">INDEX('생산수량Back-Data'!$B$5:$AAA$10041,
       MATCH($B29,'생산수량Back-Data'!$B$5:$B$10041,0)+1,
       MATCH(AN$3,'생산수량Back-Data'!$B$3:$AAA$3,0))</f>
        <v>0</v>
      </c>
      <c r="AO30" s="328" cm="1">
        <f t="array" ref="AO30">INDEX('생산수량Back-Data'!$B$5:$AAA$10041,
       MATCH($B29,'생산수량Back-Data'!$B$5:$B$10041,0)+1,
       MATCH(AO$3,'생산수량Back-Data'!$B$3:$AAA$3,0))</f>
        <v>0</v>
      </c>
      <c r="AP30" s="328" cm="1">
        <f t="array" ref="AP30">INDEX('생산수량Back-Data'!$B$5:$AAA$10041,
       MATCH($B29,'생산수량Back-Data'!$B$5:$B$10041,0)+1,
       MATCH(AP$3,'생산수량Back-Data'!$B$3:$AAA$3,0))</f>
        <v>0</v>
      </c>
      <c r="AQ30" s="328" cm="1">
        <f t="array" ref="AQ30">INDEX('생산수량Back-Data'!$B$5:$AAA$10041,
       MATCH($B29,'생산수량Back-Data'!$B$5:$B$10041,0)+1,
       MATCH(AQ$3,'생산수량Back-Data'!$B$3:$AAA$3,0))</f>
        <v>0</v>
      </c>
      <c r="AR30" s="328" cm="1">
        <f t="array" ref="AR30">INDEX('생산수량Back-Data'!$B$5:$AAA$10041,
       MATCH($B29,'생산수량Back-Data'!$B$5:$B$10041,0)+1,
       MATCH(AR$3,'생산수량Back-Data'!$B$3:$AAA$3,0))</f>
        <v>0</v>
      </c>
      <c r="AS30" s="328" cm="1">
        <f t="array" ref="AS30">INDEX('생산수량Back-Data'!$B$5:$AAA$10041,
       MATCH($B29,'생산수량Back-Data'!$B$5:$B$10041,0)+1,
       MATCH(AS$3,'생산수량Back-Data'!$B$3:$AAA$3,0))</f>
        <v>0</v>
      </c>
      <c r="AT30" s="329" cm="1">
        <f t="array" ref="AT30">INDEX('생산수량Back-Data'!$B$5:$AAA$10041,
       MATCH($B29,'생산수량Back-Data'!$B$5:$B$10041,0)+1,
       MATCH(AT$3,'생산수량Back-Data'!$B$3:$AAA$3,0))</f>
        <v>0</v>
      </c>
    </row>
    <row r="31" spans="2:46" ht="32.1" customHeight="1" x14ac:dyDescent="0.3">
      <c r="B31" s="444" t="s">
        <v>75</v>
      </c>
      <c r="C31" s="444" t="s">
        <v>185</v>
      </c>
      <c r="D31" s="444" t="s">
        <v>209</v>
      </c>
      <c r="E31" s="438">
        <f>ABS(SUMIFS('Fixture 총 발주수량'!Z:Z,'Fixture 총 발주수량'!B:B,'후공정(샌딩)생산계획'!B31,'Fixture 총 발주수량'!Z:Z,"&lt;0"))</f>
        <v>30</v>
      </c>
      <c r="F31" s="437">
        <f>G31-E31</f>
        <v>-30</v>
      </c>
      <c r="G31" s="437">
        <f>SUMIF(P31:AT31, "&gt;0")</f>
        <v>0</v>
      </c>
      <c r="H31" s="437">
        <f>SUMIF(P32:AT32, "&gt;0")</f>
        <v>0</v>
      </c>
      <c r="I31" s="442">
        <f>IFERROR(H31/G31,)</f>
        <v>0</v>
      </c>
      <c r="J31" s="437">
        <f ca="1">IFERROR(SUMIF('Fixture 총 발주수량'!B:AG,'후공정(샌딩)생산계획'!B31,'Fixture 총 발주수량'!AC:AC),)</f>
        <v>0</v>
      </c>
      <c r="K31" s="438">
        <f>ROUNDUP(E31/2000,)</f>
        <v>1</v>
      </c>
      <c r="L31" s="438">
        <f>L29+K31</f>
        <v>15</v>
      </c>
      <c r="M31" s="438">
        <f>L31+K31</f>
        <v>16</v>
      </c>
      <c r="N31" s="438">
        <f>N29+K31</f>
        <v>15</v>
      </c>
      <c r="O31" s="306" t="s">
        <v>264</v>
      </c>
      <c r="P31" s="311"/>
      <c r="Q31" s="312"/>
      <c r="R31" s="312"/>
      <c r="S31" s="312"/>
      <c r="T31" s="312"/>
      <c r="U31" s="312"/>
      <c r="V31" s="312"/>
      <c r="W31" s="312"/>
      <c r="X31" s="312"/>
      <c r="Y31" s="312"/>
      <c r="Z31" s="312"/>
      <c r="AA31" s="312"/>
      <c r="AB31" s="312"/>
      <c r="AC31" s="312"/>
      <c r="AD31" s="312"/>
      <c r="AE31" s="312"/>
      <c r="AF31" s="312"/>
      <c r="AG31" s="312"/>
      <c r="AH31" s="312"/>
      <c r="AI31" s="312"/>
      <c r="AJ31" s="312"/>
      <c r="AK31" s="312"/>
      <c r="AL31" s="312"/>
      <c r="AM31" s="312"/>
      <c r="AN31" s="312"/>
      <c r="AO31" s="312"/>
      <c r="AP31" s="312"/>
      <c r="AQ31" s="312"/>
      <c r="AR31" s="312"/>
      <c r="AS31" s="312"/>
      <c r="AT31" s="313"/>
    </row>
    <row r="32" spans="2:46" ht="32.1" customHeight="1" x14ac:dyDescent="0.3">
      <c r="B32" s="445"/>
      <c r="C32" s="445"/>
      <c r="D32" s="445"/>
      <c r="E32" s="439"/>
      <c r="F32" s="436"/>
      <c r="G32" s="436"/>
      <c r="H32" s="436"/>
      <c r="I32" s="443"/>
      <c r="J32" s="436"/>
      <c r="K32" s="439"/>
      <c r="L32" s="439"/>
      <c r="M32" s="439"/>
      <c r="N32" s="439"/>
      <c r="O32" s="306" t="s">
        <v>266</v>
      </c>
      <c r="P32" s="310" cm="1">
        <f t="array" ref="P32">INDEX('생산수량Back-Data'!$B$5:$AAA$10041,
       MATCH($B31,'생산수량Back-Data'!$B$5:$B$10041,0)+1,
       MATCH(P$3,'생산수량Back-Data'!$B$3:$AAA$3,0))</f>
        <v>0</v>
      </c>
      <c r="Q32" s="310" cm="1">
        <f t="array" ref="Q32">INDEX('생산수량Back-Data'!$B$5:$AAA$10041,
       MATCH($B31,'생산수량Back-Data'!$B$5:$B$10041,0)+1,
       MATCH(Q$3,'생산수량Back-Data'!$B$3:$AAA$3,0))</f>
        <v>0</v>
      </c>
      <c r="R32" s="310" cm="1">
        <f t="array" ref="R32">INDEX('생산수량Back-Data'!$B$5:$AAA$10041,
       MATCH($B31,'생산수량Back-Data'!$B$5:$B$10041,0)+1,
       MATCH(R$3,'생산수량Back-Data'!$B$3:$AAA$3,0))</f>
        <v>0</v>
      </c>
      <c r="S32" s="310" cm="1">
        <f t="array" ref="S32">INDEX('생산수량Back-Data'!$B$5:$AAA$10041,
       MATCH($B31,'생산수량Back-Data'!$B$5:$B$10041,0)+1,
       MATCH(S$3,'생산수량Back-Data'!$B$3:$AAA$3,0))</f>
        <v>0</v>
      </c>
      <c r="T32" s="310" cm="1">
        <f t="array" ref="T32">INDEX('생산수량Back-Data'!$B$5:$AAA$10041,
       MATCH($B31,'생산수량Back-Data'!$B$5:$B$10041,0)+1,
       MATCH(T$3,'생산수량Back-Data'!$B$3:$AAA$3,0))</f>
        <v>0</v>
      </c>
      <c r="U32" s="310" cm="1">
        <f t="array" ref="U32">INDEX('생산수량Back-Data'!$B$5:$AAA$10041,
       MATCH($B31,'생산수량Back-Data'!$B$5:$B$10041,0)+1,
       MATCH(U$3,'생산수량Back-Data'!$B$3:$AAA$3,0))</f>
        <v>0</v>
      </c>
      <c r="V32" s="310" cm="1">
        <f t="array" ref="V32">INDEX('생산수량Back-Data'!$B$5:$AAA$10041,
       MATCH($B31,'생산수량Back-Data'!$B$5:$B$10041,0)+1,
       MATCH(V$3,'생산수량Back-Data'!$B$3:$AAA$3,0))</f>
        <v>0</v>
      </c>
      <c r="W32" s="310" cm="1">
        <f t="array" ref="W32">INDEX('생산수량Back-Data'!$B$5:$AAA$10041,
       MATCH($B31,'생산수량Back-Data'!$B$5:$B$10041,0)+1,
       MATCH(W$3,'생산수량Back-Data'!$B$3:$AAA$3,0))</f>
        <v>0</v>
      </c>
      <c r="X32" s="310" cm="1">
        <f t="array" ref="X32">INDEX('생산수량Back-Data'!$B$5:$AAA$10041,
       MATCH($B31,'생산수량Back-Data'!$B$5:$B$10041,0)+1,
       MATCH(X$3,'생산수량Back-Data'!$B$3:$AAA$3,0))</f>
        <v>0</v>
      </c>
      <c r="Y32" s="310" cm="1">
        <f t="array" ref="Y32">INDEX('생산수량Back-Data'!$B$5:$AAA$10041,
       MATCH($B31,'생산수량Back-Data'!$B$5:$B$10041,0)+1,
       MATCH(Y$3,'생산수량Back-Data'!$B$3:$AAA$3,0))</f>
        <v>0</v>
      </c>
      <c r="Z32" s="310" cm="1">
        <f t="array" ref="Z32">INDEX('생산수량Back-Data'!$B$5:$AAA$10041,
       MATCH($B31,'생산수량Back-Data'!$B$5:$B$10041,0)+1,
       MATCH(Z$3,'생산수량Back-Data'!$B$3:$AAA$3,0))</f>
        <v>0</v>
      </c>
      <c r="AA32" s="310" cm="1">
        <f t="array" ref="AA32">INDEX('생산수량Back-Data'!$B$5:$AAA$10041,
       MATCH($B31,'생산수량Back-Data'!$B$5:$B$10041,0)+1,
       MATCH(AA$3,'생산수량Back-Data'!$B$3:$AAA$3,0))</f>
        <v>0</v>
      </c>
      <c r="AB32" s="310" cm="1">
        <f t="array" ref="AB32">INDEX('생산수량Back-Data'!$B$5:$AAA$10041,
       MATCH($B31,'생산수량Back-Data'!$B$5:$B$10041,0)+1,
       MATCH(AB$3,'생산수량Back-Data'!$B$3:$AAA$3,0))</f>
        <v>0</v>
      </c>
      <c r="AC32" s="310" cm="1">
        <f t="array" ref="AC32">INDEX('생산수량Back-Data'!$B$5:$AAA$10041,
       MATCH($B31,'생산수량Back-Data'!$B$5:$B$10041,0)+1,
       MATCH(AC$3,'생산수량Back-Data'!$B$3:$AAA$3,0))</f>
        <v>0</v>
      </c>
      <c r="AD32" s="310" cm="1">
        <f t="array" ref="AD32">INDEX('생산수량Back-Data'!$B$5:$AAA$10041,
       MATCH($B31,'생산수량Back-Data'!$B$5:$B$10041,0)+1,
       MATCH(AD$3,'생산수량Back-Data'!$B$3:$AAA$3,0))</f>
        <v>0</v>
      </c>
      <c r="AE32" s="310" cm="1">
        <f t="array" ref="AE32">INDEX('생산수량Back-Data'!$B$5:$AAA$10041,
       MATCH($B31,'생산수량Back-Data'!$B$5:$B$10041,0)+1,
       MATCH(AE$3,'생산수량Back-Data'!$B$3:$AAA$3,0))</f>
        <v>0</v>
      </c>
      <c r="AF32" s="310" cm="1">
        <f t="array" ref="AF32">INDEX('생산수량Back-Data'!$B$5:$AAA$10041,
       MATCH($B31,'생산수량Back-Data'!$B$5:$B$10041,0)+1,
       MATCH(AF$3,'생산수량Back-Data'!$B$3:$AAA$3,0))</f>
        <v>0</v>
      </c>
      <c r="AG32" s="310" cm="1">
        <f t="array" ref="AG32">INDEX('생산수량Back-Data'!$B$5:$AAA$10041,
       MATCH($B31,'생산수량Back-Data'!$B$5:$B$10041,0)+1,
       MATCH(AG$3,'생산수량Back-Data'!$B$3:$AAA$3,0))</f>
        <v>0</v>
      </c>
      <c r="AH32" s="310" cm="1">
        <f t="array" ref="AH32">INDEX('생산수량Back-Data'!$B$5:$AAA$10041,
       MATCH($B31,'생산수량Back-Data'!$B$5:$B$10041,0)+1,
       MATCH(AH$3,'생산수량Back-Data'!$B$3:$AAA$3,0))</f>
        <v>0</v>
      </c>
      <c r="AI32" s="310" cm="1">
        <f t="array" ref="AI32">INDEX('생산수량Back-Data'!$B$5:$AAA$10041,
       MATCH($B31,'생산수량Back-Data'!$B$5:$B$10041,0)+1,
       MATCH(AI$3,'생산수량Back-Data'!$B$3:$AAA$3,0))</f>
        <v>0</v>
      </c>
      <c r="AJ32" s="310" cm="1">
        <f t="array" ref="AJ32">INDEX('생산수량Back-Data'!$B$5:$AAA$10041,
       MATCH($B31,'생산수량Back-Data'!$B$5:$B$10041,0)+1,
       MATCH(AJ$3,'생산수량Back-Data'!$B$3:$AAA$3,0))</f>
        <v>0</v>
      </c>
      <c r="AK32" s="310" cm="1">
        <f t="array" ref="AK32">INDEX('생산수량Back-Data'!$B$5:$AAA$10041,
       MATCH($B31,'생산수량Back-Data'!$B$5:$B$10041,0)+1,
       MATCH(AK$3,'생산수량Back-Data'!$B$3:$AAA$3,0))</f>
        <v>0</v>
      </c>
      <c r="AL32" s="310" cm="1">
        <f t="array" ref="AL32">INDEX('생산수량Back-Data'!$B$5:$AAA$10041,
       MATCH($B31,'생산수량Back-Data'!$B$5:$B$10041,0)+1,
       MATCH(AL$3,'생산수량Back-Data'!$B$3:$AAA$3,0))</f>
        <v>0</v>
      </c>
      <c r="AM32" s="310" cm="1">
        <f t="array" ref="AM32">INDEX('생산수량Back-Data'!$B$5:$AAA$10041,
       MATCH($B31,'생산수량Back-Data'!$B$5:$B$10041,0)+1,
       MATCH(AM$3,'생산수량Back-Data'!$B$3:$AAA$3,0))</f>
        <v>0</v>
      </c>
      <c r="AN32" s="310" cm="1">
        <f t="array" ref="AN32">INDEX('생산수량Back-Data'!$B$5:$AAA$10041,
       MATCH($B31,'생산수량Back-Data'!$B$5:$B$10041,0)+1,
       MATCH(AN$3,'생산수량Back-Data'!$B$3:$AAA$3,0))</f>
        <v>0</v>
      </c>
      <c r="AO32" s="310" cm="1">
        <f t="array" ref="AO32">INDEX('생산수량Back-Data'!$B$5:$AAA$10041,
       MATCH($B31,'생산수량Back-Data'!$B$5:$B$10041,0)+1,
       MATCH(AO$3,'생산수량Back-Data'!$B$3:$AAA$3,0))</f>
        <v>0</v>
      </c>
      <c r="AP32" s="310" cm="1">
        <f t="array" ref="AP32">INDEX('생산수량Back-Data'!$B$5:$AAA$10041,
       MATCH($B31,'생산수량Back-Data'!$B$5:$B$10041,0)+1,
       MATCH(AP$3,'생산수량Back-Data'!$B$3:$AAA$3,0))</f>
        <v>0</v>
      </c>
      <c r="AQ32" s="310" cm="1">
        <f t="array" ref="AQ32">INDEX('생산수량Back-Data'!$B$5:$AAA$10041,
       MATCH($B31,'생산수량Back-Data'!$B$5:$B$10041,0)+1,
       MATCH(AQ$3,'생산수량Back-Data'!$B$3:$AAA$3,0))</f>
        <v>0</v>
      </c>
      <c r="AR32" s="310" cm="1">
        <f t="array" ref="AR32">INDEX('생산수량Back-Data'!$B$5:$AAA$10041,
       MATCH($B31,'생산수량Back-Data'!$B$5:$B$10041,0)+1,
       MATCH(AR$3,'생산수량Back-Data'!$B$3:$AAA$3,0))</f>
        <v>0</v>
      </c>
      <c r="AS32" s="310" cm="1">
        <f t="array" ref="AS32">INDEX('생산수량Back-Data'!$B$5:$AAA$10041,
       MATCH($B31,'생산수량Back-Data'!$B$5:$B$10041,0)+1,
       MATCH(AS$3,'생산수량Back-Data'!$B$3:$AAA$3,0))</f>
        <v>0</v>
      </c>
      <c r="AT32" s="324" cm="1">
        <f t="array" ref="AT32">INDEX('생산수량Back-Data'!$B$5:$AAA$10041,
       MATCH($B31,'생산수량Back-Data'!$B$5:$B$10041,0)+1,
       MATCH(AT$3,'생산수량Back-Data'!$B$3:$AAA$3,0))</f>
        <v>0</v>
      </c>
    </row>
    <row r="33" spans="2:46" ht="32.1" customHeight="1" x14ac:dyDescent="0.3">
      <c r="B33" s="444" t="s">
        <v>76</v>
      </c>
      <c r="C33" s="444" t="s">
        <v>185</v>
      </c>
      <c r="D33" s="444" t="s">
        <v>210</v>
      </c>
      <c r="E33" s="438">
        <f>ABS(SUMIFS('Fixture 총 발주수량'!Z:Z,'Fixture 총 발주수량'!B:B,'후공정(샌딩)생산계획'!B33,'Fixture 총 발주수량'!Z:Z,"&lt;0"))</f>
        <v>100</v>
      </c>
      <c r="F33" s="437">
        <f>G33-E33</f>
        <v>-100</v>
      </c>
      <c r="G33" s="437">
        <f>SUMIF(P33:AT33, "&gt;0")</f>
        <v>0</v>
      </c>
      <c r="H33" s="437">
        <f>SUMIF(P34:AT34, "&gt;0")</f>
        <v>0</v>
      </c>
      <c r="I33" s="442">
        <f>IFERROR(H33/G33,)</f>
        <v>0</v>
      </c>
      <c r="J33" s="437">
        <f ca="1">IFERROR(SUMIF('Fixture 총 발주수량'!B:AG,'후공정(샌딩)생산계획'!B33,'Fixture 총 발주수량'!AC:AC),)</f>
        <v>0</v>
      </c>
      <c r="K33" s="438">
        <f>ROUNDUP(E33/2000,)</f>
        <v>1</v>
      </c>
      <c r="L33" s="438">
        <f>L31+K33</f>
        <v>16</v>
      </c>
      <c r="M33" s="438">
        <f>L33+K33</f>
        <v>17</v>
      </c>
      <c r="N33" s="438">
        <f>N31+K33</f>
        <v>16</v>
      </c>
      <c r="O33" s="306" t="s">
        <v>264</v>
      </c>
      <c r="P33" s="311"/>
      <c r="Q33" s="312"/>
      <c r="R33" s="312"/>
      <c r="S33" s="312"/>
      <c r="T33" s="312"/>
      <c r="U33" s="312"/>
      <c r="V33" s="312"/>
      <c r="W33" s="312"/>
      <c r="X33" s="312"/>
      <c r="Y33" s="312"/>
      <c r="Z33" s="312"/>
      <c r="AA33" s="312"/>
      <c r="AB33" s="312"/>
      <c r="AC33" s="312"/>
      <c r="AD33" s="312"/>
      <c r="AE33" s="312"/>
      <c r="AF33" s="312"/>
      <c r="AG33" s="312"/>
      <c r="AH33" s="312"/>
      <c r="AI33" s="312"/>
      <c r="AJ33" s="312"/>
      <c r="AK33" s="312"/>
      <c r="AL33" s="312"/>
      <c r="AM33" s="312"/>
      <c r="AN33" s="312"/>
      <c r="AO33" s="312"/>
      <c r="AP33" s="312"/>
      <c r="AQ33" s="312"/>
      <c r="AR33" s="312"/>
      <c r="AS33" s="312"/>
      <c r="AT33" s="313"/>
    </row>
    <row r="34" spans="2:46" ht="32.1" customHeight="1" x14ac:dyDescent="0.3">
      <c r="B34" s="445"/>
      <c r="C34" s="445"/>
      <c r="D34" s="445"/>
      <c r="E34" s="439"/>
      <c r="F34" s="436"/>
      <c r="G34" s="436"/>
      <c r="H34" s="436"/>
      <c r="I34" s="443"/>
      <c r="J34" s="436"/>
      <c r="K34" s="439"/>
      <c r="L34" s="439"/>
      <c r="M34" s="439"/>
      <c r="N34" s="439"/>
      <c r="O34" s="306" t="s">
        <v>266</v>
      </c>
      <c r="P34" s="310" cm="1">
        <f t="array" ref="P34">INDEX('생산수량Back-Data'!$B$5:$AAA$10041,
       MATCH($B33,'생산수량Back-Data'!$B$5:$B$10041,0)+1,
       MATCH(P$3,'생산수량Back-Data'!$B$3:$AAA$3,0))</f>
        <v>0</v>
      </c>
      <c r="Q34" s="310" cm="1">
        <f t="array" ref="Q34">INDEX('생산수량Back-Data'!$B$5:$AAA$10041,
       MATCH($B33,'생산수량Back-Data'!$B$5:$B$10041,0)+1,
       MATCH(Q$3,'생산수량Back-Data'!$B$3:$AAA$3,0))</f>
        <v>0</v>
      </c>
      <c r="R34" s="310" cm="1">
        <f t="array" ref="R34">INDEX('생산수량Back-Data'!$B$5:$AAA$10041,
       MATCH($B33,'생산수량Back-Data'!$B$5:$B$10041,0)+1,
       MATCH(R$3,'생산수량Back-Data'!$B$3:$AAA$3,0))</f>
        <v>0</v>
      </c>
      <c r="S34" s="310" cm="1">
        <f t="array" ref="S34">INDEX('생산수량Back-Data'!$B$5:$AAA$10041,
       MATCH($B33,'생산수량Back-Data'!$B$5:$B$10041,0)+1,
       MATCH(S$3,'생산수량Back-Data'!$B$3:$AAA$3,0))</f>
        <v>0</v>
      </c>
      <c r="T34" s="310" cm="1">
        <f t="array" ref="T34">INDEX('생산수량Back-Data'!$B$5:$AAA$10041,
       MATCH($B33,'생산수량Back-Data'!$B$5:$B$10041,0)+1,
       MATCH(T$3,'생산수량Back-Data'!$B$3:$AAA$3,0))</f>
        <v>0</v>
      </c>
      <c r="U34" s="310" cm="1">
        <f t="array" ref="U34">INDEX('생산수량Back-Data'!$B$5:$AAA$10041,
       MATCH($B33,'생산수량Back-Data'!$B$5:$B$10041,0)+1,
       MATCH(U$3,'생산수량Back-Data'!$B$3:$AAA$3,0))</f>
        <v>0</v>
      </c>
      <c r="V34" s="310" cm="1">
        <f t="array" ref="V34">INDEX('생산수량Back-Data'!$B$5:$AAA$10041,
       MATCH($B33,'생산수량Back-Data'!$B$5:$B$10041,0)+1,
       MATCH(V$3,'생산수량Back-Data'!$B$3:$AAA$3,0))</f>
        <v>0</v>
      </c>
      <c r="W34" s="310" cm="1">
        <f t="array" ref="W34">INDEX('생산수량Back-Data'!$B$5:$AAA$10041,
       MATCH($B33,'생산수량Back-Data'!$B$5:$B$10041,0)+1,
       MATCH(W$3,'생산수량Back-Data'!$B$3:$AAA$3,0))</f>
        <v>0</v>
      </c>
      <c r="X34" s="310" cm="1">
        <f t="array" ref="X34">INDEX('생산수량Back-Data'!$B$5:$AAA$10041,
       MATCH($B33,'생산수량Back-Data'!$B$5:$B$10041,0)+1,
       MATCH(X$3,'생산수량Back-Data'!$B$3:$AAA$3,0))</f>
        <v>0</v>
      </c>
      <c r="Y34" s="310" cm="1">
        <f t="array" ref="Y34">INDEX('생산수량Back-Data'!$B$5:$AAA$10041,
       MATCH($B33,'생산수량Back-Data'!$B$5:$B$10041,0)+1,
       MATCH(Y$3,'생산수량Back-Data'!$B$3:$AAA$3,0))</f>
        <v>0</v>
      </c>
      <c r="Z34" s="310" cm="1">
        <f t="array" ref="Z34">INDEX('생산수량Back-Data'!$B$5:$AAA$10041,
       MATCH($B33,'생산수량Back-Data'!$B$5:$B$10041,0)+1,
       MATCH(Z$3,'생산수량Back-Data'!$B$3:$AAA$3,0))</f>
        <v>0</v>
      </c>
      <c r="AA34" s="310" cm="1">
        <f t="array" ref="AA34">INDEX('생산수량Back-Data'!$B$5:$AAA$10041,
       MATCH($B33,'생산수량Back-Data'!$B$5:$B$10041,0)+1,
       MATCH(AA$3,'생산수량Back-Data'!$B$3:$AAA$3,0))</f>
        <v>0</v>
      </c>
      <c r="AB34" s="310" cm="1">
        <f t="array" ref="AB34">INDEX('생산수량Back-Data'!$B$5:$AAA$10041,
       MATCH($B33,'생산수량Back-Data'!$B$5:$B$10041,0)+1,
       MATCH(AB$3,'생산수량Back-Data'!$B$3:$AAA$3,0))</f>
        <v>0</v>
      </c>
      <c r="AC34" s="310" cm="1">
        <f t="array" ref="AC34">INDEX('생산수량Back-Data'!$B$5:$AAA$10041,
       MATCH($B33,'생산수량Back-Data'!$B$5:$B$10041,0)+1,
       MATCH(AC$3,'생산수량Back-Data'!$B$3:$AAA$3,0))</f>
        <v>0</v>
      </c>
      <c r="AD34" s="310" cm="1">
        <f t="array" ref="AD34">INDEX('생산수량Back-Data'!$B$5:$AAA$10041,
       MATCH($B33,'생산수량Back-Data'!$B$5:$B$10041,0)+1,
       MATCH(AD$3,'생산수량Back-Data'!$B$3:$AAA$3,0))</f>
        <v>0</v>
      </c>
      <c r="AE34" s="310" cm="1">
        <f t="array" ref="AE34">INDEX('생산수량Back-Data'!$B$5:$AAA$10041,
       MATCH($B33,'생산수량Back-Data'!$B$5:$B$10041,0)+1,
       MATCH(AE$3,'생산수량Back-Data'!$B$3:$AAA$3,0))</f>
        <v>0</v>
      </c>
      <c r="AF34" s="310" cm="1">
        <f t="array" ref="AF34">INDEX('생산수량Back-Data'!$B$5:$AAA$10041,
       MATCH($B33,'생산수량Back-Data'!$B$5:$B$10041,0)+1,
       MATCH(AF$3,'생산수량Back-Data'!$B$3:$AAA$3,0))</f>
        <v>0</v>
      </c>
      <c r="AG34" s="310" cm="1">
        <f t="array" ref="AG34">INDEX('생산수량Back-Data'!$B$5:$AAA$10041,
       MATCH($B33,'생산수량Back-Data'!$B$5:$B$10041,0)+1,
       MATCH(AG$3,'생산수량Back-Data'!$B$3:$AAA$3,0))</f>
        <v>0</v>
      </c>
      <c r="AH34" s="310" cm="1">
        <f t="array" ref="AH34">INDEX('생산수량Back-Data'!$B$5:$AAA$10041,
       MATCH($B33,'생산수량Back-Data'!$B$5:$B$10041,0)+1,
       MATCH(AH$3,'생산수량Back-Data'!$B$3:$AAA$3,0))</f>
        <v>0</v>
      </c>
      <c r="AI34" s="310" cm="1">
        <f t="array" ref="AI34">INDEX('생산수량Back-Data'!$B$5:$AAA$10041,
       MATCH($B33,'생산수량Back-Data'!$B$5:$B$10041,0)+1,
       MATCH(AI$3,'생산수량Back-Data'!$B$3:$AAA$3,0))</f>
        <v>0</v>
      </c>
      <c r="AJ34" s="310" cm="1">
        <f t="array" ref="AJ34">INDEX('생산수량Back-Data'!$B$5:$AAA$10041,
       MATCH($B33,'생산수량Back-Data'!$B$5:$B$10041,0)+1,
       MATCH(AJ$3,'생산수량Back-Data'!$B$3:$AAA$3,0))</f>
        <v>0</v>
      </c>
      <c r="AK34" s="310" cm="1">
        <f t="array" ref="AK34">INDEX('생산수량Back-Data'!$B$5:$AAA$10041,
       MATCH($B33,'생산수량Back-Data'!$B$5:$B$10041,0)+1,
       MATCH(AK$3,'생산수량Back-Data'!$B$3:$AAA$3,0))</f>
        <v>0</v>
      </c>
      <c r="AL34" s="310" cm="1">
        <f t="array" ref="AL34">INDEX('생산수량Back-Data'!$B$5:$AAA$10041,
       MATCH($B33,'생산수량Back-Data'!$B$5:$B$10041,0)+1,
       MATCH(AL$3,'생산수량Back-Data'!$B$3:$AAA$3,0))</f>
        <v>0</v>
      </c>
      <c r="AM34" s="310" cm="1">
        <f t="array" ref="AM34">INDEX('생산수량Back-Data'!$B$5:$AAA$10041,
       MATCH($B33,'생산수량Back-Data'!$B$5:$B$10041,0)+1,
       MATCH(AM$3,'생산수량Back-Data'!$B$3:$AAA$3,0))</f>
        <v>0</v>
      </c>
      <c r="AN34" s="310" cm="1">
        <f t="array" ref="AN34">INDEX('생산수량Back-Data'!$B$5:$AAA$10041,
       MATCH($B33,'생산수량Back-Data'!$B$5:$B$10041,0)+1,
       MATCH(AN$3,'생산수량Back-Data'!$B$3:$AAA$3,0))</f>
        <v>0</v>
      </c>
      <c r="AO34" s="310" cm="1">
        <f t="array" ref="AO34">INDEX('생산수량Back-Data'!$B$5:$AAA$10041,
       MATCH($B33,'생산수량Back-Data'!$B$5:$B$10041,0)+1,
       MATCH(AO$3,'생산수량Back-Data'!$B$3:$AAA$3,0))</f>
        <v>0</v>
      </c>
      <c r="AP34" s="310" cm="1">
        <f t="array" ref="AP34">INDEX('생산수량Back-Data'!$B$5:$AAA$10041,
       MATCH($B33,'생산수량Back-Data'!$B$5:$B$10041,0)+1,
       MATCH(AP$3,'생산수량Back-Data'!$B$3:$AAA$3,0))</f>
        <v>0</v>
      </c>
      <c r="AQ34" s="310" cm="1">
        <f t="array" ref="AQ34">INDEX('생산수량Back-Data'!$B$5:$AAA$10041,
       MATCH($B33,'생산수량Back-Data'!$B$5:$B$10041,0)+1,
       MATCH(AQ$3,'생산수량Back-Data'!$B$3:$AAA$3,0))</f>
        <v>0</v>
      </c>
      <c r="AR34" s="310" cm="1">
        <f t="array" ref="AR34">INDEX('생산수량Back-Data'!$B$5:$AAA$10041,
       MATCH($B33,'생산수량Back-Data'!$B$5:$B$10041,0)+1,
       MATCH(AR$3,'생산수량Back-Data'!$B$3:$AAA$3,0))</f>
        <v>0</v>
      </c>
      <c r="AS34" s="310" cm="1">
        <f t="array" ref="AS34">INDEX('생산수량Back-Data'!$B$5:$AAA$10041,
       MATCH($B33,'생산수량Back-Data'!$B$5:$B$10041,0)+1,
       MATCH(AS$3,'생산수량Back-Data'!$B$3:$AAA$3,0))</f>
        <v>0</v>
      </c>
      <c r="AT34" s="324" cm="1">
        <f t="array" ref="AT34">INDEX('생산수량Back-Data'!$B$5:$AAA$10041,
       MATCH($B33,'생산수량Back-Data'!$B$5:$B$10041,0)+1,
       MATCH(AT$3,'생산수량Back-Data'!$B$3:$AAA$3,0))</f>
        <v>0</v>
      </c>
    </row>
    <row r="35" spans="2:46" ht="32.1" customHeight="1" x14ac:dyDescent="0.3">
      <c r="B35" s="444" t="s">
        <v>71</v>
      </c>
      <c r="C35" s="444" t="s">
        <v>185</v>
      </c>
      <c r="D35" s="444" t="s">
        <v>211</v>
      </c>
      <c r="E35" s="438">
        <f>ABS(SUMIFS('Fixture 총 발주수량'!Z:Z,'Fixture 총 발주수량'!B:B,'후공정(샌딩)생산계획'!B35,'Fixture 총 발주수량'!Z:Z,"&lt;0"))</f>
        <v>110</v>
      </c>
      <c r="F35" s="437">
        <f>G35-E35</f>
        <v>-110</v>
      </c>
      <c r="G35" s="437">
        <f>SUMIF(P35:AT35, "&gt;0")</f>
        <v>0</v>
      </c>
      <c r="H35" s="437">
        <f>SUMIF(P36:AT36, "&gt;0")</f>
        <v>0</v>
      </c>
      <c r="I35" s="442">
        <f>IFERROR(H35/G35,)</f>
        <v>0</v>
      </c>
      <c r="J35" s="437">
        <f ca="1">IFERROR(SUMIF('Fixture 총 발주수량'!B:AG,'후공정(샌딩)생산계획'!B35,'Fixture 총 발주수량'!AC:AC),)</f>
        <v>0</v>
      </c>
      <c r="K35" s="438">
        <f>ROUNDUP(E35/2000,)</f>
        <v>1</v>
      </c>
      <c r="L35" s="438">
        <f>L33+K35</f>
        <v>17</v>
      </c>
      <c r="M35" s="438">
        <f>L35+K35</f>
        <v>18</v>
      </c>
      <c r="N35" s="438">
        <f>N33+K35</f>
        <v>17</v>
      </c>
      <c r="O35" s="306" t="s">
        <v>264</v>
      </c>
      <c r="P35" s="311"/>
      <c r="Q35" s="312"/>
      <c r="R35" s="312"/>
      <c r="S35" s="312"/>
      <c r="T35" s="312"/>
      <c r="U35" s="312"/>
      <c r="V35" s="312"/>
      <c r="W35" s="312"/>
      <c r="X35" s="312"/>
      <c r="Y35" s="312"/>
      <c r="Z35" s="312"/>
      <c r="AA35" s="312"/>
      <c r="AB35" s="312"/>
      <c r="AC35" s="312"/>
      <c r="AD35" s="312"/>
      <c r="AE35" s="312"/>
      <c r="AF35" s="312"/>
      <c r="AG35" s="312"/>
      <c r="AH35" s="312"/>
      <c r="AI35" s="312"/>
      <c r="AJ35" s="312"/>
      <c r="AK35" s="312"/>
      <c r="AL35" s="312"/>
      <c r="AM35" s="312"/>
      <c r="AN35" s="312"/>
      <c r="AO35" s="312"/>
      <c r="AP35" s="312"/>
      <c r="AQ35" s="312"/>
      <c r="AR35" s="312"/>
      <c r="AS35" s="312"/>
      <c r="AT35" s="313"/>
    </row>
    <row r="36" spans="2:46" ht="32.1" customHeight="1" x14ac:dyDescent="0.3">
      <c r="B36" s="445"/>
      <c r="C36" s="445"/>
      <c r="D36" s="445"/>
      <c r="E36" s="439"/>
      <c r="F36" s="436"/>
      <c r="G36" s="436"/>
      <c r="H36" s="436"/>
      <c r="I36" s="443"/>
      <c r="J36" s="436"/>
      <c r="K36" s="439"/>
      <c r="L36" s="439"/>
      <c r="M36" s="439"/>
      <c r="N36" s="439"/>
      <c r="O36" s="306" t="s">
        <v>266</v>
      </c>
      <c r="P36" s="310" cm="1">
        <f t="array" ref="P36">INDEX('생산수량Back-Data'!$B$5:$AAA$10041,
       MATCH($B35,'생산수량Back-Data'!$B$5:$B$10041,0)+1,
       MATCH(P$3,'생산수량Back-Data'!$B$3:$AAA$3,0))</f>
        <v>0</v>
      </c>
      <c r="Q36" s="310" cm="1">
        <f t="array" ref="Q36">INDEX('생산수량Back-Data'!$B$5:$AAA$10041,
       MATCH($B35,'생산수량Back-Data'!$B$5:$B$10041,0)+1,
       MATCH(Q$3,'생산수량Back-Data'!$B$3:$AAA$3,0))</f>
        <v>0</v>
      </c>
      <c r="R36" s="310" cm="1">
        <f t="array" ref="R36">INDEX('생산수량Back-Data'!$B$5:$AAA$10041,
       MATCH($B35,'생산수량Back-Data'!$B$5:$B$10041,0)+1,
       MATCH(R$3,'생산수량Back-Data'!$B$3:$AAA$3,0))</f>
        <v>0</v>
      </c>
      <c r="S36" s="310" cm="1">
        <f t="array" ref="S36">INDEX('생산수량Back-Data'!$B$5:$AAA$10041,
       MATCH($B35,'생산수량Back-Data'!$B$5:$B$10041,0)+1,
       MATCH(S$3,'생산수량Back-Data'!$B$3:$AAA$3,0))</f>
        <v>0</v>
      </c>
      <c r="T36" s="310" cm="1">
        <f t="array" ref="T36">INDEX('생산수량Back-Data'!$B$5:$AAA$10041,
       MATCH($B35,'생산수량Back-Data'!$B$5:$B$10041,0)+1,
       MATCH(T$3,'생산수량Back-Data'!$B$3:$AAA$3,0))</f>
        <v>0</v>
      </c>
      <c r="U36" s="310" cm="1">
        <f t="array" ref="U36">INDEX('생산수량Back-Data'!$B$5:$AAA$10041,
       MATCH($B35,'생산수량Back-Data'!$B$5:$B$10041,0)+1,
       MATCH(U$3,'생산수량Back-Data'!$B$3:$AAA$3,0))</f>
        <v>0</v>
      </c>
      <c r="V36" s="310" cm="1">
        <f t="array" ref="V36">INDEX('생산수량Back-Data'!$B$5:$AAA$10041,
       MATCH($B35,'생산수량Back-Data'!$B$5:$B$10041,0)+1,
       MATCH(V$3,'생산수량Back-Data'!$B$3:$AAA$3,0))</f>
        <v>0</v>
      </c>
      <c r="W36" s="310" cm="1">
        <f t="array" ref="W36">INDEX('생산수량Back-Data'!$B$5:$AAA$10041,
       MATCH($B35,'생산수량Back-Data'!$B$5:$B$10041,0)+1,
       MATCH(W$3,'생산수량Back-Data'!$B$3:$AAA$3,0))</f>
        <v>0</v>
      </c>
      <c r="X36" s="310" cm="1">
        <f t="array" ref="X36">INDEX('생산수량Back-Data'!$B$5:$AAA$10041,
       MATCH($B35,'생산수량Back-Data'!$B$5:$B$10041,0)+1,
       MATCH(X$3,'생산수량Back-Data'!$B$3:$AAA$3,0))</f>
        <v>0</v>
      </c>
      <c r="Y36" s="310" cm="1">
        <f t="array" ref="Y36">INDEX('생산수량Back-Data'!$B$5:$AAA$10041,
       MATCH($B35,'생산수량Back-Data'!$B$5:$B$10041,0)+1,
       MATCH(Y$3,'생산수량Back-Data'!$B$3:$AAA$3,0))</f>
        <v>0</v>
      </c>
      <c r="Z36" s="310" cm="1">
        <f t="array" ref="Z36">INDEX('생산수량Back-Data'!$B$5:$AAA$10041,
       MATCH($B35,'생산수량Back-Data'!$B$5:$B$10041,0)+1,
       MATCH(Z$3,'생산수량Back-Data'!$B$3:$AAA$3,0))</f>
        <v>0</v>
      </c>
      <c r="AA36" s="310" cm="1">
        <f t="array" ref="AA36">INDEX('생산수량Back-Data'!$B$5:$AAA$10041,
       MATCH($B35,'생산수량Back-Data'!$B$5:$B$10041,0)+1,
       MATCH(AA$3,'생산수량Back-Data'!$B$3:$AAA$3,0))</f>
        <v>0</v>
      </c>
      <c r="AB36" s="310" cm="1">
        <f t="array" ref="AB36">INDEX('생산수량Back-Data'!$B$5:$AAA$10041,
       MATCH($B35,'생산수량Back-Data'!$B$5:$B$10041,0)+1,
       MATCH(AB$3,'생산수량Back-Data'!$B$3:$AAA$3,0))</f>
        <v>0</v>
      </c>
      <c r="AC36" s="310" cm="1">
        <f t="array" ref="AC36">INDEX('생산수량Back-Data'!$B$5:$AAA$10041,
       MATCH($B35,'생산수량Back-Data'!$B$5:$B$10041,0)+1,
       MATCH(AC$3,'생산수량Back-Data'!$B$3:$AAA$3,0))</f>
        <v>0</v>
      </c>
      <c r="AD36" s="310" cm="1">
        <f t="array" ref="AD36">INDEX('생산수량Back-Data'!$B$5:$AAA$10041,
       MATCH($B35,'생산수량Back-Data'!$B$5:$B$10041,0)+1,
       MATCH(AD$3,'생산수량Back-Data'!$B$3:$AAA$3,0))</f>
        <v>0</v>
      </c>
      <c r="AE36" s="310" cm="1">
        <f t="array" ref="AE36">INDEX('생산수량Back-Data'!$B$5:$AAA$10041,
       MATCH($B35,'생산수량Back-Data'!$B$5:$B$10041,0)+1,
       MATCH(AE$3,'생산수량Back-Data'!$B$3:$AAA$3,0))</f>
        <v>0</v>
      </c>
      <c r="AF36" s="310" cm="1">
        <f t="array" ref="AF36">INDEX('생산수량Back-Data'!$B$5:$AAA$10041,
       MATCH($B35,'생산수량Back-Data'!$B$5:$B$10041,0)+1,
       MATCH(AF$3,'생산수량Back-Data'!$B$3:$AAA$3,0))</f>
        <v>0</v>
      </c>
      <c r="AG36" s="310" cm="1">
        <f t="array" ref="AG36">INDEX('생산수량Back-Data'!$B$5:$AAA$10041,
       MATCH($B35,'생산수량Back-Data'!$B$5:$B$10041,0)+1,
       MATCH(AG$3,'생산수량Back-Data'!$B$3:$AAA$3,0))</f>
        <v>0</v>
      </c>
      <c r="AH36" s="310" cm="1">
        <f t="array" ref="AH36">INDEX('생산수량Back-Data'!$B$5:$AAA$10041,
       MATCH($B35,'생산수량Back-Data'!$B$5:$B$10041,0)+1,
       MATCH(AH$3,'생산수량Back-Data'!$B$3:$AAA$3,0))</f>
        <v>0</v>
      </c>
      <c r="AI36" s="310" cm="1">
        <f t="array" ref="AI36">INDEX('생산수량Back-Data'!$B$5:$AAA$10041,
       MATCH($B35,'생산수량Back-Data'!$B$5:$B$10041,0)+1,
       MATCH(AI$3,'생산수량Back-Data'!$B$3:$AAA$3,0))</f>
        <v>0</v>
      </c>
      <c r="AJ36" s="310" cm="1">
        <f t="array" ref="AJ36">INDEX('생산수량Back-Data'!$B$5:$AAA$10041,
       MATCH($B35,'생산수량Back-Data'!$B$5:$B$10041,0)+1,
       MATCH(AJ$3,'생산수량Back-Data'!$B$3:$AAA$3,0))</f>
        <v>0</v>
      </c>
      <c r="AK36" s="310" cm="1">
        <f t="array" ref="AK36">INDEX('생산수량Back-Data'!$B$5:$AAA$10041,
       MATCH($B35,'생산수량Back-Data'!$B$5:$B$10041,0)+1,
       MATCH(AK$3,'생산수량Back-Data'!$B$3:$AAA$3,0))</f>
        <v>0</v>
      </c>
      <c r="AL36" s="310" cm="1">
        <f t="array" ref="AL36">INDEX('생산수량Back-Data'!$B$5:$AAA$10041,
       MATCH($B35,'생산수량Back-Data'!$B$5:$B$10041,0)+1,
       MATCH(AL$3,'생산수량Back-Data'!$B$3:$AAA$3,0))</f>
        <v>0</v>
      </c>
      <c r="AM36" s="310" cm="1">
        <f t="array" ref="AM36">INDEX('생산수량Back-Data'!$B$5:$AAA$10041,
       MATCH($B35,'생산수량Back-Data'!$B$5:$B$10041,0)+1,
       MATCH(AM$3,'생산수량Back-Data'!$B$3:$AAA$3,0))</f>
        <v>0</v>
      </c>
      <c r="AN36" s="310" cm="1">
        <f t="array" ref="AN36">INDEX('생산수량Back-Data'!$B$5:$AAA$10041,
       MATCH($B35,'생산수량Back-Data'!$B$5:$B$10041,0)+1,
       MATCH(AN$3,'생산수량Back-Data'!$B$3:$AAA$3,0))</f>
        <v>0</v>
      </c>
      <c r="AO36" s="310" cm="1">
        <f t="array" ref="AO36">INDEX('생산수량Back-Data'!$B$5:$AAA$10041,
       MATCH($B35,'생산수량Back-Data'!$B$5:$B$10041,0)+1,
       MATCH(AO$3,'생산수량Back-Data'!$B$3:$AAA$3,0))</f>
        <v>0</v>
      </c>
      <c r="AP36" s="310" cm="1">
        <f t="array" ref="AP36">INDEX('생산수량Back-Data'!$B$5:$AAA$10041,
       MATCH($B35,'생산수량Back-Data'!$B$5:$B$10041,0)+1,
       MATCH(AP$3,'생산수량Back-Data'!$B$3:$AAA$3,0))</f>
        <v>0</v>
      </c>
      <c r="AQ36" s="310" cm="1">
        <f t="array" ref="AQ36">INDEX('생산수량Back-Data'!$B$5:$AAA$10041,
       MATCH($B35,'생산수량Back-Data'!$B$5:$B$10041,0)+1,
       MATCH(AQ$3,'생산수량Back-Data'!$B$3:$AAA$3,0))</f>
        <v>0</v>
      </c>
      <c r="AR36" s="310" cm="1">
        <f t="array" ref="AR36">INDEX('생산수량Back-Data'!$B$5:$AAA$10041,
       MATCH($B35,'생산수량Back-Data'!$B$5:$B$10041,0)+1,
       MATCH(AR$3,'생산수량Back-Data'!$B$3:$AAA$3,0))</f>
        <v>0</v>
      </c>
      <c r="AS36" s="310" cm="1">
        <f t="array" ref="AS36">INDEX('생산수량Back-Data'!$B$5:$AAA$10041,
       MATCH($B35,'생산수량Back-Data'!$B$5:$B$10041,0)+1,
       MATCH(AS$3,'생산수량Back-Data'!$B$3:$AAA$3,0))</f>
        <v>0</v>
      </c>
      <c r="AT36" s="324" cm="1">
        <f t="array" ref="AT36">INDEX('생산수량Back-Data'!$B$5:$AAA$10041,
       MATCH($B35,'생산수량Back-Data'!$B$5:$B$10041,0)+1,
       MATCH(AT$3,'생산수량Back-Data'!$B$3:$AAA$3,0))</f>
        <v>0</v>
      </c>
    </row>
    <row r="37" spans="2:46" ht="32.1" customHeight="1" x14ac:dyDescent="0.3">
      <c r="B37" s="444" t="s">
        <v>72</v>
      </c>
      <c r="C37" s="444" t="s">
        <v>185</v>
      </c>
      <c r="D37" s="444" t="s">
        <v>212</v>
      </c>
      <c r="E37" s="438">
        <f>ABS(SUMIFS('Fixture 총 발주수량'!Z:Z,'Fixture 총 발주수량'!B:B,'후공정(샌딩)생산계획'!B37,'Fixture 총 발주수량'!Z:Z,"&lt;0"))</f>
        <v>286</v>
      </c>
      <c r="F37" s="437">
        <f>G37-E37</f>
        <v>-286</v>
      </c>
      <c r="G37" s="437">
        <f>SUMIF(P37:AT37, "&gt;0")</f>
        <v>0</v>
      </c>
      <c r="H37" s="437">
        <f>SUMIF(P38:AT38, "&gt;0")</f>
        <v>0</v>
      </c>
      <c r="I37" s="442">
        <f>IFERROR(H37/G37,)</f>
        <v>0</v>
      </c>
      <c r="J37" s="437">
        <f ca="1">IFERROR(SUMIF('Fixture 총 발주수량'!B:AG,'후공정(샌딩)생산계획'!B37,'Fixture 총 발주수량'!AC:AC),)</f>
        <v>0</v>
      </c>
      <c r="K37" s="438">
        <f>ROUNDUP(E37/2000,)</f>
        <v>1</v>
      </c>
      <c r="L37" s="438">
        <f>L35+K37</f>
        <v>18</v>
      </c>
      <c r="M37" s="438">
        <f>L37+K37</f>
        <v>19</v>
      </c>
      <c r="N37" s="438">
        <f>N35+K37</f>
        <v>18</v>
      </c>
      <c r="O37" s="306" t="s">
        <v>264</v>
      </c>
      <c r="P37" s="311"/>
      <c r="Q37" s="312"/>
      <c r="R37" s="312"/>
      <c r="S37" s="312"/>
      <c r="T37" s="312"/>
      <c r="U37" s="312"/>
      <c r="V37" s="312"/>
      <c r="W37" s="312"/>
      <c r="X37" s="312"/>
      <c r="Y37" s="312"/>
      <c r="Z37" s="312"/>
      <c r="AA37" s="312"/>
      <c r="AB37" s="312"/>
      <c r="AC37" s="312"/>
      <c r="AD37" s="312"/>
      <c r="AE37" s="312"/>
      <c r="AF37" s="312"/>
      <c r="AG37" s="312"/>
      <c r="AH37" s="312"/>
      <c r="AI37" s="312"/>
      <c r="AJ37" s="312"/>
      <c r="AK37" s="312"/>
      <c r="AL37" s="312"/>
      <c r="AM37" s="312"/>
      <c r="AN37" s="312"/>
      <c r="AO37" s="312"/>
      <c r="AP37" s="312"/>
      <c r="AQ37" s="312"/>
      <c r="AR37" s="312"/>
      <c r="AS37" s="312"/>
      <c r="AT37" s="313"/>
    </row>
    <row r="38" spans="2:46" ht="32.1" customHeight="1" x14ac:dyDescent="0.3">
      <c r="B38" s="445"/>
      <c r="C38" s="445"/>
      <c r="D38" s="445"/>
      <c r="E38" s="439"/>
      <c r="F38" s="436"/>
      <c r="G38" s="436"/>
      <c r="H38" s="436"/>
      <c r="I38" s="443"/>
      <c r="J38" s="436"/>
      <c r="K38" s="439"/>
      <c r="L38" s="439"/>
      <c r="M38" s="439"/>
      <c r="N38" s="439"/>
      <c r="O38" s="306" t="s">
        <v>266</v>
      </c>
      <c r="P38" s="310" cm="1">
        <f t="array" ref="P38">INDEX('생산수량Back-Data'!$B$5:$AAA$10041,
       MATCH($B37,'생산수량Back-Data'!$B$5:$B$10041,0)+1,
       MATCH(P$3,'생산수량Back-Data'!$B$3:$AAA$3,0))</f>
        <v>0</v>
      </c>
      <c r="Q38" s="310" cm="1">
        <f t="array" ref="Q38">INDEX('생산수량Back-Data'!$B$5:$AAA$10041,
       MATCH($B37,'생산수량Back-Data'!$B$5:$B$10041,0)+1,
       MATCH(Q$3,'생산수량Back-Data'!$B$3:$AAA$3,0))</f>
        <v>0</v>
      </c>
      <c r="R38" s="310" cm="1">
        <f t="array" ref="R38">INDEX('생산수량Back-Data'!$B$5:$AAA$10041,
       MATCH($B37,'생산수량Back-Data'!$B$5:$B$10041,0)+1,
       MATCH(R$3,'생산수량Back-Data'!$B$3:$AAA$3,0))</f>
        <v>0</v>
      </c>
      <c r="S38" s="310" cm="1">
        <f t="array" ref="S38">INDEX('생산수량Back-Data'!$B$5:$AAA$10041,
       MATCH($B37,'생산수량Back-Data'!$B$5:$B$10041,0)+1,
       MATCH(S$3,'생산수량Back-Data'!$B$3:$AAA$3,0))</f>
        <v>0</v>
      </c>
      <c r="T38" s="310" cm="1">
        <f t="array" ref="T38">INDEX('생산수량Back-Data'!$B$5:$AAA$10041,
       MATCH($B37,'생산수량Back-Data'!$B$5:$B$10041,0)+1,
       MATCH(T$3,'생산수량Back-Data'!$B$3:$AAA$3,0))</f>
        <v>0</v>
      </c>
      <c r="U38" s="310" cm="1">
        <f t="array" ref="U38">INDEX('생산수량Back-Data'!$B$5:$AAA$10041,
       MATCH($B37,'생산수량Back-Data'!$B$5:$B$10041,0)+1,
       MATCH(U$3,'생산수량Back-Data'!$B$3:$AAA$3,0))</f>
        <v>0</v>
      </c>
      <c r="V38" s="310" cm="1">
        <f t="array" ref="V38">INDEX('생산수량Back-Data'!$B$5:$AAA$10041,
       MATCH($B37,'생산수량Back-Data'!$B$5:$B$10041,0)+1,
       MATCH(V$3,'생산수량Back-Data'!$B$3:$AAA$3,0))</f>
        <v>0</v>
      </c>
      <c r="W38" s="310" cm="1">
        <f t="array" ref="W38">INDEX('생산수량Back-Data'!$B$5:$AAA$10041,
       MATCH($B37,'생산수량Back-Data'!$B$5:$B$10041,0)+1,
       MATCH(W$3,'생산수량Back-Data'!$B$3:$AAA$3,0))</f>
        <v>0</v>
      </c>
      <c r="X38" s="310" cm="1">
        <f t="array" ref="X38">INDEX('생산수량Back-Data'!$B$5:$AAA$10041,
       MATCH($B37,'생산수량Back-Data'!$B$5:$B$10041,0)+1,
       MATCH(X$3,'생산수량Back-Data'!$B$3:$AAA$3,0))</f>
        <v>0</v>
      </c>
      <c r="Y38" s="310" cm="1">
        <f t="array" ref="Y38">INDEX('생산수량Back-Data'!$B$5:$AAA$10041,
       MATCH($B37,'생산수량Back-Data'!$B$5:$B$10041,0)+1,
       MATCH(Y$3,'생산수량Back-Data'!$B$3:$AAA$3,0))</f>
        <v>0</v>
      </c>
      <c r="Z38" s="310" cm="1">
        <f t="array" ref="Z38">INDEX('생산수량Back-Data'!$B$5:$AAA$10041,
       MATCH($B37,'생산수량Back-Data'!$B$5:$B$10041,0)+1,
       MATCH(Z$3,'생산수량Back-Data'!$B$3:$AAA$3,0))</f>
        <v>0</v>
      </c>
      <c r="AA38" s="310" cm="1">
        <f t="array" ref="AA38">INDEX('생산수량Back-Data'!$B$5:$AAA$10041,
       MATCH($B37,'생산수량Back-Data'!$B$5:$B$10041,0)+1,
       MATCH(AA$3,'생산수량Back-Data'!$B$3:$AAA$3,0))</f>
        <v>0</v>
      </c>
      <c r="AB38" s="310" cm="1">
        <f t="array" ref="AB38">INDEX('생산수량Back-Data'!$B$5:$AAA$10041,
       MATCH($B37,'생산수량Back-Data'!$B$5:$B$10041,0)+1,
       MATCH(AB$3,'생산수량Back-Data'!$B$3:$AAA$3,0))</f>
        <v>0</v>
      </c>
      <c r="AC38" s="310" cm="1">
        <f t="array" ref="AC38">INDEX('생산수량Back-Data'!$B$5:$AAA$10041,
       MATCH($B37,'생산수량Back-Data'!$B$5:$B$10041,0)+1,
       MATCH(AC$3,'생산수량Back-Data'!$B$3:$AAA$3,0))</f>
        <v>0</v>
      </c>
      <c r="AD38" s="310" cm="1">
        <f t="array" ref="AD38">INDEX('생산수량Back-Data'!$B$5:$AAA$10041,
       MATCH($B37,'생산수량Back-Data'!$B$5:$B$10041,0)+1,
       MATCH(AD$3,'생산수량Back-Data'!$B$3:$AAA$3,0))</f>
        <v>0</v>
      </c>
      <c r="AE38" s="310" cm="1">
        <f t="array" ref="AE38">INDEX('생산수량Back-Data'!$B$5:$AAA$10041,
       MATCH($B37,'생산수량Back-Data'!$B$5:$B$10041,0)+1,
       MATCH(AE$3,'생산수량Back-Data'!$B$3:$AAA$3,0))</f>
        <v>0</v>
      </c>
      <c r="AF38" s="310" cm="1">
        <f t="array" ref="AF38">INDEX('생산수량Back-Data'!$B$5:$AAA$10041,
       MATCH($B37,'생산수량Back-Data'!$B$5:$B$10041,0)+1,
       MATCH(AF$3,'생산수량Back-Data'!$B$3:$AAA$3,0))</f>
        <v>0</v>
      </c>
      <c r="AG38" s="310" cm="1">
        <f t="array" ref="AG38">INDEX('생산수량Back-Data'!$B$5:$AAA$10041,
       MATCH($B37,'생산수량Back-Data'!$B$5:$B$10041,0)+1,
       MATCH(AG$3,'생산수량Back-Data'!$B$3:$AAA$3,0))</f>
        <v>0</v>
      </c>
      <c r="AH38" s="310" cm="1">
        <f t="array" ref="AH38">INDEX('생산수량Back-Data'!$B$5:$AAA$10041,
       MATCH($B37,'생산수량Back-Data'!$B$5:$B$10041,0)+1,
       MATCH(AH$3,'생산수량Back-Data'!$B$3:$AAA$3,0))</f>
        <v>0</v>
      </c>
      <c r="AI38" s="310" cm="1">
        <f t="array" ref="AI38">INDEX('생산수량Back-Data'!$B$5:$AAA$10041,
       MATCH($B37,'생산수량Back-Data'!$B$5:$B$10041,0)+1,
       MATCH(AI$3,'생산수량Back-Data'!$B$3:$AAA$3,0))</f>
        <v>0</v>
      </c>
      <c r="AJ38" s="310" cm="1">
        <f t="array" ref="AJ38">INDEX('생산수량Back-Data'!$B$5:$AAA$10041,
       MATCH($B37,'생산수량Back-Data'!$B$5:$B$10041,0)+1,
       MATCH(AJ$3,'생산수량Back-Data'!$B$3:$AAA$3,0))</f>
        <v>0</v>
      </c>
      <c r="AK38" s="310" cm="1">
        <f t="array" ref="AK38">INDEX('생산수량Back-Data'!$B$5:$AAA$10041,
       MATCH($B37,'생산수량Back-Data'!$B$5:$B$10041,0)+1,
       MATCH(AK$3,'생산수량Back-Data'!$B$3:$AAA$3,0))</f>
        <v>0</v>
      </c>
      <c r="AL38" s="310" cm="1">
        <f t="array" ref="AL38">INDEX('생산수량Back-Data'!$B$5:$AAA$10041,
       MATCH($B37,'생산수량Back-Data'!$B$5:$B$10041,0)+1,
       MATCH(AL$3,'생산수량Back-Data'!$B$3:$AAA$3,0))</f>
        <v>0</v>
      </c>
      <c r="AM38" s="310" cm="1">
        <f t="array" ref="AM38">INDEX('생산수량Back-Data'!$B$5:$AAA$10041,
       MATCH($B37,'생산수량Back-Data'!$B$5:$B$10041,0)+1,
       MATCH(AM$3,'생산수량Back-Data'!$B$3:$AAA$3,0))</f>
        <v>0</v>
      </c>
      <c r="AN38" s="310" cm="1">
        <f t="array" ref="AN38">INDEX('생산수량Back-Data'!$B$5:$AAA$10041,
       MATCH($B37,'생산수량Back-Data'!$B$5:$B$10041,0)+1,
       MATCH(AN$3,'생산수량Back-Data'!$B$3:$AAA$3,0))</f>
        <v>0</v>
      </c>
      <c r="AO38" s="310" cm="1">
        <f t="array" ref="AO38">INDEX('생산수량Back-Data'!$B$5:$AAA$10041,
       MATCH($B37,'생산수량Back-Data'!$B$5:$B$10041,0)+1,
       MATCH(AO$3,'생산수량Back-Data'!$B$3:$AAA$3,0))</f>
        <v>0</v>
      </c>
      <c r="AP38" s="310" cm="1">
        <f t="array" ref="AP38">INDEX('생산수량Back-Data'!$B$5:$AAA$10041,
       MATCH($B37,'생산수량Back-Data'!$B$5:$B$10041,0)+1,
       MATCH(AP$3,'생산수량Back-Data'!$B$3:$AAA$3,0))</f>
        <v>0</v>
      </c>
      <c r="AQ38" s="310" cm="1">
        <f t="array" ref="AQ38">INDEX('생산수량Back-Data'!$B$5:$AAA$10041,
       MATCH($B37,'생산수량Back-Data'!$B$5:$B$10041,0)+1,
       MATCH(AQ$3,'생산수량Back-Data'!$B$3:$AAA$3,0))</f>
        <v>0</v>
      </c>
      <c r="AR38" s="310" cm="1">
        <f t="array" ref="AR38">INDEX('생산수량Back-Data'!$B$5:$AAA$10041,
       MATCH($B37,'생산수량Back-Data'!$B$5:$B$10041,0)+1,
       MATCH(AR$3,'생산수량Back-Data'!$B$3:$AAA$3,0))</f>
        <v>0</v>
      </c>
      <c r="AS38" s="310" cm="1">
        <f t="array" ref="AS38">INDEX('생산수량Back-Data'!$B$5:$AAA$10041,
       MATCH($B37,'생산수량Back-Data'!$B$5:$B$10041,0)+1,
       MATCH(AS$3,'생산수량Back-Data'!$B$3:$AAA$3,0))</f>
        <v>0</v>
      </c>
      <c r="AT38" s="324" cm="1">
        <f t="array" ref="AT38">INDEX('생산수량Back-Data'!$B$5:$AAA$10041,
       MATCH($B37,'생산수량Back-Data'!$B$5:$B$10041,0)+1,
       MATCH(AT$3,'생산수량Back-Data'!$B$3:$AAA$3,0))</f>
        <v>0</v>
      </c>
    </row>
    <row r="39" spans="2:46" ht="32.1" customHeight="1" x14ac:dyDescent="0.3">
      <c r="B39" s="444" t="s">
        <v>73</v>
      </c>
      <c r="C39" s="444" t="s">
        <v>185</v>
      </c>
      <c r="D39" s="444" t="s">
        <v>213</v>
      </c>
      <c r="E39" s="438">
        <f>ABS(SUMIFS('Fixture 총 발주수량'!Z:Z,'Fixture 총 발주수량'!B:B,'후공정(샌딩)생산계획'!B39,'Fixture 총 발주수량'!Z:Z,"&lt;0"))</f>
        <v>110</v>
      </c>
      <c r="F39" s="437">
        <f>G39-E39</f>
        <v>-110</v>
      </c>
      <c r="G39" s="437">
        <f>SUMIF(P39:AT39, "&gt;0")</f>
        <v>0</v>
      </c>
      <c r="H39" s="437">
        <f>SUMIF(P40:AT40, "&gt;0")</f>
        <v>0</v>
      </c>
      <c r="I39" s="442">
        <f>IFERROR(H39/G39,)</f>
        <v>0</v>
      </c>
      <c r="J39" s="437">
        <f ca="1">IFERROR(SUMIF('Fixture 총 발주수량'!B:AG,'후공정(샌딩)생산계획'!B39,'Fixture 총 발주수량'!AC:AC),)</f>
        <v>0</v>
      </c>
      <c r="K39" s="438">
        <f>ROUNDUP(E39/2000,)</f>
        <v>1</v>
      </c>
      <c r="L39" s="438">
        <f>L37+K39</f>
        <v>19</v>
      </c>
      <c r="M39" s="438">
        <f>L39+K39</f>
        <v>20</v>
      </c>
      <c r="N39" s="438">
        <f>N37+K39</f>
        <v>19</v>
      </c>
      <c r="O39" s="306" t="s">
        <v>264</v>
      </c>
      <c r="P39" s="311"/>
      <c r="Q39" s="312"/>
      <c r="R39" s="312"/>
      <c r="S39" s="312"/>
      <c r="T39" s="312"/>
      <c r="U39" s="312"/>
      <c r="V39" s="312"/>
      <c r="W39" s="312"/>
      <c r="X39" s="312"/>
      <c r="Y39" s="312"/>
      <c r="Z39" s="312"/>
      <c r="AA39" s="312"/>
      <c r="AB39" s="312"/>
      <c r="AC39" s="312"/>
      <c r="AD39" s="312"/>
      <c r="AE39" s="312"/>
      <c r="AF39" s="312"/>
      <c r="AG39" s="312"/>
      <c r="AH39" s="312"/>
      <c r="AI39" s="312"/>
      <c r="AJ39" s="312"/>
      <c r="AK39" s="312"/>
      <c r="AL39" s="312"/>
      <c r="AM39" s="312"/>
      <c r="AN39" s="312"/>
      <c r="AO39" s="312"/>
      <c r="AP39" s="312"/>
      <c r="AQ39" s="312"/>
      <c r="AR39" s="312"/>
      <c r="AS39" s="312"/>
      <c r="AT39" s="313"/>
    </row>
    <row r="40" spans="2:46" ht="32.1" customHeight="1" thickBot="1" x14ac:dyDescent="0.35">
      <c r="B40" s="454"/>
      <c r="C40" s="454"/>
      <c r="D40" s="454"/>
      <c r="E40" s="450"/>
      <c r="F40" s="452"/>
      <c r="G40" s="452"/>
      <c r="H40" s="452"/>
      <c r="I40" s="453"/>
      <c r="J40" s="452"/>
      <c r="K40" s="450"/>
      <c r="L40" s="450"/>
      <c r="M40" s="450"/>
      <c r="N40" s="450"/>
      <c r="O40" s="305" t="s">
        <v>266</v>
      </c>
      <c r="P40" s="310" cm="1">
        <f t="array" ref="P40">INDEX('생산수량Back-Data'!$B$5:$AAA$10041,
       MATCH($B39,'생산수량Back-Data'!$B$5:$B$10041,0)+1,
       MATCH(P$3,'생산수량Back-Data'!$B$3:$AAA$3,0))</f>
        <v>0</v>
      </c>
      <c r="Q40" s="310" cm="1">
        <f t="array" ref="Q40">INDEX('생산수량Back-Data'!$B$5:$AAA$10041,
       MATCH($B39,'생산수량Back-Data'!$B$5:$B$10041,0)+1,
       MATCH(Q$3,'생산수량Back-Data'!$B$3:$AAA$3,0))</f>
        <v>0</v>
      </c>
      <c r="R40" s="310" cm="1">
        <f t="array" ref="R40">INDEX('생산수량Back-Data'!$B$5:$AAA$10041,
       MATCH($B39,'생산수량Back-Data'!$B$5:$B$10041,0)+1,
       MATCH(R$3,'생산수량Back-Data'!$B$3:$AAA$3,0))</f>
        <v>0</v>
      </c>
      <c r="S40" s="310" cm="1">
        <f t="array" ref="S40">INDEX('생산수량Back-Data'!$B$5:$AAA$10041,
       MATCH($B39,'생산수량Back-Data'!$B$5:$B$10041,0)+1,
       MATCH(S$3,'생산수량Back-Data'!$B$3:$AAA$3,0))</f>
        <v>0</v>
      </c>
      <c r="T40" s="310" cm="1">
        <f t="array" ref="T40">INDEX('생산수량Back-Data'!$B$5:$AAA$10041,
       MATCH($B39,'생산수량Back-Data'!$B$5:$B$10041,0)+1,
       MATCH(T$3,'생산수량Back-Data'!$B$3:$AAA$3,0))</f>
        <v>0</v>
      </c>
      <c r="U40" s="310" cm="1">
        <f t="array" ref="U40">INDEX('생산수량Back-Data'!$B$5:$AAA$10041,
       MATCH($B39,'생산수량Back-Data'!$B$5:$B$10041,0)+1,
       MATCH(U$3,'생산수량Back-Data'!$B$3:$AAA$3,0))</f>
        <v>0</v>
      </c>
      <c r="V40" s="310" cm="1">
        <f t="array" ref="V40">INDEX('생산수량Back-Data'!$B$5:$AAA$10041,
       MATCH($B39,'생산수량Back-Data'!$B$5:$B$10041,0)+1,
       MATCH(V$3,'생산수량Back-Data'!$B$3:$AAA$3,0))</f>
        <v>0</v>
      </c>
      <c r="W40" s="310" cm="1">
        <f t="array" ref="W40">INDEX('생산수량Back-Data'!$B$5:$AAA$10041,
       MATCH($B39,'생산수량Back-Data'!$B$5:$B$10041,0)+1,
       MATCH(W$3,'생산수량Back-Data'!$B$3:$AAA$3,0))</f>
        <v>0</v>
      </c>
      <c r="X40" s="310" cm="1">
        <f t="array" ref="X40">INDEX('생산수량Back-Data'!$B$5:$AAA$10041,
       MATCH($B39,'생산수량Back-Data'!$B$5:$B$10041,0)+1,
       MATCH(X$3,'생산수량Back-Data'!$B$3:$AAA$3,0))</f>
        <v>0</v>
      </c>
      <c r="Y40" s="310" cm="1">
        <f t="array" ref="Y40">INDEX('생산수량Back-Data'!$B$5:$AAA$10041,
       MATCH($B39,'생산수량Back-Data'!$B$5:$B$10041,0)+1,
       MATCH(Y$3,'생산수량Back-Data'!$B$3:$AAA$3,0))</f>
        <v>0</v>
      </c>
      <c r="Z40" s="310" cm="1">
        <f t="array" ref="Z40">INDEX('생산수량Back-Data'!$B$5:$AAA$10041,
       MATCH($B39,'생산수량Back-Data'!$B$5:$B$10041,0)+1,
       MATCH(Z$3,'생산수량Back-Data'!$B$3:$AAA$3,0))</f>
        <v>0</v>
      </c>
      <c r="AA40" s="310" cm="1">
        <f t="array" ref="AA40">INDEX('생산수량Back-Data'!$B$5:$AAA$10041,
       MATCH($B39,'생산수량Back-Data'!$B$5:$B$10041,0)+1,
       MATCH(AA$3,'생산수량Back-Data'!$B$3:$AAA$3,0))</f>
        <v>0</v>
      </c>
      <c r="AB40" s="310" cm="1">
        <f t="array" ref="AB40">INDEX('생산수량Back-Data'!$B$5:$AAA$10041,
       MATCH($B39,'생산수량Back-Data'!$B$5:$B$10041,0)+1,
       MATCH(AB$3,'생산수량Back-Data'!$B$3:$AAA$3,0))</f>
        <v>0</v>
      </c>
      <c r="AC40" s="310" cm="1">
        <f t="array" ref="AC40">INDEX('생산수량Back-Data'!$B$5:$AAA$10041,
       MATCH($B39,'생산수량Back-Data'!$B$5:$B$10041,0)+1,
       MATCH(AC$3,'생산수량Back-Data'!$B$3:$AAA$3,0))</f>
        <v>0</v>
      </c>
      <c r="AD40" s="310" cm="1">
        <f t="array" ref="AD40">INDEX('생산수량Back-Data'!$B$5:$AAA$10041,
       MATCH($B39,'생산수량Back-Data'!$B$5:$B$10041,0)+1,
       MATCH(AD$3,'생산수량Back-Data'!$B$3:$AAA$3,0))</f>
        <v>0</v>
      </c>
      <c r="AE40" s="310" cm="1">
        <f t="array" ref="AE40">INDEX('생산수량Back-Data'!$B$5:$AAA$10041,
       MATCH($B39,'생산수량Back-Data'!$B$5:$B$10041,0)+1,
       MATCH(AE$3,'생산수량Back-Data'!$B$3:$AAA$3,0))</f>
        <v>0</v>
      </c>
      <c r="AF40" s="310" cm="1">
        <f t="array" ref="AF40">INDEX('생산수량Back-Data'!$B$5:$AAA$10041,
       MATCH($B39,'생산수량Back-Data'!$B$5:$B$10041,0)+1,
       MATCH(AF$3,'생산수량Back-Data'!$B$3:$AAA$3,0))</f>
        <v>0</v>
      </c>
      <c r="AG40" s="310" cm="1">
        <f t="array" ref="AG40">INDEX('생산수량Back-Data'!$B$5:$AAA$10041,
       MATCH($B39,'생산수량Back-Data'!$B$5:$B$10041,0)+1,
       MATCH(AG$3,'생산수량Back-Data'!$B$3:$AAA$3,0))</f>
        <v>0</v>
      </c>
      <c r="AH40" s="310" cm="1">
        <f t="array" ref="AH40">INDEX('생산수량Back-Data'!$B$5:$AAA$10041,
       MATCH($B39,'생산수량Back-Data'!$B$5:$B$10041,0)+1,
       MATCH(AH$3,'생산수량Back-Data'!$B$3:$AAA$3,0))</f>
        <v>0</v>
      </c>
      <c r="AI40" s="310" cm="1">
        <f t="array" ref="AI40">INDEX('생산수량Back-Data'!$B$5:$AAA$10041,
       MATCH($B39,'생산수량Back-Data'!$B$5:$B$10041,0)+1,
       MATCH(AI$3,'생산수량Back-Data'!$B$3:$AAA$3,0))</f>
        <v>0</v>
      </c>
      <c r="AJ40" s="310" cm="1">
        <f t="array" ref="AJ40">INDEX('생산수량Back-Data'!$B$5:$AAA$10041,
       MATCH($B39,'생산수량Back-Data'!$B$5:$B$10041,0)+1,
       MATCH(AJ$3,'생산수량Back-Data'!$B$3:$AAA$3,0))</f>
        <v>0</v>
      </c>
      <c r="AK40" s="310" cm="1">
        <f t="array" ref="AK40">INDEX('생산수량Back-Data'!$B$5:$AAA$10041,
       MATCH($B39,'생산수량Back-Data'!$B$5:$B$10041,0)+1,
       MATCH(AK$3,'생산수량Back-Data'!$B$3:$AAA$3,0))</f>
        <v>0</v>
      </c>
      <c r="AL40" s="310" cm="1">
        <f t="array" ref="AL40">INDEX('생산수량Back-Data'!$B$5:$AAA$10041,
       MATCH($B39,'생산수량Back-Data'!$B$5:$B$10041,0)+1,
       MATCH(AL$3,'생산수량Back-Data'!$B$3:$AAA$3,0))</f>
        <v>0</v>
      </c>
      <c r="AM40" s="310" cm="1">
        <f t="array" ref="AM40">INDEX('생산수량Back-Data'!$B$5:$AAA$10041,
       MATCH($B39,'생산수량Back-Data'!$B$5:$B$10041,0)+1,
       MATCH(AM$3,'생산수량Back-Data'!$B$3:$AAA$3,0))</f>
        <v>0</v>
      </c>
      <c r="AN40" s="310" cm="1">
        <f t="array" ref="AN40">INDEX('생산수량Back-Data'!$B$5:$AAA$10041,
       MATCH($B39,'생산수량Back-Data'!$B$5:$B$10041,0)+1,
       MATCH(AN$3,'생산수량Back-Data'!$B$3:$AAA$3,0))</f>
        <v>0</v>
      </c>
      <c r="AO40" s="310" cm="1">
        <f t="array" ref="AO40">INDEX('생산수량Back-Data'!$B$5:$AAA$10041,
       MATCH($B39,'생산수량Back-Data'!$B$5:$B$10041,0)+1,
       MATCH(AO$3,'생산수량Back-Data'!$B$3:$AAA$3,0))</f>
        <v>0</v>
      </c>
      <c r="AP40" s="310" cm="1">
        <f t="array" ref="AP40">INDEX('생산수량Back-Data'!$B$5:$AAA$10041,
       MATCH($B39,'생산수량Back-Data'!$B$5:$B$10041,0)+1,
       MATCH(AP$3,'생산수량Back-Data'!$B$3:$AAA$3,0))</f>
        <v>0</v>
      </c>
      <c r="AQ40" s="310" cm="1">
        <f t="array" ref="AQ40">INDEX('생산수량Back-Data'!$B$5:$AAA$10041,
       MATCH($B39,'생산수량Back-Data'!$B$5:$B$10041,0)+1,
       MATCH(AQ$3,'생산수량Back-Data'!$B$3:$AAA$3,0))</f>
        <v>0</v>
      </c>
      <c r="AR40" s="310" cm="1">
        <f t="array" ref="AR40">INDEX('생산수량Back-Data'!$B$5:$AAA$10041,
       MATCH($B39,'생산수량Back-Data'!$B$5:$B$10041,0)+1,
       MATCH(AR$3,'생산수량Back-Data'!$B$3:$AAA$3,0))</f>
        <v>0</v>
      </c>
      <c r="AS40" s="310" cm="1">
        <f t="array" ref="AS40">INDEX('생산수량Back-Data'!$B$5:$AAA$10041,
       MATCH($B39,'생산수량Back-Data'!$B$5:$B$10041,0)+1,
       MATCH(AS$3,'생산수량Back-Data'!$B$3:$AAA$3,0))</f>
        <v>0</v>
      </c>
      <c r="AT40" s="324" cm="1">
        <f t="array" ref="AT40">INDEX('생산수량Back-Data'!$B$5:$AAA$10041,
       MATCH($B39,'생산수량Back-Data'!$B$5:$B$10041,0)+1,
       MATCH(AT$3,'생산수량Back-Data'!$B$3:$AAA$3,0))</f>
        <v>0</v>
      </c>
    </row>
    <row r="41" spans="2:46" ht="32.1" customHeight="1" x14ac:dyDescent="0.3">
      <c r="B41" s="449" t="s">
        <v>68</v>
      </c>
      <c r="C41" s="449" t="s">
        <v>214</v>
      </c>
      <c r="D41" s="449" t="s">
        <v>215</v>
      </c>
      <c r="E41" s="446">
        <f>ABS(SUMIFS('Fixture 총 발주수량'!Z:Z,'Fixture 총 발주수량'!B:B,'후공정(샌딩)생산계획'!B41,'Fixture 총 발주수량'!Z:Z,"&lt;0"))</f>
        <v>410</v>
      </c>
      <c r="F41" s="435">
        <f>G41-E41</f>
        <v>-410</v>
      </c>
      <c r="G41" s="435">
        <f>SUMIF(P41:AT41, "&gt;0")</f>
        <v>0</v>
      </c>
      <c r="H41" s="435">
        <f>SUMIF(P42:AT42, "&gt;0")</f>
        <v>0</v>
      </c>
      <c r="I41" s="448">
        <f>IFERROR(H41/G41,)</f>
        <v>0</v>
      </c>
      <c r="J41" s="435">
        <f ca="1">IFERROR(SUMIF('Fixture 총 발주수량'!B:AG,'후공정(샌딩)생산계획'!B41,'Fixture 총 발주수량'!AC:AC),)</f>
        <v>0</v>
      </c>
      <c r="K41" s="446">
        <f>ROUNDUP(E41/2000,)</f>
        <v>1</v>
      </c>
      <c r="L41" s="446">
        <f>L39+K41</f>
        <v>20</v>
      </c>
      <c r="M41" s="446">
        <f>L41+K41</f>
        <v>21</v>
      </c>
      <c r="N41" s="446">
        <f>N39+K41</f>
        <v>20</v>
      </c>
      <c r="O41" s="336" t="s">
        <v>264</v>
      </c>
      <c r="P41" s="416"/>
      <c r="Q41" s="417"/>
      <c r="R41" s="417"/>
      <c r="S41" s="417"/>
      <c r="T41" s="417"/>
      <c r="U41" s="417"/>
      <c r="V41" s="417"/>
      <c r="W41" s="417"/>
      <c r="X41" s="417"/>
      <c r="Y41" s="417"/>
      <c r="Z41" s="417"/>
      <c r="AA41" s="417"/>
      <c r="AB41" s="417"/>
      <c r="AC41" s="417"/>
      <c r="AD41" s="417"/>
      <c r="AE41" s="417"/>
      <c r="AF41" s="417"/>
      <c r="AG41" s="417"/>
      <c r="AH41" s="417"/>
      <c r="AI41" s="417"/>
      <c r="AJ41" s="417"/>
      <c r="AK41" s="417"/>
      <c r="AL41" s="417"/>
      <c r="AM41" s="417"/>
      <c r="AN41" s="417"/>
      <c r="AO41" s="417"/>
      <c r="AP41" s="417"/>
      <c r="AQ41" s="417"/>
      <c r="AR41" s="417"/>
      <c r="AS41" s="417"/>
      <c r="AT41" s="418"/>
    </row>
    <row r="42" spans="2:46" ht="32.1" customHeight="1" x14ac:dyDescent="0.3">
      <c r="B42" s="445"/>
      <c r="C42" s="445"/>
      <c r="D42" s="445"/>
      <c r="E42" s="439"/>
      <c r="F42" s="436"/>
      <c r="G42" s="436"/>
      <c r="H42" s="436"/>
      <c r="I42" s="443"/>
      <c r="J42" s="436"/>
      <c r="K42" s="439"/>
      <c r="L42" s="439"/>
      <c r="M42" s="439"/>
      <c r="N42" s="439"/>
      <c r="O42" s="306" t="s">
        <v>266</v>
      </c>
      <c r="P42" s="328" cm="1">
        <f t="array" ref="P42">INDEX('생산수량Back-Data'!$B$5:$AAA$10041,
       MATCH($B41,'생산수량Back-Data'!$B$5:$B$10041,0)+1,
       MATCH(P$3,'생산수량Back-Data'!$B$3:$AAA$3,0))</f>
        <v>0</v>
      </c>
      <c r="Q42" s="328" cm="1">
        <f t="array" ref="Q42">INDEX('생산수량Back-Data'!$B$5:$AAA$10041,
       MATCH($B41,'생산수량Back-Data'!$B$5:$B$10041,0)+1,
       MATCH(Q$3,'생산수량Back-Data'!$B$3:$AAA$3,0))</f>
        <v>0</v>
      </c>
      <c r="R42" s="328" cm="1">
        <f t="array" ref="R42">INDEX('생산수량Back-Data'!$B$5:$AAA$10041,
       MATCH($B41,'생산수량Back-Data'!$B$5:$B$10041,0)+1,
       MATCH(R$3,'생산수량Back-Data'!$B$3:$AAA$3,0))</f>
        <v>0</v>
      </c>
      <c r="S42" s="328" cm="1">
        <f t="array" ref="S42">INDEX('생산수량Back-Data'!$B$5:$AAA$10041,
       MATCH($B41,'생산수량Back-Data'!$B$5:$B$10041,0)+1,
       MATCH(S$3,'생산수량Back-Data'!$B$3:$AAA$3,0))</f>
        <v>0</v>
      </c>
      <c r="T42" s="328" cm="1">
        <f t="array" ref="T42">INDEX('생산수량Back-Data'!$B$5:$AAA$10041,
       MATCH($B41,'생산수량Back-Data'!$B$5:$B$10041,0)+1,
       MATCH(T$3,'생산수량Back-Data'!$B$3:$AAA$3,0))</f>
        <v>0</v>
      </c>
      <c r="U42" s="328" cm="1">
        <f t="array" ref="U42">INDEX('생산수량Back-Data'!$B$5:$AAA$10041,
       MATCH($B41,'생산수량Back-Data'!$B$5:$B$10041,0)+1,
       MATCH(U$3,'생산수량Back-Data'!$B$3:$AAA$3,0))</f>
        <v>0</v>
      </c>
      <c r="V42" s="328" cm="1">
        <f t="array" ref="V42">INDEX('생산수량Back-Data'!$B$5:$AAA$10041,
       MATCH($B41,'생산수량Back-Data'!$B$5:$B$10041,0)+1,
       MATCH(V$3,'생산수량Back-Data'!$B$3:$AAA$3,0))</f>
        <v>0</v>
      </c>
      <c r="W42" s="328" cm="1">
        <f t="array" ref="W42">INDEX('생산수량Back-Data'!$B$5:$AAA$10041,
       MATCH($B41,'생산수량Back-Data'!$B$5:$B$10041,0)+1,
       MATCH(W$3,'생산수량Back-Data'!$B$3:$AAA$3,0))</f>
        <v>0</v>
      </c>
      <c r="X42" s="328" cm="1">
        <f t="array" ref="X42">INDEX('생산수량Back-Data'!$B$5:$AAA$10041,
       MATCH($B41,'생산수량Back-Data'!$B$5:$B$10041,0)+1,
       MATCH(X$3,'생산수량Back-Data'!$B$3:$AAA$3,0))</f>
        <v>0</v>
      </c>
      <c r="Y42" s="328" cm="1">
        <f t="array" ref="Y42">INDEX('생산수량Back-Data'!$B$5:$AAA$10041,
       MATCH($B41,'생산수량Back-Data'!$B$5:$B$10041,0)+1,
       MATCH(Y$3,'생산수량Back-Data'!$B$3:$AAA$3,0))</f>
        <v>0</v>
      </c>
      <c r="Z42" s="328" cm="1">
        <f t="array" ref="Z42">INDEX('생산수량Back-Data'!$B$5:$AAA$10041,
       MATCH($B41,'생산수량Back-Data'!$B$5:$B$10041,0)+1,
       MATCH(Z$3,'생산수량Back-Data'!$B$3:$AAA$3,0))</f>
        <v>0</v>
      </c>
      <c r="AA42" s="328" cm="1">
        <f t="array" ref="AA42">INDEX('생산수량Back-Data'!$B$5:$AAA$10041,
       MATCH($B41,'생산수량Back-Data'!$B$5:$B$10041,0)+1,
       MATCH(AA$3,'생산수량Back-Data'!$B$3:$AAA$3,0))</f>
        <v>0</v>
      </c>
      <c r="AB42" s="328" cm="1">
        <f t="array" ref="AB42">INDEX('생산수량Back-Data'!$B$5:$AAA$10041,
       MATCH($B41,'생산수량Back-Data'!$B$5:$B$10041,0)+1,
       MATCH(AB$3,'생산수량Back-Data'!$B$3:$AAA$3,0))</f>
        <v>0</v>
      </c>
      <c r="AC42" s="328" cm="1">
        <f t="array" ref="AC42">INDEX('생산수량Back-Data'!$B$5:$AAA$10041,
       MATCH($B41,'생산수량Back-Data'!$B$5:$B$10041,0)+1,
       MATCH(AC$3,'생산수량Back-Data'!$B$3:$AAA$3,0))</f>
        <v>0</v>
      </c>
      <c r="AD42" s="328" cm="1">
        <f t="array" ref="AD42">INDEX('생산수량Back-Data'!$B$5:$AAA$10041,
       MATCH($B41,'생산수량Back-Data'!$B$5:$B$10041,0)+1,
       MATCH(AD$3,'생산수량Back-Data'!$B$3:$AAA$3,0))</f>
        <v>0</v>
      </c>
      <c r="AE42" s="328" cm="1">
        <f t="array" ref="AE42">INDEX('생산수량Back-Data'!$B$5:$AAA$10041,
       MATCH($B41,'생산수량Back-Data'!$B$5:$B$10041,0)+1,
       MATCH(AE$3,'생산수량Back-Data'!$B$3:$AAA$3,0))</f>
        <v>0</v>
      </c>
      <c r="AF42" s="328" cm="1">
        <f t="array" ref="AF42">INDEX('생산수량Back-Data'!$B$5:$AAA$10041,
       MATCH($B41,'생산수량Back-Data'!$B$5:$B$10041,0)+1,
       MATCH(AF$3,'생산수량Back-Data'!$B$3:$AAA$3,0))</f>
        <v>0</v>
      </c>
      <c r="AG42" s="328" cm="1">
        <f t="array" ref="AG42">INDEX('생산수량Back-Data'!$B$5:$AAA$10041,
       MATCH($B41,'생산수량Back-Data'!$B$5:$B$10041,0)+1,
       MATCH(AG$3,'생산수량Back-Data'!$B$3:$AAA$3,0))</f>
        <v>0</v>
      </c>
      <c r="AH42" s="328" cm="1">
        <f t="array" ref="AH42">INDEX('생산수량Back-Data'!$B$5:$AAA$10041,
       MATCH($B41,'생산수량Back-Data'!$B$5:$B$10041,0)+1,
       MATCH(AH$3,'생산수량Back-Data'!$B$3:$AAA$3,0))</f>
        <v>0</v>
      </c>
      <c r="AI42" s="328" cm="1">
        <f t="array" ref="AI42">INDEX('생산수량Back-Data'!$B$5:$AAA$10041,
       MATCH($B41,'생산수량Back-Data'!$B$5:$B$10041,0)+1,
       MATCH(AI$3,'생산수량Back-Data'!$B$3:$AAA$3,0))</f>
        <v>0</v>
      </c>
      <c r="AJ42" s="328" cm="1">
        <f t="array" ref="AJ42">INDEX('생산수량Back-Data'!$B$5:$AAA$10041,
       MATCH($B41,'생산수량Back-Data'!$B$5:$B$10041,0)+1,
       MATCH(AJ$3,'생산수량Back-Data'!$B$3:$AAA$3,0))</f>
        <v>0</v>
      </c>
      <c r="AK42" s="328" cm="1">
        <f t="array" ref="AK42">INDEX('생산수량Back-Data'!$B$5:$AAA$10041,
       MATCH($B41,'생산수량Back-Data'!$B$5:$B$10041,0)+1,
       MATCH(AK$3,'생산수량Back-Data'!$B$3:$AAA$3,0))</f>
        <v>0</v>
      </c>
      <c r="AL42" s="328" cm="1">
        <f t="array" ref="AL42">INDEX('생산수량Back-Data'!$B$5:$AAA$10041,
       MATCH($B41,'생산수량Back-Data'!$B$5:$B$10041,0)+1,
       MATCH(AL$3,'생산수량Back-Data'!$B$3:$AAA$3,0))</f>
        <v>0</v>
      </c>
      <c r="AM42" s="328" cm="1">
        <f t="array" ref="AM42">INDEX('생산수량Back-Data'!$B$5:$AAA$10041,
       MATCH($B41,'생산수량Back-Data'!$B$5:$B$10041,0)+1,
       MATCH(AM$3,'생산수량Back-Data'!$B$3:$AAA$3,0))</f>
        <v>0</v>
      </c>
      <c r="AN42" s="328" cm="1">
        <f t="array" ref="AN42">INDEX('생산수량Back-Data'!$B$5:$AAA$10041,
       MATCH($B41,'생산수량Back-Data'!$B$5:$B$10041,0)+1,
       MATCH(AN$3,'생산수량Back-Data'!$B$3:$AAA$3,0))</f>
        <v>0</v>
      </c>
      <c r="AO42" s="328" cm="1">
        <f t="array" ref="AO42">INDEX('생산수량Back-Data'!$B$5:$AAA$10041,
       MATCH($B41,'생산수량Back-Data'!$B$5:$B$10041,0)+1,
       MATCH(AO$3,'생산수량Back-Data'!$B$3:$AAA$3,0))</f>
        <v>0</v>
      </c>
      <c r="AP42" s="328" cm="1">
        <f t="array" ref="AP42">INDEX('생산수량Back-Data'!$B$5:$AAA$10041,
       MATCH($B41,'생산수량Back-Data'!$B$5:$B$10041,0)+1,
       MATCH(AP$3,'생산수량Back-Data'!$B$3:$AAA$3,0))</f>
        <v>0</v>
      </c>
      <c r="AQ42" s="328" cm="1">
        <f t="array" ref="AQ42">INDEX('생산수량Back-Data'!$B$5:$AAA$10041,
       MATCH($B41,'생산수량Back-Data'!$B$5:$B$10041,0)+1,
       MATCH(AQ$3,'생산수량Back-Data'!$B$3:$AAA$3,0))</f>
        <v>0</v>
      </c>
      <c r="AR42" s="328" cm="1">
        <f t="array" ref="AR42">INDEX('생산수량Back-Data'!$B$5:$AAA$10041,
       MATCH($B41,'생산수량Back-Data'!$B$5:$B$10041,0)+1,
       MATCH(AR$3,'생산수량Back-Data'!$B$3:$AAA$3,0))</f>
        <v>0</v>
      </c>
      <c r="AS42" s="328" cm="1">
        <f t="array" ref="AS42">INDEX('생산수량Back-Data'!$B$5:$AAA$10041,
       MATCH($B41,'생산수량Back-Data'!$B$5:$B$10041,0)+1,
       MATCH(AS$3,'생산수량Back-Data'!$B$3:$AAA$3,0))</f>
        <v>0</v>
      </c>
      <c r="AT42" s="329" cm="1">
        <f t="array" ref="AT42">INDEX('생산수량Back-Data'!$B$5:$AAA$10041,
       MATCH($B41,'생산수량Back-Data'!$B$5:$B$10041,0)+1,
       MATCH(AT$3,'생산수량Back-Data'!$B$3:$AAA$3,0))</f>
        <v>0</v>
      </c>
    </row>
    <row r="43" spans="2:46" ht="32.1" customHeight="1" x14ac:dyDescent="0.3">
      <c r="B43" s="444" t="s">
        <v>69</v>
      </c>
      <c r="C43" s="444" t="s">
        <v>214</v>
      </c>
      <c r="D43" s="444" t="s">
        <v>216</v>
      </c>
      <c r="E43" s="438">
        <f>ABS(SUMIFS('Fixture 총 발주수량'!Z:Z,'Fixture 총 발주수량'!B:B,'후공정(샌딩)생산계획'!B43,'Fixture 총 발주수량'!Z:Z,"&lt;0"))</f>
        <v>375</v>
      </c>
      <c r="F43" s="437">
        <f>G43-E43</f>
        <v>-375</v>
      </c>
      <c r="G43" s="437">
        <f>SUMIF(P43:AT43, "&gt;0")</f>
        <v>0</v>
      </c>
      <c r="H43" s="437">
        <f>SUMIF(P44:AT44, "&gt;0")</f>
        <v>0</v>
      </c>
      <c r="I43" s="442">
        <f>IFERROR(H43/G43,)</f>
        <v>0</v>
      </c>
      <c r="J43" s="437">
        <f ca="1">IFERROR(SUMIF('Fixture 총 발주수량'!B:AG,'후공정(샌딩)생산계획'!B43,'Fixture 총 발주수량'!AC:AC),)</f>
        <v>0</v>
      </c>
      <c r="K43" s="438">
        <f>ROUNDUP(E43/2000,)</f>
        <v>1</v>
      </c>
      <c r="L43" s="438">
        <f>L41+K43</f>
        <v>21</v>
      </c>
      <c r="M43" s="438">
        <f>L43+K43</f>
        <v>22</v>
      </c>
      <c r="N43" s="438">
        <f>N41+K43</f>
        <v>21</v>
      </c>
      <c r="O43" s="306" t="s">
        <v>264</v>
      </c>
      <c r="P43" s="311"/>
      <c r="Q43" s="312"/>
      <c r="R43" s="312"/>
      <c r="S43" s="312"/>
      <c r="T43" s="312"/>
      <c r="U43" s="312"/>
      <c r="V43" s="312"/>
      <c r="W43" s="312"/>
      <c r="X43" s="312"/>
      <c r="Y43" s="312"/>
      <c r="Z43" s="312"/>
      <c r="AA43" s="312"/>
      <c r="AB43" s="312"/>
      <c r="AC43" s="312"/>
      <c r="AD43" s="312"/>
      <c r="AE43" s="312"/>
      <c r="AF43" s="312"/>
      <c r="AG43" s="312"/>
      <c r="AH43" s="312"/>
      <c r="AI43" s="312"/>
      <c r="AJ43" s="312"/>
      <c r="AK43" s="312"/>
      <c r="AL43" s="312"/>
      <c r="AM43" s="312"/>
      <c r="AN43" s="312"/>
      <c r="AO43" s="312"/>
      <c r="AP43" s="312"/>
      <c r="AQ43" s="312"/>
      <c r="AR43" s="312"/>
      <c r="AS43" s="312"/>
      <c r="AT43" s="313"/>
    </row>
    <row r="44" spans="2:46" ht="32.1" customHeight="1" x14ac:dyDescent="0.3">
      <c r="B44" s="445"/>
      <c r="C44" s="445"/>
      <c r="D44" s="445"/>
      <c r="E44" s="439"/>
      <c r="F44" s="436"/>
      <c r="G44" s="436"/>
      <c r="H44" s="436"/>
      <c r="I44" s="443"/>
      <c r="J44" s="436"/>
      <c r="K44" s="439"/>
      <c r="L44" s="439"/>
      <c r="M44" s="439"/>
      <c r="N44" s="439"/>
      <c r="O44" s="306" t="s">
        <v>266</v>
      </c>
      <c r="P44" s="310" cm="1">
        <f t="array" ref="P44">INDEX('생산수량Back-Data'!$B$5:$AAA$10041,
       MATCH($B43,'생산수량Back-Data'!$B$5:$B$10041,0)+1,
       MATCH(P$3,'생산수량Back-Data'!$B$3:$AAA$3,0))</f>
        <v>0</v>
      </c>
      <c r="Q44" s="310" cm="1">
        <f t="array" ref="Q44">INDEX('생산수량Back-Data'!$B$5:$AAA$10041,
       MATCH($B43,'생산수량Back-Data'!$B$5:$B$10041,0)+1,
       MATCH(Q$3,'생산수량Back-Data'!$B$3:$AAA$3,0))</f>
        <v>0</v>
      </c>
      <c r="R44" s="310" cm="1">
        <f t="array" ref="R44">INDEX('생산수량Back-Data'!$B$5:$AAA$10041,
       MATCH($B43,'생산수량Back-Data'!$B$5:$B$10041,0)+1,
       MATCH(R$3,'생산수량Back-Data'!$B$3:$AAA$3,0))</f>
        <v>0</v>
      </c>
      <c r="S44" s="310" cm="1">
        <f t="array" ref="S44">INDEX('생산수량Back-Data'!$B$5:$AAA$10041,
       MATCH($B43,'생산수량Back-Data'!$B$5:$B$10041,0)+1,
       MATCH(S$3,'생산수량Back-Data'!$B$3:$AAA$3,0))</f>
        <v>0</v>
      </c>
      <c r="T44" s="310" cm="1">
        <f t="array" ref="T44">INDEX('생산수량Back-Data'!$B$5:$AAA$10041,
       MATCH($B43,'생산수량Back-Data'!$B$5:$B$10041,0)+1,
       MATCH(T$3,'생산수량Back-Data'!$B$3:$AAA$3,0))</f>
        <v>0</v>
      </c>
      <c r="U44" s="310" cm="1">
        <f t="array" ref="U44">INDEX('생산수량Back-Data'!$B$5:$AAA$10041,
       MATCH($B43,'생산수량Back-Data'!$B$5:$B$10041,0)+1,
       MATCH(U$3,'생산수량Back-Data'!$B$3:$AAA$3,0))</f>
        <v>0</v>
      </c>
      <c r="V44" s="310" cm="1">
        <f t="array" ref="V44">INDEX('생산수량Back-Data'!$B$5:$AAA$10041,
       MATCH($B43,'생산수량Back-Data'!$B$5:$B$10041,0)+1,
       MATCH(V$3,'생산수량Back-Data'!$B$3:$AAA$3,0))</f>
        <v>0</v>
      </c>
      <c r="W44" s="310" cm="1">
        <f t="array" ref="W44">INDEX('생산수량Back-Data'!$B$5:$AAA$10041,
       MATCH($B43,'생산수량Back-Data'!$B$5:$B$10041,0)+1,
       MATCH(W$3,'생산수량Back-Data'!$B$3:$AAA$3,0))</f>
        <v>0</v>
      </c>
      <c r="X44" s="310" cm="1">
        <f t="array" ref="X44">INDEX('생산수량Back-Data'!$B$5:$AAA$10041,
       MATCH($B43,'생산수량Back-Data'!$B$5:$B$10041,0)+1,
       MATCH(X$3,'생산수량Back-Data'!$B$3:$AAA$3,0))</f>
        <v>0</v>
      </c>
      <c r="Y44" s="310" cm="1">
        <f t="array" ref="Y44">INDEX('생산수량Back-Data'!$B$5:$AAA$10041,
       MATCH($B43,'생산수량Back-Data'!$B$5:$B$10041,0)+1,
       MATCH(Y$3,'생산수량Back-Data'!$B$3:$AAA$3,0))</f>
        <v>0</v>
      </c>
      <c r="Z44" s="310" cm="1">
        <f t="array" ref="Z44">INDEX('생산수량Back-Data'!$B$5:$AAA$10041,
       MATCH($B43,'생산수량Back-Data'!$B$5:$B$10041,0)+1,
       MATCH(Z$3,'생산수량Back-Data'!$B$3:$AAA$3,0))</f>
        <v>0</v>
      </c>
      <c r="AA44" s="310" cm="1">
        <f t="array" ref="AA44">INDEX('생산수량Back-Data'!$B$5:$AAA$10041,
       MATCH($B43,'생산수량Back-Data'!$B$5:$B$10041,0)+1,
       MATCH(AA$3,'생산수량Back-Data'!$B$3:$AAA$3,0))</f>
        <v>0</v>
      </c>
      <c r="AB44" s="310" cm="1">
        <f t="array" ref="AB44">INDEX('생산수량Back-Data'!$B$5:$AAA$10041,
       MATCH($B43,'생산수량Back-Data'!$B$5:$B$10041,0)+1,
       MATCH(AB$3,'생산수량Back-Data'!$B$3:$AAA$3,0))</f>
        <v>0</v>
      </c>
      <c r="AC44" s="310" cm="1">
        <f t="array" ref="AC44">INDEX('생산수량Back-Data'!$B$5:$AAA$10041,
       MATCH($B43,'생산수량Back-Data'!$B$5:$B$10041,0)+1,
       MATCH(AC$3,'생산수량Back-Data'!$B$3:$AAA$3,0))</f>
        <v>0</v>
      </c>
      <c r="AD44" s="310" cm="1">
        <f t="array" ref="AD44">INDEX('생산수량Back-Data'!$B$5:$AAA$10041,
       MATCH($B43,'생산수량Back-Data'!$B$5:$B$10041,0)+1,
       MATCH(AD$3,'생산수량Back-Data'!$B$3:$AAA$3,0))</f>
        <v>0</v>
      </c>
      <c r="AE44" s="310" cm="1">
        <f t="array" ref="AE44">INDEX('생산수량Back-Data'!$B$5:$AAA$10041,
       MATCH($B43,'생산수량Back-Data'!$B$5:$B$10041,0)+1,
       MATCH(AE$3,'생산수량Back-Data'!$B$3:$AAA$3,0))</f>
        <v>0</v>
      </c>
      <c r="AF44" s="310" cm="1">
        <f t="array" ref="AF44">INDEX('생산수량Back-Data'!$B$5:$AAA$10041,
       MATCH($B43,'생산수량Back-Data'!$B$5:$B$10041,0)+1,
       MATCH(AF$3,'생산수량Back-Data'!$B$3:$AAA$3,0))</f>
        <v>0</v>
      </c>
      <c r="AG44" s="310" cm="1">
        <f t="array" ref="AG44">INDEX('생산수량Back-Data'!$B$5:$AAA$10041,
       MATCH($B43,'생산수량Back-Data'!$B$5:$B$10041,0)+1,
       MATCH(AG$3,'생산수량Back-Data'!$B$3:$AAA$3,0))</f>
        <v>0</v>
      </c>
      <c r="AH44" s="310" cm="1">
        <f t="array" ref="AH44">INDEX('생산수량Back-Data'!$B$5:$AAA$10041,
       MATCH($B43,'생산수량Back-Data'!$B$5:$B$10041,0)+1,
       MATCH(AH$3,'생산수량Back-Data'!$B$3:$AAA$3,0))</f>
        <v>0</v>
      </c>
      <c r="AI44" s="310" cm="1">
        <f t="array" ref="AI44">INDEX('생산수량Back-Data'!$B$5:$AAA$10041,
       MATCH($B43,'생산수량Back-Data'!$B$5:$B$10041,0)+1,
       MATCH(AI$3,'생산수량Back-Data'!$B$3:$AAA$3,0))</f>
        <v>0</v>
      </c>
      <c r="AJ44" s="310" cm="1">
        <f t="array" ref="AJ44">INDEX('생산수량Back-Data'!$B$5:$AAA$10041,
       MATCH($B43,'생산수량Back-Data'!$B$5:$B$10041,0)+1,
       MATCH(AJ$3,'생산수량Back-Data'!$B$3:$AAA$3,0))</f>
        <v>0</v>
      </c>
      <c r="AK44" s="310" cm="1">
        <f t="array" ref="AK44">INDEX('생산수량Back-Data'!$B$5:$AAA$10041,
       MATCH($B43,'생산수량Back-Data'!$B$5:$B$10041,0)+1,
       MATCH(AK$3,'생산수량Back-Data'!$B$3:$AAA$3,0))</f>
        <v>0</v>
      </c>
      <c r="AL44" s="310" cm="1">
        <f t="array" ref="AL44">INDEX('생산수량Back-Data'!$B$5:$AAA$10041,
       MATCH($B43,'생산수량Back-Data'!$B$5:$B$10041,0)+1,
       MATCH(AL$3,'생산수량Back-Data'!$B$3:$AAA$3,0))</f>
        <v>0</v>
      </c>
      <c r="AM44" s="310" cm="1">
        <f t="array" ref="AM44">INDEX('생산수량Back-Data'!$B$5:$AAA$10041,
       MATCH($B43,'생산수량Back-Data'!$B$5:$B$10041,0)+1,
       MATCH(AM$3,'생산수량Back-Data'!$B$3:$AAA$3,0))</f>
        <v>0</v>
      </c>
      <c r="AN44" s="310" cm="1">
        <f t="array" ref="AN44">INDEX('생산수량Back-Data'!$B$5:$AAA$10041,
       MATCH($B43,'생산수량Back-Data'!$B$5:$B$10041,0)+1,
       MATCH(AN$3,'생산수량Back-Data'!$B$3:$AAA$3,0))</f>
        <v>0</v>
      </c>
      <c r="AO44" s="310" cm="1">
        <f t="array" ref="AO44">INDEX('생산수량Back-Data'!$B$5:$AAA$10041,
       MATCH($B43,'생산수량Back-Data'!$B$5:$B$10041,0)+1,
       MATCH(AO$3,'생산수량Back-Data'!$B$3:$AAA$3,0))</f>
        <v>0</v>
      </c>
      <c r="AP44" s="310" cm="1">
        <f t="array" ref="AP44">INDEX('생산수량Back-Data'!$B$5:$AAA$10041,
       MATCH($B43,'생산수량Back-Data'!$B$5:$B$10041,0)+1,
       MATCH(AP$3,'생산수량Back-Data'!$B$3:$AAA$3,0))</f>
        <v>0</v>
      </c>
      <c r="AQ44" s="310" cm="1">
        <f t="array" ref="AQ44">INDEX('생산수량Back-Data'!$B$5:$AAA$10041,
       MATCH($B43,'생산수량Back-Data'!$B$5:$B$10041,0)+1,
       MATCH(AQ$3,'생산수량Back-Data'!$B$3:$AAA$3,0))</f>
        <v>0</v>
      </c>
      <c r="AR44" s="310" cm="1">
        <f t="array" ref="AR44">INDEX('생산수량Back-Data'!$B$5:$AAA$10041,
       MATCH($B43,'생산수량Back-Data'!$B$5:$B$10041,0)+1,
       MATCH(AR$3,'생산수량Back-Data'!$B$3:$AAA$3,0))</f>
        <v>0</v>
      </c>
      <c r="AS44" s="310" cm="1">
        <f t="array" ref="AS44">INDEX('생산수량Back-Data'!$B$5:$AAA$10041,
       MATCH($B43,'생산수량Back-Data'!$B$5:$B$10041,0)+1,
       MATCH(AS$3,'생산수량Back-Data'!$B$3:$AAA$3,0))</f>
        <v>0</v>
      </c>
      <c r="AT44" s="324" cm="1">
        <f t="array" ref="AT44">INDEX('생산수량Back-Data'!$B$5:$AAA$10041,
       MATCH($B43,'생산수량Back-Data'!$B$5:$B$10041,0)+1,
       MATCH(AT$3,'생산수량Back-Data'!$B$3:$AAA$3,0))</f>
        <v>0</v>
      </c>
    </row>
    <row r="45" spans="2:46" ht="32.1" customHeight="1" x14ac:dyDescent="0.3">
      <c r="B45" s="444" t="s">
        <v>70</v>
      </c>
      <c r="C45" s="444" t="s">
        <v>214</v>
      </c>
      <c r="D45" s="444" t="s">
        <v>217</v>
      </c>
      <c r="E45" s="438">
        <f>ABS(SUMIFS('Fixture 총 발주수량'!Z:Z,'Fixture 총 발주수량'!B:B,'후공정(샌딩)생산계획'!B45,'Fixture 총 발주수량'!Z:Z,"&lt;0"))</f>
        <v>379</v>
      </c>
      <c r="F45" s="431">
        <f>G45-E45</f>
        <v>-379</v>
      </c>
      <c r="G45" s="437">
        <f>SUMIF(P45:AT45, "&gt;0")</f>
        <v>0</v>
      </c>
      <c r="H45" s="437">
        <f>SUMIF(P46:AT46, "&gt;0")</f>
        <v>0</v>
      </c>
      <c r="I45" s="442">
        <f>IFERROR(H45/G45,)</f>
        <v>0</v>
      </c>
      <c r="J45" s="437">
        <f ca="1">IFERROR(SUMIF('Fixture 총 발주수량'!B:AG,'후공정(샌딩)생산계획'!B45,'Fixture 총 발주수량'!AC:AC),)</f>
        <v>0</v>
      </c>
      <c r="K45" s="438">
        <f>ROUNDUP(E45/2000,)</f>
        <v>1</v>
      </c>
      <c r="L45" s="438">
        <f>L43+K45</f>
        <v>22</v>
      </c>
      <c r="M45" s="438">
        <f>L45+K45</f>
        <v>23</v>
      </c>
      <c r="N45" s="438">
        <f>N43+K45</f>
        <v>22</v>
      </c>
      <c r="O45" s="306" t="s">
        <v>264</v>
      </c>
      <c r="P45" s="311"/>
      <c r="Q45" s="312"/>
      <c r="R45" s="312"/>
      <c r="S45" s="312"/>
      <c r="T45" s="312"/>
      <c r="U45" s="312"/>
      <c r="V45" s="312"/>
      <c r="W45" s="312"/>
      <c r="X45" s="312"/>
      <c r="Y45" s="312"/>
      <c r="Z45" s="312"/>
      <c r="AA45" s="312"/>
      <c r="AB45" s="312"/>
      <c r="AC45" s="312"/>
      <c r="AD45" s="312"/>
      <c r="AE45" s="312"/>
      <c r="AF45" s="312"/>
      <c r="AG45" s="312"/>
      <c r="AH45" s="312"/>
      <c r="AI45" s="312"/>
      <c r="AJ45" s="312"/>
      <c r="AK45" s="312"/>
      <c r="AL45" s="312"/>
      <c r="AM45" s="312"/>
      <c r="AN45" s="312"/>
      <c r="AO45" s="312"/>
      <c r="AP45" s="312"/>
      <c r="AQ45" s="312"/>
      <c r="AR45" s="312"/>
      <c r="AS45" s="312"/>
      <c r="AT45" s="313"/>
    </row>
    <row r="46" spans="2:46" ht="32.1" customHeight="1" thickBot="1" x14ac:dyDescent="0.35">
      <c r="B46" s="454"/>
      <c r="C46" s="454"/>
      <c r="D46" s="454"/>
      <c r="E46" s="450"/>
      <c r="F46" s="461"/>
      <c r="G46" s="452"/>
      <c r="H46" s="452"/>
      <c r="I46" s="453"/>
      <c r="J46" s="452"/>
      <c r="K46" s="450"/>
      <c r="L46" s="450"/>
      <c r="M46" s="450"/>
      <c r="N46" s="450"/>
      <c r="O46" s="305" t="s">
        <v>266</v>
      </c>
      <c r="P46" s="310" cm="1">
        <f t="array" ref="P46">INDEX('생산수량Back-Data'!$B$5:$AAA$10041,
       MATCH($B45,'생산수량Back-Data'!$B$5:$B$10041,0)+1,
       MATCH(P$3,'생산수량Back-Data'!$B$3:$AAA$3,0))</f>
        <v>0</v>
      </c>
      <c r="Q46" s="310" cm="1">
        <f t="array" ref="Q46">INDEX('생산수량Back-Data'!$B$5:$AAA$10041,
       MATCH($B45,'생산수량Back-Data'!$B$5:$B$10041,0)+1,
       MATCH(Q$3,'생산수량Back-Data'!$B$3:$AAA$3,0))</f>
        <v>0</v>
      </c>
      <c r="R46" s="310" cm="1">
        <f t="array" ref="R46">INDEX('생산수량Back-Data'!$B$5:$AAA$10041,
       MATCH($B45,'생산수량Back-Data'!$B$5:$B$10041,0)+1,
       MATCH(R$3,'생산수량Back-Data'!$B$3:$AAA$3,0))</f>
        <v>0</v>
      </c>
      <c r="S46" s="310" cm="1">
        <f t="array" ref="S46">INDEX('생산수량Back-Data'!$B$5:$AAA$10041,
       MATCH($B45,'생산수량Back-Data'!$B$5:$B$10041,0)+1,
       MATCH(S$3,'생산수량Back-Data'!$B$3:$AAA$3,0))</f>
        <v>0</v>
      </c>
      <c r="T46" s="310" cm="1">
        <f t="array" ref="T46">INDEX('생산수량Back-Data'!$B$5:$AAA$10041,
       MATCH($B45,'생산수량Back-Data'!$B$5:$B$10041,0)+1,
       MATCH(T$3,'생산수량Back-Data'!$B$3:$AAA$3,0))</f>
        <v>0</v>
      </c>
      <c r="U46" s="310" cm="1">
        <f t="array" ref="U46">INDEX('생산수량Back-Data'!$B$5:$AAA$10041,
       MATCH($B45,'생산수량Back-Data'!$B$5:$B$10041,0)+1,
       MATCH(U$3,'생산수량Back-Data'!$B$3:$AAA$3,0))</f>
        <v>0</v>
      </c>
      <c r="V46" s="310" cm="1">
        <f t="array" ref="V46">INDEX('생산수량Back-Data'!$B$5:$AAA$10041,
       MATCH($B45,'생산수량Back-Data'!$B$5:$B$10041,0)+1,
       MATCH(V$3,'생산수량Back-Data'!$B$3:$AAA$3,0))</f>
        <v>0</v>
      </c>
      <c r="W46" s="310" cm="1">
        <f t="array" ref="W46">INDEX('생산수량Back-Data'!$B$5:$AAA$10041,
       MATCH($B45,'생산수량Back-Data'!$B$5:$B$10041,0)+1,
       MATCH(W$3,'생산수량Back-Data'!$B$3:$AAA$3,0))</f>
        <v>0</v>
      </c>
      <c r="X46" s="310" cm="1">
        <f t="array" ref="X46">INDEX('생산수량Back-Data'!$B$5:$AAA$10041,
       MATCH($B45,'생산수량Back-Data'!$B$5:$B$10041,0)+1,
       MATCH(X$3,'생산수량Back-Data'!$B$3:$AAA$3,0))</f>
        <v>0</v>
      </c>
      <c r="Y46" s="310" cm="1">
        <f t="array" ref="Y46">INDEX('생산수량Back-Data'!$B$5:$AAA$10041,
       MATCH($B45,'생산수량Back-Data'!$B$5:$B$10041,0)+1,
       MATCH(Y$3,'생산수량Back-Data'!$B$3:$AAA$3,0))</f>
        <v>0</v>
      </c>
      <c r="Z46" s="310" cm="1">
        <f t="array" ref="Z46">INDEX('생산수량Back-Data'!$B$5:$AAA$10041,
       MATCH($B45,'생산수량Back-Data'!$B$5:$B$10041,0)+1,
       MATCH(Z$3,'생산수량Back-Data'!$B$3:$AAA$3,0))</f>
        <v>0</v>
      </c>
      <c r="AA46" s="310" cm="1">
        <f t="array" ref="AA46">INDEX('생산수량Back-Data'!$B$5:$AAA$10041,
       MATCH($B45,'생산수량Back-Data'!$B$5:$B$10041,0)+1,
       MATCH(AA$3,'생산수량Back-Data'!$B$3:$AAA$3,0))</f>
        <v>0</v>
      </c>
      <c r="AB46" s="310" cm="1">
        <f t="array" ref="AB46">INDEX('생산수량Back-Data'!$B$5:$AAA$10041,
       MATCH($B45,'생산수량Back-Data'!$B$5:$B$10041,0)+1,
       MATCH(AB$3,'생산수량Back-Data'!$B$3:$AAA$3,0))</f>
        <v>0</v>
      </c>
      <c r="AC46" s="310" cm="1">
        <f t="array" ref="AC46">INDEX('생산수량Back-Data'!$B$5:$AAA$10041,
       MATCH($B45,'생산수량Back-Data'!$B$5:$B$10041,0)+1,
       MATCH(AC$3,'생산수량Back-Data'!$B$3:$AAA$3,0))</f>
        <v>0</v>
      </c>
      <c r="AD46" s="310" cm="1">
        <f t="array" ref="AD46">INDEX('생산수량Back-Data'!$B$5:$AAA$10041,
       MATCH($B45,'생산수량Back-Data'!$B$5:$B$10041,0)+1,
       MATCH(AD$3,'생산수량Back-Data'!$B$3:$AAA$3,0))</f>
        <v>0</v>
      </c>
      <c r="AE46" s="310" cm="1">
        <f t="array" ref="AE46">INDEX('생산수량Back-Data'!$B$5:$AAA$10041,
       MATCH($B45,'생산수량Back-Data'!$B$5:$B$10041,0)+1,
       MATCH(AE$3,'생산수량Back-Data'!$B$3:$AAA$3,0))</f>
        <v>0</v>
      </c>
      <c r="AF46" s="310" cm="1">
        <f t="array" ref="AF46">INDEX('생산수량Back-Data'!$B$5:$AAA$10041,
       MATCH($B45,'생산수량Back-Data'!$B$5:$B$10041,0)+1,
       MATCH(AF$3,'생산수량Back-Data'!$B$3:$AAA$3,0))</f>
        <v>0</v>
      </c>
      <c r="AG46" s="310" cm="1">
        <f t="array" ref="AG46">INDEX('생산수량Back-Data'!$B$5:$AAA$10041,
       MATCH($B45,'생산수량Back-Data'!$B$5:$B$10041,0)+1,
       MATCH(AG$3,'생산수량Back-Data'!$B$3:$AAA$3,0))</f>
        <v>0</v>
      </c>
      <c r="AH46" s="310" cm="1">
        <f t="array" ref="AH46">INDEX('생산수량Back-Data'!$B$5:$AAA$10041,
       MATCH($B45,'생산수량Back-Data'!$B$5:$B$10041,0)+1,
       MATCH(AH$3,'생산수량Back-Data'!$B$3:$AAA$3,0))</f>
        <v>0</v>
      </c>
      <c r="AI46" s="310" cm="1">
        <f t="array" ref="AI46">INDEX('생산수량Back-Data'!$B$5:$AAA$10041,
       MATCH($B45,'생산수량Back-Data'!$B$5:$B$10041,0)+1,
       MATCH(AI$3,'생산수량Back-Data'!$B$3:$AAA$3,0))</f>
        <v>0</v>
      </c>
      <c r="AJ46" s="310" cm="1">
        <f t="array" ref="AJ46">INDEX('생산수량Back-Data'!$B$5:$AAA$10041,
       MATCH($B45,'생산수량Back-Data'!$B$5:$B$10041,0)+1,
       MATCH(AJ$3,'생산수량Back-Data'!$B$3:$AAA$3,0))</f>
        <v>0</v>
      </c>
      <c r="AK46" s="310" cm="1">
        <f t="array" ref="AK46">INDEX('생산수량Back-Data'!$B$5:$AAA$10041,
       MATCH($B45,'생산수량Back-Data'!$B$5:$B$10041,0)+1,
       MATCH(AK$3,'생산수량Back-Data'!$B$3:$AAA$3,0))</f>
        <v>0</v>
      </c>
      <c r="AL46" s="310" cm="1">
        <f t="array" ref="AL46">INDEX('생산수량Back-Data'!$B$5:$AAA$10041,
       MATCH($B45,'생산수량Back-Data'!$B$5:$B$10041,0)+1,
       MATCH(AL$3,'생산수량Back-Data'!$B$3:$AAA$3,0))</f>
        <v>0</v>
      </c>
      <c r="AM46" s="310" cm="1">
        <f t="array" ref="AM46">INDEX('생산수량Back-Data'!$B$5:$AAA$10041,
       MATCH($B45,'생산수량Back-Data'!$B$5:$B$10041,0)+1,
       MATCH(AM$3,'생산수량Back-Data'!$B$3:$AAA$3,0))</f>
        <v>0</v>
      </c>
      <c r="AN46" s="310" cm="1">
        <f t="array" ref="AN46">INDEX('생산수량Back-Data'!$B$5:$AAA$10041,
       MATCH($B45,'생산수량Back-Data'!$B$5:$B$10041,0)+1,
       MATCH(AN$3,'생산수량Back-Data'!$B$3:$AAA$3,0))</f>
        <v>0</v>
      </c>
      <c r="AO46" s="310" cm="1">
        <f t="array" ref="AO46">INDEX('생산수량Back-Data'!$B$5:$AAA$10041,
       MATCH($B45,'생산수량Back-Data'!$B$5:$B$10041,0)+1,
       MATCH(AO$3,'생산수량Back-Data'!$B$3:$AAA$3,0))</f>
        <v>0</v>
      </c>
      <c r="AP46" s="310" cm="1">
        <f t="array" ref="AP46">INDEX('생산수량Back-Data'!$B$5:$AAA$10041,
       MATCH($B45,'생산수량Back-Data'!$B$5:$B$10041,0)+1,
       MATCH(AP$3,'생산수량Back-Data'!$B$3:$AAA$3,0))</f>
        <v>0</v>
      </c>
      <c r="AQ46" s="310" cm="1">
        <f t="array" ref="AQ46">INDEX('생산수량Back-Data'!$B$5:$AAA$10041,
       MATCH($B45,'생산수량Back-Data'!$B$5:$B$10041,0)+1,
       MATCH(AQ$3,'생산수량Back-Data'!$B$3:$AAA$3,0))</f>
        <v>0</v>
      </c>
      <c r="AR46" s="310" cm="1">
        <f t="array" ref="AR46">INDEX('생산수량Back-Data'!$B$5:$AAA$10041,
       MATCH($B45,'생산수량Back-Data'!$B$5:$B$10041,0)+1,
       MATCH(AR$3,'생산수량Back-Data'!$B$3:$AAA$3,0))</f>
        <v>0</v>
      </c>
      <c r="AS46" s="310" cm="1">
        <f t="array" ref="AS46">INDEX('생산수량Back-Data'!$B$5:$AAA$10041,
       MATCH($B45,'생산수량Back-Data'!$B$5:$B$10041,0)+1,
       MATCH(AS$3,'생산수량Back-Data'!$B$3:$AAA$3,0))</f>
        <v>0</v>
      </c>
      <c r="AT46" s="324" cm="1">
        <f t="array" ref="AT46">INDEX('생산수량Back-Data'!$B$5:$AAA$10041,
       MATCH($B45,'생산수량Back-Data'!$B$5:$B$10041,0)+1,
       MATCH(AT$3,'생산수량Back-Data'!$B$3:$AAA$3,0))</f>
        <v>0</v>
      </c>
    </row>
    <row r="47" spans="2:46" ht="32.1" customHeight="1" x14ac:dyDescent="0.3">
      <c r="B47" s="449" t="s">
        <v>48</v>
      </c>
      <c r="C47" s="449" t="s">
        <v>185</v>
      </c>
      <c r="D47" s="449" t="s">
        <v>193</v>
      </c>
      <c r="E47" s="446">
        <f>ABS(SUMIFS('Fixture 총 발주수량'!Z:Z,'Fixture 총 발주수량'!B:B,'후공정(샌딩)생산계획'!B47,'Fixture 총 발주수량'!Z:Z,"&lt;0"))</f>
        <v>1286</v>
      </c>
      <c r="F47" s="434">
        <f>G47-E47</f>
        <v>-1286</v>
      </c>
      <c r="G47" s="435">
        <f>SUMIF(P47:AT47, "&gt;0")</f>
        <v>0</v>
      </c>
      <c r="H47" s="435">
        <f>SUMIF(P48:AT48, "&gt;0")</f>
        <v>0</v>
      </c>
      <c r="I47" s="462">
        <f>IFERROR(H47/G47,)</f>
        <v>0</v>
      </c>
      <c r="J47" s="435">
        <f ca="1">IFERROR(SUMIF('Fixture 총 발주수량'!B:AG,'후공정(샌딩)생산계획'!B47,'Fixture 총 발주수량'!AC:AC),)</f>
        <v>0</v>
      </c>
      <c r="K47" s="446">
        <f>ROUNDUP(E47/2000,)</f>
        <v>1</v>
      </c>
      <c r="L47" s="446">
        <f>L45+K47</f>
        <v>23</v>
      </c>
      <c r="M47" s="446">
        <f>L47+K47</f>
        <v>24</v>
      </c>
      <c r="N47" s="446">
        <f>N45+K47</f>
        <v>23</v>
      </c>
      <c r="O47" s="336" t="s">
        <v>264</v>
      </c>
      <c r="P47" s="337"/>
      <c r="Q47" s="338"/>
      <c r="R47" s="338"/>
      <c r="S47" s="338"/>
      <c r="T47" s="338"/>
      <c r="U47" s="338"/>
      <c r="V47" s="338"/>
      <c r="W47" s="338"/>
      <c r="X47" s="338"/>
      <c r="Y47" s="338"/>
      <c r="Z47" s="338"/>
      <c r="AA47" s="338"/>
      <c r="AB47" s="338"/>
      <c r="AC47" s="338"/>
      <c r="AD47" s="338"/>
      <c r="AE47" s="338"/>
      <c r="AF47" s="338"/>
      <c r="AG47" s="338"/>
      <c r="AH47" s="338"/>
      <c r="AI47" s="338"/>
      <c r="AJ47" s="338"/>
      <c r="AK47" s="338"/>
      <c r="AL47" s="338"/>
      <c r="AM47" s="338"/>
      <c r="AN47" s="338"/>
      <c r="AO47" s="338"/>
      <c r="AP47" s="338"/>
      <c r="AQ47" s="338"/>
      <c r="AR47" s="338"/>
      <c r="AS47" s="338"/>
      <c r="AT47" s="339"/>
    </row>
    <row r="48" spans="2:46" ht="32.1" customHeight="1" x14ac:dyDescent="0.3">
      <c r="B48" s="445"/>
      <c r="C48" s="445"/>
      <c r="D48" s="445"/>
      <c r="E48" s="439"/>
      <c r="F48" s="459"/>
      <c r="G48" s="436"/>
      <c r="H48" s="436"/>
      <c r="I48" s="463"/>
      <c r="J48" s="436"/>
      <c r="K48" s="439"/>
      <c r="L48" s="439"/>
      <c r="M48" s="439"/>
      <c r="N48" s="439"/>
      <c r="O48" s="306" t="s">
        <v>266</v>
      </c>
      <c r="P48" s="328" cm="1">
        <f t="array" ref="P48">INDEX('생산수량Back-Data'!$B$5:$AAA$10041,
       MATCH($B47,'생산수량Back-Data'!$B$5:$B$10041,0)+1,
       MATCH(P$3,'생산수량Back-Data'!$B$3:$AAA$3,0))</f>
        <v>0</v>
      </c>
      <c r="Q48" s="328" cm="1">
        <f t="array" ref="Q48">INDEX('생산수량Back-Data'!$B$5:$AAA$10041,
       MATCH($B47,'생산수량Back-Data'!$B$5:$B$10041,0)+1,
       MATCH(Q$3,'생산수량Back-Data'!$B$3:$AAA$3,0))</f>
        <v>0</v>
      </c>
      <c r="R48" s="328" cm="1">
        <f t="array" ref="R48">INDEX('생산수량Back-Data'!$B$5:$AAA$10041,
       MATCH($B47,'생산수량Back-Data'!$B$5:$B$10041,0)+1,
       MATCH(R$3,'생산수량Back-Data'!$B$3:$AAA$3,0))</f>
        <v>0</v>
      </c>
      <c r="S48" s="328" cm="1">
        <f t="array" ref="S48">INDEX('생산수량Back-Data'!$B$5:$AAA$10041,
       MATCH($B47,'생산수량Back-Data'!$B$5:$B$10041,0)+1,
       MATCH(S$3,'생산수량Back-Data'!$B$3:$AAA$3,0))</f>
        <v>0</v>
      </c>
      <c r="T48" s="328" cm="1">
        <f t="array" ref="T48">INDEX('생산수량Back-Data'!$B$5:$AAA$10041,
       MATCH($B47,'생산수량Back-Data'!$B$5:$B$10041,0)+1,
       MATCH(T$3,'생산수량Back-Data'!$B$3:$AAA$3,0))</f>
        <v>0</v>
      </c>
      <c r="U48" s="328" cm="1">
        <f t="array" ref="U48">INDEX('생산수량Back-Data'!$B$5:$AAA$10041,
       MATCH($B47,'생산수량Back-Data'!$B$5:$B$10041,0)+1,
       MATCH(U$3,'생산수량Back-Data'!$B$3:$AAA$3,0))</f>
        <v>0</v>
      </c>
      <c r="V48" s="328" cm="1">
        <f t="array" ref="V48">INDEX('생산수량Back-Data'!$B$5:$AAA$10041,
       MATCH($B47,'생산수량Back-Data'!$B$5:$B$10041,0)+1,
       MATCH(V$3,'생산수량Back-Data'!$B$3:$AAA$3,0))</f>
        <v>0</v>
      </c>
      <c r="W48" s="328" cm="1">
        <f t="array" ref="W48">INDEX('생산수량Back-Data'!$B$5:$AAA$10041,
       MATCH($B47,'생산수량Back-Data'!$B$5:$B$10041,0)+1,
       MATCH(W$3,'생산수량Back-Data'!$B$3:$AAA$3,0))</f>
        <v>0</v>
      </c>
      <c r="X48" s="328" cm="1">
        <f t="array" ref="X48">INDEX('생산수량Back-Data'!$B$5:$AAA$10041,
       MATCH($B47,'생산수량Back-Data'!$B$5:$B$10041,0)+1,
       MATCH(X$3,'생산수량Back-Data'!$B$3:$AAA$3,0))</f>
        <v>0</v>
      </c>
      <c r="Y48" s="328" cm="1">
        <f t="array" ref="Y48">INDEX('생산수량Back-Data'!$B$5:$AAA$10041,
       MATCH($B47,'생산수량Back-Data'!$B$5:$B$10041,0)+1,
       MATCH(Y$3,'생산수량Back-Data'!$B$3:$AAA$3,0))</f>
        <v>0</v>
      </c>
      <c r="Z48" s="328" cm="1">
        <f t="array" ref="Z48">INDEX('생산수량Back-Data'!$B$5:$AAA$10041,
       MATCH($B47,'생산수량Back-Data'!$B$5:$B$10041,0)+1,
       MATCH(Z$3,'생산수량Back-Data'!$B$3:$AAA$3,0))</f>
        <v>0</v>
      </c>
      <c r="AA48" s="328" cm="1">
        <f t="array" ref="AA48">INDEX('생산수량Back-Data'!$B$5:$AAA$10041,
       MATCH($B47,'생산수량Back-Data'!$B$5:$B$10041,0)+1,
       MATCH(AA$3,'생산수량Back-Data'!$B$3:$AAA$3,0))</f>
        <v>0</v>
      </c>
      <c r="AB48" s="328" cm="1">
        <f t="array" ref="AB48">INDEX('생산수량Back-Data'!$B$5:$AAA$10041,
       MATCH($B47,'생산수량Back-Data'!$B$5:$B$10041,0)+1,
       MATCH(AB$3,'생산수량Back-Data'!$B$3:$AAA$3,0))</f>
        <v>0</v>
      </c>
      <c r="AC48" s="328" cm="1">
        <f t="array" ref="AC48">INDEX('생산수량Back-Data'!$B$5:$AAA$10041,
       MATCH($B47,'생산수량Back-Data'!$B$5:$B$10041,0)+1,
       MATCH(AC$3,'생산수량Back-Data'!$B$3:$AAA$3,0))</f>
        <v>0</v>
      </c>
      <c r="AD48" s="328" cm="1">
        <f t="array" ref="AD48">INDEX('생산수량Back-Data'!$B$5:$AAA$10041,
       MATCH($B47,'생산수량Back-Data'!$B$5:$B$10041,0)+1,
       MATCH(AD$3,'생산수량Back-Data'!$B$3:$AAA$3,0))</f>
        <v>0</v>
      </c>
      <c r="AE48" s="328" cm="1">
        <f t="array" ref="AE48">INDEX('생산수량Back-Data'!$B$5:$AAA$10041,
       MATCH($B47,'생산수량Back-Data'!$B$5:$B$10041,0)+1,
       MATCH(AE$3,'생산수량Back-Data'!$B$3:$AAA$3,0))</f>
        <v>0</v>
      </c>
      <c r="AF48" s="328" cm="1">
        <f t="array" ref="AF48">INDEX('생산수량Back-Data'!$B$5:$AAA$10041,
       MATCH($B47,'생산수량Back-Data'!$B$5:$B$10041,0)+1,
       MATCH(AF$3,'생산수량Back-Data'!$B$3:$AAA$3,0))</f>
        <v>0</v>
      </c>
      <c r="AG48" s="328" cm="1">
        <f t="array" ref="AG48">INDEX('생산수량Back-Data'!$B$5:$AAA$10041,
       MATCH($B47,'생산수량Back-Data'!$B$5:$B$10041,0)+1,
       MATCH(AG$3,'생산수량Back-Data'!$B$3:$AAA$3,0))</f>
        <v>0</v>
      </c>
      <c r="AH48" s="328" cm="1">
        <f t="array" ref="AH48">INDEX('생산수량Back-Data'!$B$5:$AAA$10041,
       MATCH($B47,'생산수량Back-Data'!$B$5:$B$10041,0)+1,
       MATCH(AH$3,'생산수량Back-Data'!$B$3:$AAA$3,0))</f>
        <v>0</v>
      </c>
      <c r="AI48" s="328" cm="1">
        <f t="array" ref="AI48">INDEX('생산수량Back-Data'!$B$5:$AAA$10041,
       MATCH($B47,'생산수량Back-Data'!$B$5:$B$10041,0)+1,
       MATCH(AI$3,'생산수량Back-Data'!$B$3:$AAA$3,0))</f>
        <v>0</v>
      </c>
      <c r="AJ48" s="328" cm="1">
        <f t="array" ref="AJ48">INDEX('생산수량Back-Data'!$B$5:$AAA$10041,
       MATCH($B47,'생산수량Back-Data'!$B$5:$B$10041,0)+1,
       MATCH(AJ$3,'생산수량Back-Data'!$B$3:$AAA$3,0))</f>
        <v>0</v>
      </c>
      <c r="AK48" s="328" cm="1">
        <f t="array" ref="AK48">INDEX('생산수량Back-Data'!$B$5:$AAA$10041,
       MATCH($B47,'생산수량Back-Data'!$B$5:$B$10041,0)+1,
       MATCH(AK$3,'생산수량Back-Data'!$B$3:$AAA$3,0))</f>
        <v>0</v>
      </c>
      <c r="AL48" s="328" cm="1">
        <f t="array" ref="AL48">INDEX('생산수량Back-Data'!$B$5:$AAA$10041,
       MATCH($B47,'생산수량Back-Data'!$B$5:$B$10041,0)+1,
       MATCH(AL$3,'생산수량Back-Data'!$B$3:$AAA$3,0))</f>
        <v>0</v>
      </c>
      <c r="AM48" s="328" cm="1">
        <f t="array" ref="AM48">INDEX('생산수량Back-Data'!$B$5:$AAA$10041,
       MATCH($B47,'생산수량Back-Data'!$B$5:$B$10041,0)+1,
       MATCH(AM$3,'생산수량Back-Data'!$B$3:$AAA$3,0))</f>
        <v>0</v>
      </c>
      <c r="AN48" s="328" cm="1">
        <f t="array" ref="AN48">INDEX('생산수량Back-Data'!$B$5:$AAA$10041,
       MATCH($B47,'생산수량Back-Data'!$B$5:$B$10041,0)+1,
       MATCH(AN$3,'생산수량Back-Data'!$B$3:$AAA$3,0))</f>
        <v>0</v>
      </c>
      <c r="AO48" s="328" cm="1">
        <f t="array" ref="AO48">INDEX('생산수량Back-Data'!$B$5:$AAA$10041,
       MATCH($B47,'생산수량Back-Data'!$B$5:$B$10041,0)+1,
       MATCH(AO$3,'생산수량Back-Data'!$B$3:$AAA$3,0))</f>
        <v>0</v>
      </c>
      <c r="AP48" s="328" cm="1">
        <f t="array" ref="AP48">INDEX('생산수량Back-Data'!$B$5:$AAA$10041,
       MATCH($B47,'생산수량Back-Data'!$B$5:$B$10041,0)+1,
       MATCH(AP$3,'생산수량Back-Data'!$B$3:$AAA$3,0))</f>
        <v>0</v>
      </c>
      <c r="AQ48" s="328" cm="1">
        <f t="array" ref="AQ48">INDEX('생산수량Back-Data'!$B$5:$AAA$10041,
       MATCH($B47,'생산수량Back-Data'!$B$5:$B$10041,0)+1,
       MATCH(AQ$3,'생산수량Back-Data'!$B$3:$AAA$3,0))</f>
        <v>0</v>
      </c>
      <c r="AR48" s="328" cm="1">
        <f t="array" ref="AR48">INDEX('생산수량Back-Data'!$B$5:$AAA$10041,
       MATCH($B47,'생산수량Back-Data'!$B$5:$B$10041,0)+1,
       MATCH(AR$3,'생산수량Back-Data'!$B$3:$AAA$3,0))</f>
        <v>0</v>
      </c>
      <c r="AS48" s="328" cm="1">
        <f t="array" ref="AS48">INDEX('생산수량Back-Data'!$B$5:$AAA$10041,
       MATCH($B47,'생산수량Back-Data'!$B$5:$B$10041,0)+1,
       MATCH(AS$3,'생산수량Back-Data'!$B$3:$AAA$3,0))</f>
        <v>0</v>
      </c>
      <c r="AT48" s="329" cm="1">
        <f t="array" ref="AT48">INDEX('생산수량Back-Data'!$B$5:$AAA$10041,
       MATCH($B47,'생산수량Back-Data'!$B$5:$B$10041,0)+1,
       MATCH(AT$3,'생산수량Back-Data'!$B$3:$AAA$3,0))</f>
        <v>0</v>
      </c>
    </row>
    <row r="49" spans="2:46" ht="32.1" customHeight="1" x14ac:dyDescent="0.3">
      <c r="B49" s="444" t="s">
        <v>53</v>
      </c>
      <c r="C49" s="444" t="s">
        <v>185</v>
      </c>
      <c r="D49" s="444" t="s">
        <v>193</v>
      </c>
      <c r="E49" s="438">
        <f>ABS(SUMIFS('Fixture 총 발주수량'!Z:Z,'Fixture 총 발주수량'!B:B,'후공정(샌딩)생산계획'!B49,'Fixture 총 발주수량'!Z:Z,"&lt;0"))</f>
        <v>2937</v>
      </c>
      <c r="F49" s="431">
        <f>G49-E49</f>
        <v>-2937</v>
      </c>
      <c r="G49" s="437">
        <f>SUMIF(P49:AT49, "&gt;0")</f>
        <v>0</v>
      </c>
      <c r="H49" s="437">
        <f>SUMIF(P50:AT50, "&gt;0")</f>
        <v>0</v>
      </c>
      <c r="I49" s="442">
        <f>IFERROR(H49/G49,)</f>
        <v>0</v>
      </c>
      <c r="J49" s="437">
        <f ca="1">IFERROR(SUMIF('Fixture 총 발주수량'!B:AG,'후공정(샌딩)생산계획'!B49,'Fixture 총 발주수량'!AC:AC),)</f>
        <v>0</v>
      </c>
      <c r="K49" s="458">
        <f>ROUNDUP(E49/2000,)</f>
        <v>2</v>
      </c>
      <c r="L49" s="458">
        <f>L47+K49</f>
        <v>25</v>
      </c>
      <c r="M49" s="458">
        <f>L49+K49</f>
        <v>27</v>
      </c>
      <c r="N49" s="438">
        <f>N47+K49</f>
        <v>25</v>
      </c>
      <c r="O49" s="306" t="s">
        <v>264</v>
      </c>
      <c r="P49" s="311"/>
      <c r="Q49" s="312"/>
      <c r="R49" s="312"/>
      <c r="S49" s="312"/>
      <c r="T49" s="312"/>
      <c r="U49" s="312"/>
      <c r="V49" s="312"/>
      <c r="W49" s="312"/>
      <c r="X49" s="312"/>
      <c r="Y49" s="312"/>
      <c r="Z49" s="312"/>
      <c r="AA49" s="312"/>
      <c r="AB49" s="312"/>
      <c r="AC49" s="312"/>
      <c r="AD49" s="312"/>
      <c r="AE49" s="312"/>
      <c r="AF49" s="312"/>
      <c r="AG49" s="312"/>
      <c r="AH49" s="312"/>
      <c r="AI49" s="312"/>
      <c r="AJ49" s="312"/>
      <c r="AK49" s="312"/>
      <c r="AL49" s="312"/>
      <c r="AM49" s="312"/>
      <c r="AN49" s="312"/>
      <c r="AO49" s="312"/>
      <c r="AP49" s="312"/>
      <c r="AQ49" s="312"/>
      <c r="AR49" s="312"/>
      <c r="AS49" s="312"/>
      <c r="AT49" s="313"/>
    </row>
    <row r="50" spans="2:46" ht="32.1" customHeight="1" x14ac:dyDescent="0.3">
      <c r="B50" s="445"/>
      <c r="C50" s="445"/>
      <c r="D50" s="445"/>
      <c r="E50" s="439"/>
      <c r="F50" s="459"/>
      <c r="G50" s="436"/>
      <c r="H50" s="436"/>
      <c r="I50" s="443"/>
      <c r="J50" s="436"/>
      <c r="K50" s="458"/>
      <c r="L50" s="458"/>
      <c r="M50" s="458"/>
      <c r="N50" s="439"/>
      <c r="O50" s="306" t="s">
        <v>266</v>
      </c>
      <c r="P50" s="310" cm="1">
        <f t="array" ref="P50">INDEX('생산수량Back-Data'!$B$5:$AAA$10041,
       MATCH($B49,'생산수량Back-Data'!$B$5:$B$10041,0)+1,
       MATCH(P$3,'생산수량Back-Data'!$B$3:$AAA$3,0))</f>
        <v>0</v>
      </c>
      <c r="Q50" s="310" cm="1">
        <f t="array" ref="Q50">INDEX('생산수량Back-Data'!$B$5:$AAA$10041,
       MATCH($B49,'생산수량Back-Data'!$B$5:$B$10041,0)+1,
       MATCH(Q$3,'생산수량Back-Data'!$B$3:$AAA$3,0))</f>
        <v>0</v>
      </c>
      <c r="R50" s="310" cm="1">
        <f t="array" ref="R50">INDEX('생산수량Back-Data'!$B$5:$AAA$10041,
       MATCH($B49,'생산수량Back-Data'!$B$5:$B$10041,0)+1,
       MATCH(R$3,'생산수량Back-Data'!$B$3:$AAA$3,0))</f>
        <v>0</v>
      </c>
      <c r="S50" s="310" cm="1">
        <f t="array" ref="S50">INDEX('생산수량Back-Data'!$B$5:$AAA$10041,
       MATCH($B49,'생산수량Back-Data'!$B$5:$B$10041,0)+1,
       MATCH(S$3,'생산수량Back-Data'!$B$3:$AAA$3,0))</f>
        <v>0</v>
      </c>
      <c r="T50" s="310" cm="1">
        <f t="array" ref="T50">INDEX('생산수량Back-Data'!$B$5:$AAA$10041,
       MATCH($B49,'생산수량Back-Data'!$B$5:$B$10041,0)+1,
       MATCH(T$3,'생산수량Back-Data'!$B$3:$AAA$3,0))</f>
        <v>0</v>
      </c>
      <c r="U50" s="310" cm="1">
        <f t="array" ref="U50">INDEX('생산수량Back-Data'!$B$5:$AAA$10041,
       MATCH($B49,'생산수량Back-Data'!$B$5:$B$10041,0)+1,
       MATCH(U$3,'생산수량Back-Data'!$B$3:$AAA$3,0))</f>
        <v>0</v>
      </c>
      <c r="V50" s="310" cm="1">
        <f t="array" ref="V50">INDEX('생산수량Back-Data'!$B$5:$AAA$10041,
       MATCH($B49,'생산수량Back-Data'!$B$5:$B$10041,0)+1,
       MATCH(V$3,'생산수량Back-Data'!$B$3:$AAA$3,0))</f>
        <v>0</v>
      </c>
      <c r="W50" s="310" cm="1">
        <f t="array" ref="W50">INDEX('생산수량Back-Data'!$B$5:$AAA$10041,
       MATCH($B49,'생산수량Back-Data'!$B$5:$B$10041,0)+1,
       MATCH(W$3,'생산수량Back-Data'!$B$3:$AAA$3,0))</f>
        <v>0</v>
      </c>
      <c r="X50" s="310" cm="1">
        <f t="array" ref="X50">INDEX('생산수량Back-Data'!$B$5:$AAA$10041,
       MATCH($B49,'생산수량Back-Data'!$B$5:$B$10041,0)+1,
       MATCH(X$3,'생산수량Back-Data'!$B$3:$AAA$3,0))</f>
        <v>0</v>
      </c>
      <c r="Y50" s="310" cm="1">
        <f t="array" ref="Y50">INDEX('생산수량Back-Data'!$B$5:$AAA$10041,
       MATCH($B49,'생산수량Back-Data'!$B$5:$B$10041,0)+1,
       MATCH(Y$3,'생산수량Back-Data'!$B$3:$AAA$3,0))</f>
        <v>0</v>
      </c>
      <c r="Z50" s="310" cm="1">
        <f t="array" ref="Z50">INDEX('생산수량Back-Data'!$B$5:$AAA$10041,
       MATCH($B49,'생산수량Back-Data'!$B$5:$B$10041,0)+1,
       MATCH(Z$3,'생산수량Back-Data'!$B$3:$AAA$3,0))</f>
        <v>0</v>
      </c>
      <c r="AA50" s="310" cm="1">
        <f t="array" ref="AA50">INDEX('생산수량Back-Data'!$B$5:$AAA$10041,
       MATCH($B49,'생산수량Back-Data'!$B$5:$B$10041,0)+1,
       MATCH(AA$3,'생산수량Back-Data'!$B$3:$AAA$3,0))</f>
        <v>0</v>
      </c>
      <c r="AB50" s="310" cm="1">
        <f t="array" ref="AB50">INDEX('생산수량Back-Data'!$B$5:$AAA$10041,
       MATCH($B49,'생산수량Back-Data'!$B$5:$B$10041,0)+1,
       MATCH(AB$3,'생산수량Back-Data'!$B$3:$AAA$3,0))</f>
        <v>0</v>
      </c>
      <c r="AC50" s="310" cm="1">
        <f t="array" ref="AC50">INDEX('생산수량Back-Data'!$B$5:$AAA$10041,
       MATCH($B49,'생산수량Back-Data'!$B$5:$B$10041,0)+1,
       MATCH(AC$3,'생산수량Back-Data'!$B$3:$AAA$3,0))</f>
        <v>0</v>
      </c>
      <c r="AD50" s="310" cm="1">
        <f t="array" ref="AD50">INDEX('생산수량Back-Data'!$B$5:$AAA$10041,
       MATCH($B49,'생산수량Back-Data'!$B$5:$B$10041,0)+1,
       MATCH(AD$3,'생산수량Back-Data'!$B$3:$AAA$3,0))</f>
        <v>0</v>
      </c>
      <c r="AE50" s="310" cm="1">
        <f t="array" ref="AE50">INDEX('생산수량Back-Data'!$B$5:$AAA$10041,
       MATCH($B49,'생산수량Back-Data'!$B$5:$B$10041,0)+1,
       MATCH(AE$3,'생산수량Back-Data'!$B$3:$AAA$3,0))</f>
        <v>0</v>
      </c>
      <c r="AF50" s="310" cm="1">
        <f t="array" ref="AF50">INDEX('생산수량Back-Data'!$B$5:$AAA$10041,
       MATCH($B49,'생산수량Back-Data'!$B$5:$B$10041,0)+1,
       MATCH(AF$3,'생산수량Back-Data'!$B$3:$AAA$3,0))</f>
        <v>0</v>
      </c>
      <c r="AG50" s="310" cm="1">
        <f t="array" ref="AG50">INDEX('생산수량Back-Data'!$B$5:$AAA$10041,
       MATCH($B49,'생산수량Back-Data'!$B$5:$B$10041,0)+1,
       MATCH(AG$3,'생산수량Back-Data'!$B$3:$AAA$3,0))</f>
        <v>0</v>
      </c>
      <c r="AH50" s="310" cm="1">
        <f t="array" ref="AH50">INDEX('생산수량Back-Data'!$B$5:$AAA$10041,
       MATCH($B49,'생산수량Back-Data'!$B$5:$B$10041,0)+1,
       MATCH(AH$3,'생산수량Back-Data'!$B$3:$AAA$3,0))</f>
        <v>0</v>
      </c>
      <c r="AI50" s="310" cm="1">
        <f t="array" ref="AI50">INDEX('생산수량Back-Data'!$B$5:$AAA$10041,
       MATCH($B49,'생산수량Back-Data'!$B$5:$B$10041,0)+1,
       MATCH(AI$3,'생산수량Back-Data'!$B$3:$AAA$3,0))</f>
        <v>0</v>
      </c>
      <c r="AJ50" s="310" cm="1">
        <f t="array" ref="AJ50">INDEX('생산수량Back-Data'!$B$5:$AAA$10041,
       MATCH($B49,'생산수량Back-Data'!$B$5:$B$10041,0)+1,
       MATCH(AJ$3,'생산수량Back-Data'!$B$3:$AAA$3,0))</f>
        <v>0</v>
      </c>
      <c r="AK50" s="310" cm="1">
        <f t="array" ref="AK50">INDEX('생산수량Back-Data'!$B$5:$AAA$10041,
       MATCH($B49,'생산수량Back-Data'!$B$5:$B$10041,0)+1,
       MATCH(AK$3,'생산수량Back-Data'!$B$3:$AAA$3,0))</f>
        <v>0</v>
      </c>
      <c r="AL50" s="310" cm="1">
        <f t="array" ref="AL50">INDEX('생산수량Back-Data'!$B$5:$AAA$10041,
       MATCH($B49,'생산수량Back-Data'!$B$5:$B$10041,0)+1,
       MATCH(AL$3,'생산수량Back-Data'!$B$3:$AAA$3,0))</f>
        <v>0</v>
      </c>
      <c r="AM50" s="310" cm="1">
        <f t="array" ref="AM50">INDEX('생산수량Back-Data'!$B$5:$AAA$10041,
       MATCH($B49,'생산수량Back-Data'!$B$5:$B$10041,0)+1,
       MATCH(AM$3,'생산수량Back-Data'!$B$3:$AAA$3,0))</f>
        <v>0</v>
      </c>
      <c r="AN50" s="310" cm="1">
        <f t="array" ref="AN50">INDEX('생산수량Back-Data'!$B$5:$AAA$10041,
       MATCH($B49,'생산수량Back-Data'!$B$5:$B$10041,0)+1,
       MATCH(AN$3,'생산수량Back-Data'!$B$3:$AAA$3,0))</f>
        <v>0</v>
      </c>
      <c r="AO50" s="310" cm="1">
        <f t="array" ref="AO50">INDEX('생산수량Back-Data'!$B$5:$AAA$10041,
       MATCH($B49,'생산수량Back-Data'!$B$5:$B$10041,0)+1,
       MATCH(AO$3,'생산수량Back-Data'!$B$3:$AAA$3,0))</f>
        <v>0</v>
      </c>
      <c r="AP50" s="310" cm="1">
        <f t="array" ref="AP50">INDEX('생산수량Back-Data'!$B$5:$AAA$10041,
       MATCH($B49,'생산수량Back-Data'!$B$5:$B$10041,0)+1,
       MATCH(AP$3,'생산수량Back-Data'!$B$3:$AAA$3,0))</f>
        <v>0</v>
      </c>
      <c r="AQ50" s="310" cm="1">
        <f t="array" ref="AQ50">INDEX('생산수량Back-Data'!$B$5:$AAA$10041,
       MATCH($B49,'생산수량Back-Data'!$B$5:$B$10041,0)+1,
       MATCH(AQ$3,'생산수량Back-Data'!$B$3:$AAA$3,0))</f>
        <v>0</v>
      </c>
      <c r="AR50" s="310" cm="1">
        <f t="array" ref="AR50">INDEX('생산수량Back-Data'!$B$5:$AAA$10041,
       MATCH($B49,'생산수량Back-Data'!$B$5:$B$10041,0)+1,
       MATCH(AR$3,'생산수량Back-Data'!$B$3:$AAA$3,0))</f>
        <v>0</v>
      </c>
      <c r="AS50" s="310" cm="1">
        <f t="array" ref="AS50">INDEX('생산수량Back-Data'!$B$5:$AAA$10041,
       MATCH($B49,'생산수량Back-Data'!$B$5:$B$10041,0)+1,
       MATCH(AS$3,'생산수량Back-Data'!$B$3:$AAA$3,0))</f>
        <v>0</v>
      </c>
      <c r="AT50" s="324" cm="1">
        <f t="array" ref="AT50">INDEX('생산수량Back-Data'!$B$5:$AAA$10041,
       MATCH($B49,'생산수량Back-Data'!$B$5:$B$10041,0)+1,
       MATCH(AT$3,'생산수량Back-Data'!$B$3:$AAA$3,0))</f>
        <v>0</v>
      </c>
    </row>
    <row r="51" spans="2:46" ht="32.1" customHeight="1" x14ac:dyDescent="0.3">
      <c r="B51" s="444" t="s">
        <v>60</v>
      </c>
      <c r="C51" s="444" t="s">
        <v>185</v>
      </c>
      <c r="D51" s="444" t="s">
        <v>200</v>
      </c>
      <c r="E51" s="438">
        <f>ABS(SUMIFS('Fixture 총 발주수량'!Z:Z,'Fixture 총 발주수량'!B:B,'후공정(샌딩)생산계획'!B51,'Fixture 총 발주수량'!Z:Z,"&lt;0"))</f>
        <v>11831</v>
      </c>
      <c r="F51" s="431">
        <f>G51-E51</f>
        <v>-11831</v>
      </c>
      <c r="G51" s="437">
        <f>SUMIF(P51:AT51, "&gt;0")</f>
        <v>0</v>
      </c>
      <c r="H51" s="437">
        <f>SUMIF(P52:AT52, "&gt;0")</f>
        <v>1642</v>
      </c>
      <c r="I51" s="442">
        <f>IFERROR(H51/G51,)</f>
        <v>0</v>
      </c>
      <c r="J51" s="437">
        <f ca="1">IFERROR(SUMIF('Fixture 총 발주수량'!B:AG,'후공정(샌딩)생산계획'!B51,'Fixture 총 발주수량'!AC:AC),)</f>
        <v>2694</v>
      </c>
      <c r="K51" s="458">
        <f>ROUNDUP(E51/2000,)</f>
        <v>6</v>
      </c>
      <c r="L51" s="458">
        <f>L49+K51</f>
        <v>31</v>
      </c>
      <c r="M51" s="458">
        <f>L51+K51</f>
        <v>37</v>
      </c>
      <c r="N51" s="438">
        <f>N49+K51</f>
        <v>31</v>
      </c>
      <c r="O51" s="306" t="s">
        <v>264</v>
      </c>
      <c r="P51" s="311"/>
      <c r="Q51" s="312"/>
      <c r="R51" s="312"/>
      <c r="S51" s="312"/>
      <c r="T51" s="312"/>
      <c r="U51" s="312"/>
      <c r="V51" s="312"/>
      <c r="W51" s="312"/>
      <c r="X51" s="312"/>
      <c r="Y51" s="312"/>
      <c r="Z51" s="312"/>
      <c r="AA51" s="312"/>
      <c r="AB51" s="312"/>
      <c r="AC51" s="312"/>
      <c r="AD51" s="312"/>
      <c r="AE51" s="312"/>
      <c r="AF51" s="312"/>
      <c r="AG51" s="312"/>
      <c r="AH51" s="312"/>
      <c r="AI51" s="312"/>
      <c r="AJ51" s="312"/>
      <c r="AK51" s="312"/>
      <c r="AL51" s="312"/>
      <c r="AM51" s="312"/>
      <c r="AN51" s="312"/>
      <c r="AO51" s="312"/>
      <c r="AP51" s="312"/>
      <c r="AQ51" s="312"/>
      <c r="AR51" s="312"/>
      <c r="AS51" s="312"/>
      <c r="AT51" s="313"/>
    </row>
    <row r="52" spans="2:46" ht="32.1" customHeight="1" x14ac:dyDescent="0.3">
      <c r="B52" s="445"/>
      <c r="C52" s="445"/>
      <c r="D52" s="445"/>
      <c r="E52" s="439"/>
      <c r="F52" s="459"/>
      <c r="G52" s="436"/>
      <c r="H52" s="436"/>
      <c r="I52" s="443"/>
      <c r="J52" s="436"/>
      <c r="K52" s="458"/>
      <c r="L52" s="458"/>
      <c r="M52" s="458"/>
      <c r="N52" s="439"/>
      <c r="O52" s="306" t="s">
        <v>266</v>
      </c>
      <c r="P52" s="310" cm="1">
        <f t="array" ref="P52">INDEX('생산수량Back-Data'!$B$5:$AAA$10041,
       MATCH($B51,'생산수량Back-Data'!$B$5:$B$10041,0)+1,
       MATCH(P$3,'생산수량Back-Data'!$B$3:$AAA$3,0))</f>
        <v>0</v>
      </c>
      <c r="Q52" s="310" cm="1">
        <f t="array" ref="Q52">INDEX('생산수량Back-Data'!$B$5:$AAA$10041,
       MATCH($B51,'생산수량Back-Data'!$B$5:$B$10041,0)+1,
       MATCH(Q$3,'생산수량Back-Data'!$B$3:$AAA$3,0))</f>
        <v>0</v>
      </c>
      <c r="R52" s="310" cm="1">
        <f t="array" ref="R52">INDEX('생산수량Back-Data'!$B$5:$AAA$10041,
       MATCH($B51,'생산수량Back-Data'!$B$5:$B$10041,0)+1,
       MATCH(R$3,'생산수량Back-Data'!$B$3:$AAA$3,0))</f>
        <v>0</v>
      </c>
      <c r="S52" s="310" cm="1">
        <f t="array" ref="S52">INDEX('생산수량Back-Data'!$B$5:$AAA$10041,
       MATCH($B51,'생산수량Back-Data'!$B$5:$B$10041,0)+1,
       MATCH(S$3,'생산수량Back-Data'!$B$3:$AAA$3,0))</f>
        <v>0</v>
      </c>
      <c r="T52" s="310" cm="1">
        <f t="array" ref="T52">INDEX('생산수량Back-Data'!$B$5:$AAA$10041,
       MATCH($B51,'생산수량Back-Data'!$B$5:$B$10041,0)+1,
       MATCH(T$3,'생산수량Back-Data'!$B$3:$AAA$3,0))</f>
        <v>0</v>
      </c>
      <c r="U52" s="310" cm="1">
        <f t="array" ref="U52">INDEX('생산수량Back-Data'!$B$5:$AAA$10041,
       MATCH($B51,'생산수량Back-Data'!$B$5:$B$10041,0)+1,
       MATCH(U$3,'생산수량Back-Data'!$B$3:$AAA$3,0))</f>
        <v>424</v>
      </c>
      <c r="V52" s="310" cm="1">
        <f t="array" ref="V52">INDEX('생산수량Back-Data'!$B$5:$AAA$10041,
       MATCH($B51,'생산수량Back-Data'!$B$5:$B$10041,0)+1,
       MATCH(V$3,'생산수량Back-Data'!$B$3:$AAA$3,0))</f>
        <v>786</v>
      </c>
      <c r="W52" s="310" cm="1">
        <f t="array" ref="W52">INDEX('생산수량Back-Data'!$B$5:$AAA$10041,
       MATCH($B51,'생산수량Back-Data'!$B$5:$B$10041,0)+1,
       MATCH(W$3,'생산수량Back-Data'!$B$3:$AAA$3,0))</f>
        <v>0</v>
      </c>
      <c r="X52" s="310" cm="1">
        <f t="array" ref="X52">INDEX('생산수량Back-Data'!$B$5:$AAA$10041,
       MATCH($B51,'생산수량Back-Data'!$B$5:$B$10041,0)+1,
       MATCH(X$3,'생산수량Back-Data'!$B$3:$AAA$3,0))</f>
        <v>0</v>
      </c>
      <c r="Y52" s="310" cm="1">
        <f t="array" ref="Y52">INDEX('생산수량Back-Data'!$B$5:$AAA$10041,
       MATCH($B51,'생산수량Back-Data'!$B$5:$B$10041,0)+1,
       MATCH(Y$3,'생산수량Back-Data'!$B$3:$AAA$3,0))</f>
        <v>0</v>
      </c>
      <c r="Z52" s="310" cm="1">
        <f t="array" ref="Z52">INDEX('생산수량Back-Data'!$B$5:$AAA$10041,
       MATCH($B51,'생산수량Back-Data'!$B$5:$B$10041,0)+1,
       MATCH(Z$3,'생산수량Back-Data'!$B$3:$AAA$3,0))</f>
        <v>120</v>
      </c>
      <c r="AA52" s="310" cm="1">
        <f t="array" ref="AA52">INDEX('생산수량Back-Data'!$B$5:$AAA$10041,
       MATCH($B51,'생산수량Back-Data'!$B$5:$B$10041,0)+1,
       MATCH(AA$3,'생산수량Back-Data'!$B$3:$AAA$3,0))</f>
        <v>312</v>
      </c>
      <c r="AB52" s="310" cm="1">
        <f t="array" ref="AB52">INDEX('생산수량Back-Data'!$B$5:$AAA$10041,
       MATCH($B51,'생산수량Back-Data'!$B$5:$B$10041,0)+1,
       MATCH(AB$3,'생산수량Back-Data'!$B$3:$AAA$3,0))</f>
        <v>0</v>
      </c>
      <c r="AC52" s="310" cm="1">
        <f t="array" ref="AC52">INDEX('생산수량Back-Data'!$B$5:$AAA$10041,
       MATCH($B51,'생산수량Back-Data'!$B$5:$B$10041,0)+1,
       MATCH(AC$3,'생산수량Back-Data'!$B$3:$AAA$3,0))</f>
        <v>0</v>
      </c>
      <c r="AD52" s="310" cm="1">
        <f t="array" ref="AD52">INDEX('생산수량Back-Data'!$B$5:$AAA$10041,
       MATCH($B51,'생산수량Back-Data'!$B$5:$B$10041,0)+1,
       MATCH(AD$3,'생산수량Back-Data'!$B$3:$AAA$3,0))</f>
        <v>0</v>
      </c>
      <c r="AE52" s="310" cm="1">
        <f t="array" ref="AE52">INDEX('생산수량Back-Data'!$B$5:$AAA$10041,
       MATCH($B51,'생산수량Back-Data'!$B$5:$B$10041,0)+1,
       MATCH(AE$3,'생산수량Back-Data'!$B$3:$AAA$3,0))</f>
        <v>0</v>
      </c>
      <c r="AF52" s="310" cm="1">
        <f t="array" ref="AF52">INDEX('생산수량Back-Data'!$B$5:$AAA$10041,
       MATCH($B51,'생산수량Back-Data'!$B$5:$B$10041,0)+1,
       MATCH(AF$3,'생산수량Back-Data'!$B$3:$AAA$3,0))</f>
        <v>0</v>
      </c>
      <c r="AG52" s="310" cm="1">
        <f t="array" ref="AG52">INDEX('생산수량Back-Data'!$B$5:$AAA$10041,
       MATCH($B51,'생산수량Back-Data'!$B$5:$B$10041,0)+1,
       MATCH(AG$3,'생산수량Back-Data'!$B$3:$AAA$3,0))</f>
        <v>0</v>
      </c>
      <c r="AH52" s="310" cm="1">
        <f t="array" ref="AH52">INDEX('생산수량Back-Data'!$B$5:$AAA$10041,
       MATCH($B51,'생산수량Back-Data'!$B$5:$B$10041,0)+1,
       MATCH(AH$3,'생산수량Back-Data'!$B$3:$AAA$3,0))</f>
        <v>0</v>
      </c>
      <c r="AI52" s="310" cm="1">
        <f t="array" ref="AI52">INDEX('생산수량Back-Data'!$B$5:$AAA$10041,
       MATCH($B51,'생산수량Back-Data'!$B$5:$B$10041,0)+1,
       MATCH(AI$3,'생산수량Back-Data'!$B$3:$AAA$3,0))</f>
        <v>0</v>
      </c>
      <c r="AJ52" s="310" cm="1">
        <f t="array" ref="AJ52">INDEX('생산수량Back-Data'!$B$5:$AAA$10041,
       MATCH($B51,'생산수량Back-Data'!$B$5:$B$10041,0)+1,
       MATCH(AJ$3,'생산수량Back-Data'!$B$3:$AAA$3,0))</f>
        <v>0</v>
      </c>
      <c r="AK52" s="310" cm="1">
        <f t="array" ref="AK52">INDEX('생산수량Back-Data'!$B$5:$AAA$10041,
       MATCH($B51,'생산수량Back-Data'!$B$5:$B$10041,0)+1,
       MATCH(AK$3,'생산수량Back-Data'!$B$3:$AAA$3,0))</f>
        <v>0</v>
      </c>
      <c r="AL52" s="310" cm="1">
        <f t="array" ref="AL52">INDEX('생산수량Back-Data'!$B$5:$AAA$10041,
       MATCH($B51,'생산수량Back-Data'!$B$5:$B$10041,0)+1,
       MATCH(AL$3,'생산수량Back-Data'!$B$3:$AAA$3,0))</f>
        <v>0</v>
      </c>
      <c r="AM52" s="310" cm="1">
        <f t="array" ref="AM52">INDEX('생산수량Back-Data'!$B$5:$AAA$10041,
       MATCH($B51,'생산수량Back-Data'!$B$5:$B$10041,0)+1,
       MATCH(AM$3,'생산수량Back-Data'!$B$3:$AAA$3,0))</f>
        <v>0</v>
      </c>
      <c r="AN52" s="310" cm="1">
        <f t="array" ref="AN52">INDEX('생산수량Back-Data'!$B$5:$AAA$10041,
       MATCH($B51,'생산수량Back-Data'!$B$5:$B$10041,0)+1,
       MATCH(AN$3,'생산수량Back-Data'!$B$3:$AAA$3,0))</f>
        <v>0</v>
      </c>
      <c r="AO52" s="310" cm="1">
        <f t="array" ref="AO52">INDEX('생산수량Back-Data'!$B$5:$AAA$10041,
       MATCH($B51,'생산수량Back-Data'!$B$5:$B$10041,0)+1,
       MATCH(AO$3,'생산수량Back-Data'!$B$3:$AAA$3,0))</f>
        <v>0</v>
      </c>
      <c r="AP52" s="310" cm="1">
        <f t="array" ref="AP52">INDEX('생산수량Back-Data'!$B$5:$AAA$10041,
       MATCH($B51,'생산수량Back-Data'!$B$5:$B$10041,0)+1,
       MATCH(AP$3,'생산수량Back-Data'!$B$3:$AAA$3,0))</f>
        <v>0</v>
      </c>
      <c r="AQ52" s="310" cm="1">
        <f t="array" ref="AQ52">INDEX('생산수량Back-Data'!$B$5:$AAA$10041,
       MATCH($B51,'생산수량Back-Data'!$B$5:$B$10041,0)+1,
       MATCH(AQ$3,'생산수량Back-Data'!$B$3:$AAA$3,0))</f>
        <v>0</v>
      </c>
      <c r="AR52" s="310" cm="1">
        <f t="array" ref="AR52">INDEX('생산수량Back-Data'!$B$5:$AAA$10041,
       MATCH($B51,'생산수량Back-Data'!$B$5:$B$10041,0)+1,
       MATCH(AR$3,'생산수량Back-Data'!$B$3:$AAA$3,0))</f>
        <v>0</v>
      </c>
      <c r="AS52" s="310" cm="1">
        <f t="array" ref="AS52">INDEX('생산수량Back-Data'!$B$5:$AAA$10041,
       MATCH($B51,'생산수량Back-Data'!$B$5:$B$10041,0)+1,
       MATCH(AS$3,'생산수량Back-Data'!$B$3:$AAA$3,0))</f>
        <v>0</v>
      </c>
      <c r="AT52" s="324" cm="1">
        <f t="array" ref="AT52">INDEX('생산수량Back-Data'!$B$5:$AAA$10041,
       MATCH($B51,'생산수량Back-Data'!$B$5:$B$10041,0)+1,
       MATCH(AT$3,'생산수량Back-Data'!$B$3:$AAA$3,0))</f>
        <v>0</v>
      </c>
    </row>
    <row r="53" spans="2:46" ht="32.1" customHeight="1" x14ac:dyDescent="0.3">
      <c r="B53" s="444" t="s">
        <v>50</v>
      </c>
      <c r="C53" s="444" t="s">
        <v>185</v>
      </c>
      <c r="D53" s="444" t="s">
        <v>195</v>
      </c>
      <c r="E53" s="438">
        <f>ABS(SUMIFS('Fixture 총 발주수량'!Z:Z,'Fixture 총 발주수량'!B:B,'후공정(샌딩)생산계획'!B53,'Fixture 총 발주수량'!Z:Z,"&lt;0"))</f>
        <v>13831</v>
      </c>
      <c r="F53" s="431">
        <f>G53-E53</f>
        <v>-13831</v>
      </c>
      <c r="G53" s="437">
        <f>SUMIF(P53:AT53, "&gt;0")</f>
        <v>0</v>
      </c>
      <c r="H53" s="437">
        <f>SUMIF(P54:AT54, "&gt;0")</f>
        <v>4789</v>
      </c>
      <c r="I53" s="442">
        <f>IFERROR(H53/G53,)</f>
        <v>0</v>
      </c>
      <c r="J53" s="437">
        <f ca="1">IFERROR(SUMIF('Fixture 총 발주수량'!B:AG,'후공정(샌딩)생산계획'!B53,'Fixture 총 발주수량'!AC:AC),)</f>
        <v>2652</v>
      </c>
      <c r="K53" s="458">
        <f>ROUNDUP(E53/2000,)</f>
        <v>7</v>
      </c>
      <c r="L53" s="458">
        <f>L51+K53</f>
        <v>38</v>
      </c>
      <c r="M53" s="458">
        <f>L53+K53</f>
        <v>45</v>
      </c>
      <c r="N53" s="438">
        <f>N51+K53</f>
        <v>38</v>
      </c>
      <c r="O53" s="306" t="s">
        <v>264</v>
      </c>
      <c r="P53" s="311"/>
      <c r="Q53" s="312"/>
      <c r="R53" s="312"/>
      <c r="S53" s="312"/>
      <c r="T53" s="312"/>
      <c r="U53" s="312"/>
      <c r="V53" s="312"/>
      <c r="W53" s="312"/>
      <c r="X53" s="312"/>
      <c r="Y53" s="312"/>
      <c r="Z53" s="312"/>
      <c r="AA53" s="312"/>
      <c r="AB53" s="312"/>
      <c r="AC53" s="312"/>
      <c r="AD53" s="312"/>
      <c r="AE53" s="312"/>
      <c r="AF53" s="312"/>
      <c r="AG53" s="312"/>
      <c r="AH53" s="312"/>
      <c r="AI53" s="312"/>
      <c r="AJ53" s="312"/>
      <c r="AK53" s="312"/>
      <c r="AL53" s="312"/>
      <c r="AM53" s="312"/>
      <c r="AN53" s="312"/>
      <c r="AO53" s="312"/>
      <c r="AP53" s="312"/>
      <c r="AQ53" s="312"/>
      <c r="AR53" s="312"/>
      <c r="AS53" s="312"/>
      <c r="AT53" s="313"/>
    </row>
    <row r="54" spans="2:46" ht="32.1" customHeight="1" x14ac:dyDescent="0.3">
      <c r="B54" s="445"/>
      <c r="C54" s="445"/>
      <c r="D54" s="445"/>
      <c r="E54" s="439"/>
      <c r="F54" s="459"/>
      <c r="G54" s="436"/>
      <c r="H54" s="436"/>
      <c r="I54" s="443"/>
      <c r="J54" s="436"/>
      <c r="K54" s="458"/>
      <c r="L54" s="458"/>
      <c r="M54" s="458"/>
      <c r="N54" s="439"/>
      <c r="O54" s="306" t="s">
        <v>266</v>
      </c>
      <c r="P54" s="310" cm="1">
        <f t="array" ref="P54">INDEX('생산수량Back-Data'!$B$5:$AAA$10041,
       MATCH($B53,'생산수량Back-Data'!$B$5:$B$10041,0)+1,
       MATCH(P$3,'생산수량Back-Data'!$B$3:$AAA$3,0))</f>
        <v>0</v>
      </c>
      <c r="Q54" s="310" cm="1">
        <f t="array" ref="Q54">INDEX('생산수량Back-Data'!$B$5:$AAA$10041,
       MATCH($B53,'생산수량Back-Data'!$B$5:$B$10041,0)+1,
       MATCH(Q$3,'생산수량Back-Data'!$B$3:$AAA$3,0))</f>
        <v>0</v>
      </c>
      <c r="R54" s="310" cm="1">
        <f t="array" ref="R54">INDEX('생산수량Back-Data'!$B$5:$AAA$10041,
       MATCH($B53,'생산수량Back-Data'!$B$5:$B$10041,0)+1,
       MATCH(R$3,'생산수량Back-Data'!$B$3:$AAA$3,0))</f>
        <v>0</v>
      </c>
      <c r="S54" s="310" cm="1">
        <f t="array" ref="S54">INDEX('생산수량Back-Data'!$B$5:$AAA$10041,
       MATCH($B53,'생산수량Back-Data'!$B$5:$B$10041,0)+1,
       MATCH(S$3,'생산수량Back-Data'!$B$3:$AAA$3,0))</f>
        <v>0</v>
      </c>
      <c r="T54" s="310" cm="1">
        <f t="array" ref="T54">INDEX('생산수량Back-Data'!$B$5:$AAA$10041,
       MATCH($B53,'생산수량Back-Data'!$B$5:$B$10041,0)+1,
       MATCH(T$3,'생산수량Back-Data'!$B$3:$AAA$3,0))</f>
        <v>0</v>
      </c>
      <c r="U54" s="310" cm="1">
        <f t="array" ref="U54">INDEX('생산수량Back-Data'!$B$5:$AAA$10041,
       MATCH($B53,'생산수량Back-Data'!$B$5:$B$10041,0)+1,
       MATCH(U$3,'생산수량Back-Data'!$B$3:$AAA$3,0))</f>
        <v>0</v>
      </c>
      <c r="V54" s="310" cm="1">
        <f t="array" ref="V54">INDEX('생산수량Back-Data'!$B$5:$AAA$10041,
       MATCH($B53,'생산수량Back-Data'!$B$5:$B$10041,0)+1,
       MATCH(V$3,'생산수량Back-Data'!$B$3:$AAA$3,0))</f>
        <v>240</v>
      </c>
      <c r="W54" s="310" cm="1">
        <f t="array" ref="W54">INDEX('생산수량Back-Data'!$B$5:$AAA$10041,
       MATCH($B53,'생산수량Back-Data'!$B$5:$B$10041,0)+1,
       MATCH(W$3,'생산수량Back-Data'!$B$3:$AAA$3,0))</f>
        <v>656</v>
      </c>
      <c r="X54" s="310" cm="1">
        <f t="array" ref="X54">INDEX('생산수량Back-Data'!$B$5:$AAA$10041,
       MATCH($B53,'생산수량Back-Data'!$B$5:$B$10041,0)+1,
       MATCH(X$3,'생산수량Back-Data'!$B$3:$AAA$3,0))</f>
        <v>0</v>
      </c>
      <c r="Y54" s="310" cm="1">
        <f t="array" ref="Y54">INDEX('생산수량Back-Data'!$B$5:$AAA$10041,
       MATCH($B53,'생산수량Back-Data'!$B$5:$B$10041,0)+1,
       MATCH(Y$3,'생산수량Back-Data'!$B$3:$AAA$3,0))</f>
        <v>0</v>
      </c>
      <c r="Z54" s="310" cm="1">
        <f t="array" ref="Z54">INDEX('생산수량Back-Data'!$B$5:$AAA$10041,
       MATCH($B53,'생산수량Back-Data'!$B$5:$B$10041,0)+1,
       MATCH(Z$3,'생산수량Back-Data'!$B$3:$AAA$3,0))</f>
        <v>861</v>
      </c>
      <c r="AA54" s="310" cm="1">
        <f t="array" ref="AA54">INDEX('생산수량Back-Data'!$B$5:$AAA$10041,
       MATCH($B53,'생산수량Back-Data'!$B$5:$B$10041,0)+1,
       MATCH(AA$3,'생산수량Back-Data'!$B$3:$AAA$3,0))</f>
        <v>1932</v>
      </c>
      <c r="AB54" s="310" cm="1">
        <f t="array" ref="AB54">INDEX('생산수량Back-Data'!$B$5:$AAA$10041,
       MATCH($B53,'생산수량Back-Data'!$B$5:$B$10041,0)+1,
       MATCH(AB$3,'생산수량Back-Data'!$B$3:$AAA$3,0))</f>
        <v>1100</v>
      </c>
      <c r="AC54" s="310" cm="1">
        <f t="array" ref="AC54">INDEX('생산수량Back-Data'!$B$5:$AAA$10041,
       MATCH($B53,'생산수량Back-Data'!$B$5:$B$10041,0)+1,
       MATCH(AC$3,'생산수량Back-Data'!$B$3:$AAA$3,0))</f>
        <v>0</v>
      </c>
      <c r="AD54" s="310" cm="1">
        <f t="array" ref="AD54">INDEX('생산수량Back-Data'!$B$5:$AAA$10041,
       MATCH($B53,'생산수량Back-Data'!$B$5:$B$10041,0)+1,
       MATCH(AD$3,'생산수량Back-Data'!$B$3:$AAA$3,0))</f>
        <v>0</v>
      </c>
      <c r="AE54" s="310" cm="1">
        <f t="array" ref="AE54">INDEX('생산수량Back-Data'!$B$5:$AAA$10041,
       MATCH($B53,'생산수량Back-Data'!$B$5:$B$10041,0)+1,
       MATCH(AE$3,'생산수량Back-Data'!$B$3:$AAA$3,0))</f>
        <v>0</v>
      </c>
      <c r="AF54" s="310" cm="1">
        <f t="array" ref="AF54">INDEX('생산수량Back-Data'!$B$5:$AAA$10041,
       MATCH($B53,'생산수량Back-Data'!$B$5:$B$10041,0)+1,
       MATCH(AF$3,'생산수량Back-Data'!$B$3:$AAA$3,0))</f>
        <v>0</v>
      </c>
      <c r="AG54" s="310" cm="1">
        <f t="array" ref="AG54">INDEX('생산수량Back-Data'!$B$5:$AAA$10041,
       MATCH($B53,'생산수량Back-Data'!$B$5:$B$10041,0)+1,
       MATCH(AG$3,'생산수량Back-Data'!$B$3:$AAA$3,0))</f>
        <v>0</v>
      </c>
      <c r="AH54" s="310" cm="1">
        <f t="array" ref="AH54">INDEX('생산수량Back-Data'!$B$5:$AAA$10041,
       MATCH($B53,'생산수량Back-Data'!$B$5:$B$10041,0)+1,
       MATCH(AH$3,'생산수량Back-Data'!$B$3:$AAA$3,0))</f>
        <v>0</v>
      </c>
      <c r="AI54" s="310" cm="1">
        <f t="array" ref="AI54">INDEX('생산수량Back-Data'!$B$5:$AAA$10041,
       MATCH($B53,'생산수량Back-Data'!$B$5:$B$10041,0)+1,
       MATCH(AI$3,'생산수량Back-Data'!$B$3:$AAA$3,0))</f>
        <v>0</v>
      </c>
      <c r="AJ54" s="310" cm="1">
        <f t="array" ref="AJ54">INDEX('생산수량Back-Data'!$B$5:$AAA$10041,
       MATCH($B53,'생산수량Back-Data'!$B$5:$B$10041,0)+1,
       MATCH(AJ$3,'생산수량Back-Data'!$B$3:$AAA$3,0))</f>
        <v>0</v>
      </c>
      <c r="AK54" s="310" cm="1">
        <f t="array" ref="AK54">INDEX('생산수량Back-Data'!$B$5:$AAA$10041,
       MATCH($B53,'생산수량Back-Data'!$B$5:$B$10041,0)+1,
       MATCH(AK$3,'생산수량Back-Data'!$B$3:$AAA$3,0))</f>
        <v>0</v>
      </c>
      <c r="AL54" s="310" cm="1">
        <f t="array" ref="AL54">INDEX('생산수량Back-Data'!$B$5:$AAA$10041,
       MATCH($B53,'생산수량Back-Data'!$B$5:$B$10041,0)+1,
       MATCH(AL$3,'생산수량Back-Data'!$B$3:$AAA$3,0))</f>
        <v>0</v>
      </c>
      <c r="AM54" s="310" cm="1">
        <f t="array" ref="AM54">INDEX('생산수량Back-Data'!$B$5:$AAA$10041,
       MATCH($B53,'생산수량Back-Data'!$B$5:$B$10041,0)+1,
       MATCH(AM$3,'생산수량Back-Data'!$B$3:$AAA$3,0))</f>
        <v>0</v>
      </c>
      <c r="AN54" s="310" cm="1">
        <f t="array" ref="AN54">INDEX('생산수량Back-Data'!$B$5:$AAA$10041,
       MATCH($B53,'생산수량Back-Data'!$B$5:$B$10041,0)+1,
       MATCH(AN$3,'생산수량Back-Data'!$B$3:$AAA$3,0))</f>
        <v>0</v>
      </c>
      <c r="AO54" s="310" cm="1">
        <f t="array" ref="AO54">INDEX('생산수량Back-Data'!$B$5:$AAA$10041,
       MATCH($B53,'생산수량Back-Data'!$B$5:$B$10041,0)+1,
       MATCH(AO$3,'생산수량Back-Data'!$B$3:$AAA$3,0))</f>
        <v>0</v>
      </c>
      <c r="AP54" s="310" cm="1">
        <f t="array" ref="AP54">INDEX('생산수량Back-Data'!$B$5:$AAA$10041,
       MATCH($B53,'생산수량Back-Data'!$B$5:$B$10041,0)+1,
       MATCH(AP$3,'생산수량Back-Data'!$B$3:$AAA$3,0))</f>
        <v>0</v>
      </c>
      <c r="AQ54" s="310" cm="1">
        <f t="array" ref="AQ54">INDEX('생산수량Back-Data'!$B$5:$AAA$10041,
       MATCH($B53,'생산수량Back-Data'!$B$5:$B$10041,0)+1,
       MATCH(AQ$3,'생산수량Back-Data'!$B$3:$AAA$3,0))</f>
        <v>0</v>
      </c>
      <c r="AR54" s="310" cm="1">
        <f t="array" ref="AR54">INDEX('생산수량Back-Data'!$B$5:$AAA$10041,
       MATCH($B53,'생산수량Back-Data'!$B$5:$B$10041,0)+1,
       MATCH(AR$3,'생산수량Back-Data'!$B$3:$AAA$3,0))</f>
        <v>0</v>
      </c>
      <c r="AS54" s="310" cm="1">
        <f t="array" ref="AS54">INDEX('생산수량Back-Data'!$B$5:$AAA$10041,
       MATCH($B53,'생산수량Back-Data'!$B$5:$B$10041,0)+1,
       MATCH(AS$3,'생산수량Back-Data'!$B$3:$AAA$3,0))</f>
        <v>0</v>
      </c>
      <c r="AT54" s="324" cm="1">
        <f t="array" ref="AT54">INDEX('생산수량Back-Data'!$B$5:$AAA$10041,
       MATCH($B53,'생산수량Back-Data'!$B$5:$B$10041,0)+1,
       MATCH(AT$3,'생산수량Back-Data'!$B$3:$AAA$3,0))</f>
        <v>0</v>
      </c>
    </row>
    <row r="55" spans="2:46" ht="32.1" customHeight="1" x14ac:dyDescent="0.3">
      <c r="B55" s="444" t="s">
        <v>49</v>
      </c>
      <c r="C55" s="444" t="s">
        <v>185</v>
      </c>
      <c r="D55" s="444" t="s">
        <v>194</v>
      </c>
      <c r="E55" s="438">
        <f>ABS(SUMIFS('Fixture 총 발주수량'!Z:Z,'Fixture 총 발주수량'!B:B,'후공정(샌딩)생산계획'!B55,'Fixture 총 발주수량'!Z:Z,"&lt;0"))</f>
        <v>3683</v>
      </c>
      <c r="F55" s="431">
        <f>G55-E55</f>
        <v>-3683</v>
      </c>
      <c r="G55" s="437">
        <f>SUMIF(P55:AT55, "&gt;0")</f>
        <v>0</v>
      </c>
      <c r="H55" s="437">
        <f>SUMIF(P56:AT56, "&gt;0")</f>
        <v>3671</v>
      </c>
      <c r="I55" s="442">
        <f>IFERROR(H55/G55,)</f>
        <v>0</v>
      </c>
      <c r="J55" s="437">
        <f ca="1">IFERROR(SUMIF('Fixture 총 발주수량'!B:AG,'후공정(샌딩)생산계획'!B55,'Fixture 총 발주수량'!AC:AC),)</f>
        <v>0</v>
      </c>
      <c r="K55" s="458">
        <f>ROUNDUP(E55/2000,)</f>
        <v>2</v>
      </c>
      <c r="L55" s="458">
        <f>L53+K55</f>
        <v>40</v>
      </c>
      <c r="M55" s="458">
        <f>L55+K55</f>
        <v>42</v>
      </c>
      <c r="N55" s="438">
        <f>N53+K55</f>
        <v>40</v>
      </c>
      <c r="O55" s="306" t="s">
        <v>264</v>
      </c>
      <c r="P55" s="311"/>
      <c r="Q55" s="312"/>
      <c r="R55" s="312"/>
      <c r="S55" s="312"/>
      <c r="T55" s="312"/>
      <c r="U55" s="312"/>
      <c r="V55" s="312"/>
      <c r="W55" s="312"/>
      <c r="X55" s="312"/>
      <c r="Y55" s="312"/>
      <c r="Z55" s="312"/>
      <c r="AA55" s="312"/>
      <c r="AB55" s="312"/>
      <c r="AC55" s="312"/>
      <c r="AD55" s="312"/>
      <c r="AE55" s="312"/>
      <c r="AF55" s="312"/>
      <c r="AG55" s="312"/>
      <c r="AH55" s="312"/>
      <c r="AI55" s="312"/>
      <c r="AJ55" s="312"/>
      <c r="AK55" s="312"/>
      <c r="AL55" s="312"/>
      <c r="AM55" s="312"/>
      <c r="AN55" s="312"/>
      <c r="AO55" s="312"/>
      <c r="AP55" s="312"/>
      <c r="AQ55" s="312"/>
      <c r="AR55" s="312"/>
      <c r="AS55" s="312"/>
      <c r="AT55" s="313"/>
    </row>
    <row r="56" spans="2:46" ht="32.1" customHeight="1" x14ac:dyDescent="0.3">
      <c r="B56" s="445"/>
      <c r="C56" s="445"/>
      <c r="D56" s="445"/>
      <c r="E56" s="439"/>
      <c r="F56" s="459"/>
      <c r="G56" s="436"/>
      <c r="H56" s="436"/>
      <c r="I56" s="443"/>
      <c r="J56" s="436"/>
      <c r="K56" s="458"/>
      <c r="L56" s="458"/>
      <c r="M56" s="458"/>
      <c r="N56" s="439"/>
      <c r="O56" s="306" t="s">
        <v>266</v>
      </c>
      <c r="P56" s="310" cm="1">
        <f t="array" ref="P56">INDEX('생산수량Back-Data'!$B$5:$AAA$10041,
       MATCH($B55,'생산수량Back-Data'!$B$5:$B$10041,0)+1,
       MATCH(P$3,'생산수량Back-Data'!$B$3:$AAA$3,0))</f>
        <v>0</v>
      </c>
      <c r="Q56" s="310" cm="1">
        <f t="array" ref="Q56">INDEX('생산수량Back-Data'!$B$5:$AAA$10041,
       MATCH($B55,'생산수량Back-Data'!$B$5:$B$10041,0)+1,
       MATCH(Q$3,'생산수량Back-Data'!$B$3:$AAA$3,0))</f>
        <v>0</v>
      </c>
      <c r="R56" s="310" cm="1">
        <f t="array" ref="R56">INDEX('생산수량Back-Data'!$B$5:$AAA$10041,
       MATCH($B55,'생산수량Back-Data'!$B$5:$B$10041,0)+1,
       MATCH(R$3,'생산수량Back-Data'!$B$3:$AAA$3,0))</f>
        <v>0</v>
      </c>
      <c r="S56" s="310" cm="1">
        <f t="array" ref="S56">INDEX('생산수량Back-Data'!$B$5:$AAA$10041,
       MATCH($B55,'생산수량Back-Data'!$B$5:$B$10041,0)+1,
       MATCH(S$3,'생산수량Back-Data'!$B$3:$AAA$3,0))</f>
        <v>354</v>
      </c>
      <c r="T56" s="310" cm="1">
        <f t="array" ref="T56">INDEX('생산수량Back-Data'!$B$5:$AAA$10041,
       MATCH($B55,'생산수량Back-Data'!$B$5:$B$10041,0)+1,
       MATCH(T$3,'생산수량Back-Data'!$B$3:$AAA$3,0))</f>
        <v>0</v>
      </c>
      <c r="U56" s="310" cm="1">
        <f t="array" ref="U56">INDEX('생산수량Back-Data'!$B$5:$AAA$10041,
       MATCH($B55,'생산수량Back-Data'!$B$5:$B$10041,0)+1,
       MATCH(U$3,'생산수량Back-Data'!$B$3:$AAA$3,0))</f>
        <v>474</v>
      </c>
      <c r="V56" s="310" cm="1">
        <f t="array" ref="V56">INDEX('생산수량Back-Data'!$B$5:$AAA$10041,
       MATCH($B55,'생산수량Back-Data'!$B$5:$B$10041,0)+1,
       MATCH(V$3,'생산수량Back-Data'!$B$3:$AAA$3,0))</f>
        <v>1160</v>
      </c>
      <c r="W56" s="310" cm="1">
        <f t="array" ref="W56">INDEX('생산수량Back-Data'!$B$5:$AAA$10041,
       MATCH($B55,'생산수량Back-Data'!$B$5:$B$10041,0)+1,
       MATCH(W$3,'생산수량Back-Data'!$B$3:$AAA$3,0))</f>
        <v>212</v>
      </c>
      <c r="X56" s="310" cm="1">
        <f t="array" ref="X56">INDEX('생산수량Back-Data'!$B$5:$AAA$10041,
       MATCH($B55,'생산수량Back-Data'!$B$5:$B$10041,0)+1,
       MATCH(X$3,'생산수량Back-Data'!$B$3:$AAA$3,0))</f>
        <v>0</v>
      </c>
      <c r="Y56" s="310" cm="1">
        <f t="array" ref="Y56">INDEX('생산수량Back-Data'!$B$5:$AAA$10041,
       MATCH($B55,'생산수량Back-Data'!$B$5:$B$10041,0)+1,
       MATCH(Y$3,'생산수량Back-Data'!$B$3:$AAA$3,0))</f>
        <v>0</v>
      </c>
      <c r="Z56" s="310" cm="1">
        <f t="array" ref="Z56">INDEX('생산수량Back-Data'!$B$5:$AAA$10041,
       MATCH($B55,'생산수량Back-Data'!$B$5:$B$10041,0)+1,
       MATCH(Z$3,'생산수량Back-Data'!$B$3:$AAA$3,0))</f>
        <v>1038</v>
      </c>
      <c r="AA56" s="310" cm="1">
        <f t="array" ref="AA56">INDEX('생산수량Back-Data'!$B$5:$AAA$10041,
       MATCH($B55,'생산수량Back-Data'!$B$5:$B$10041,0)+1,
       MATCH(AA$3,'생산수량Back-Data'!$B$3:$AAA$3,0))</f>
        <v>433</v>
      </c>
      <c r="AB56" s="310" cm="1">
        <f t="array" ref="AB56">INDEX('생산수량Back-Data'!$B$5:$AAA$10041,
       MATCH($B55,'생산수량Back-Data'!$B$5:$B$10041,0)+1,
       MATCH(AB$3,'생산수량Back-Data'!$B$3:$AAA$3,0))</f>
        <v>0</v>
      </c>
      <c r="AC56" s="310" cm="1">
        <f t="array" ref="AC56">INDEX('생산수량Back-Data'!$B$5:$AAA$10041,
       MATCH($B55,'생산수량Back-Data'!$B$5:$B$10041,0)+1,
       MATCH(AC$3,'생산수량Back-Data'!$B$3:$AAA$3,0))</f>
        <v>0</v>
      </c>
      <c r="AD56" s="310" cm="1">
        <f t="array" ref="AD56">INDEX('생산수량Back-Data'!$B$5:$AAA$10041,
       MATCH($B55,'생산수량Back-Data'!$B$5:$B$10041,0)+1,
       MATCH(AD$3,'생산수량Back-Data'!$B$3:$AAA$3,0))</f>
        <v>0</v>
      </c>
      <c r="AE56" s="310" cm="1">
        <f t="array" ref="AE56">INDEX('생산수량Back-Data'!$B$5:$AAA$10041,
       MATCH($B55,'생산수량Back-Data'!$B$5:$B$10041,0)+1,
       MATCH(AE$3,'생산수량Back-Data'!$B$3:$AAA$3,0))</f>
        <v>0</v>
      </c>
      <c r="AF56" s="310" cm="1">
        <f t="array" ref="AF56">INDEX('생산수량Back-Data'!$B$5:$AAA$10041,
       MATCH($B55,'생산수량Back-Data'!$B$5:$B$10041,0)+1,
       MATCH(AF$3,'생산수량Back-Data'!$B$3:$AAA$3,0))</f>
        <v>0</v>
      </c>
      <c r="AG56" s="310" cm="1">
        <f t="array" ref="AG56">INDEX('생산수량Back-Data'!$B$5:$AAA$10041,
       MATCH($B55,'생산수량Back-Data'!$B$5:$B$10041,0)+1,
       MATCH(AG$3,'생산수량Back-Data'!$B$3:$AAA$3,0))</f>
        <v>0</v>
      </c>
      <c r="AH56" s="310" cm="1">
        <f t="array" ref="AH56">INDEX('생산수량Back-Data'!$B$5:$AAA$10041,
       MATCH($B55,'생산수량Back-Data'!$B$5:$B$10041,0)+1,
       MATCH(AH$3,'생산수량Back-Data'!$B$3:$AAA$3,0))</f>
        <v>0</v>
      </c>
      <c r="AI56" s="310" cm="1">
        <f t="array" ref="AI56">INDEX('생산수량Back-Data'!$B$5:$AAA$10041,
       MATCH($B55,'생산수량Back-Data'!$B$5:$B$10041,0)+1,
       MATCH(AI$3,'생산수량Back-Data'!$B$3:$AAA$3,0))</f>
        <v>0</v>
      </c>
      <c r="AJ56" s="310" cm="1">
        <f t="array" ref="AJ56">INDEX('생산수량Back-Data'!$B$5:$AAA$10041,
       MATCH($B55,'생산수량Back-Data'!$B$5:$B$10041,0)+1,
       MATCH(AJ$3,'생산수량Back-Data'!$B$3:$AAA$3,0))</f>
        <v>0</v>
      </c>
      <c r="AK56" s="310" cm="1">
        <f t="array" ref="AK56">INDEX('생산수량Back-Data'!$B$5:$AAA$10041,
       MATCH($B55,'생산수량Back-Data'!$B$5:$B$10041,0)+1,
       MATCH(AK$3,'생산수량Back-Data'!$B$3:$AAA$3,0))</f>
        <v>0</v>
      </c>
      <c r="AL56" s="310" cm="1">
        <f t="array" ref="AL56">INDEX('생산수량Back-Data'!$B$5:$AAA$10041,
       MATCH($B55,'생산수량Back-Data'!$B$5:$B$10041,0)+1,
       MATCH(AL$3,'생산수량Back-Data'!$B$3:$AAA$3,0))</f>
        <v>0</v>
      </c>
      <c r="AM56" s="310" cm="1">
        <f t="array" ref="AM56">INDEX('생산수량Back-Data'!$B$5:$AAA$10041,
       MATCH($B55,'생산수량Back-Data'!$B$5:$B$10041,0)+1,
       MATCH(AM$3,'생산수량Back-Data'!$B$3:$AAA$3,0))</f>
        <v>0</v>
      </c>
      <c r="AN56" s="310" cm="1">
        <f t="array" ref="AN56">INDEX('생산수량Back-Data'!$B$5:$AAA$10041,
       MATCH($B55,'생산수량Back-Data'!$B$5:$B$10041,0)+1,
       MATCH(AN$3,'생산수량Back-Data'!$B$3:$AAA$3,0))</f>
        <v>0</v>
      </c>
      <c r="AO56" s="310" cm="1">
        <f t="array" ref="AO56">INDEX('생산수량Back-Data'!$B$5:$AAA$10041,
       MATCH($B55,'생산수량Back-Data'!$B$5:$B$10041,0)+1,
       MATCH(AO$3,'생산수량Back-Data'!$B$3:$AAA$3,0))</f>
        <v>0</v>
      </c>
      <c r="AP56" s="310" cm="1">
        <f t="array" ref="AP56">INDEX('생산수량Back-Data'!$B$5:$AAA$10041,
       MATCH($B55,'생산수량Back-Data'!$B$5:$B$10041,0)+1,
       MATCH(AP$3,'생산수량Back-Data'!$B$3:$AAA$3,0))</f>
        <v>0</v>
      </c>
      <c r="AQ56" s="310" cm="1">
        <f t="array" ref="AQ56">INDEX('생산수량Back-Data'!$B$5:$AAA$10041,
       MATCH($B55,'생산수량Back-Data'!$B$5:$B$10041,0)+1,
       MATCH(AQ$3,'생산수량Back-Data'!$B$3:$AAA$3,0))</f>
        <v>0</v>
      </c>
      <c r="AR56" s="310" cm="1">
        <f t="array" ref="AR56">INDEX('생산수량Back-Data'!$B$5:$AAA$10041,
       MATCH($B55,'생산수량Back-Data'!$B$5:$B$10041,0)+1,
       MATCH(AR$3,'생산수량Back-Data'!$B$3:$AAA$3,0))</f>
        <v>0</v>
      </c>
      <c r="AS56" s="310" cm="1">
        <f t="array" ref="AS56">INDEX('생산수량Back-Data'!$B$5:$AAA$10041,
       MATCH($B55,'생산수량Back-Data'!$B$5:$B$10041,0)+1,
       MATCH(AS$3,'생산수량Back-Data'!$B$3:$AAA$3,0))</f>
        <v>0</v>
      </c>
      <c r="AT56" s="324" cm="1">
        <f t="array" ref="AT56">INDEX('생산수량Back-Data'!$B$5:$AAA$10041,
       MATCH($B55,'생산수량Back-Data'!$B$5:$B$10041,0)+1,
       MATCH(AT$3,'생산수량Back-Data'!$B$3:$AAA$3,0))</f>
        <v>0</v>
      </c>
    </row>
    <row r="57" spans="2:46" ht="32.1" customHeight="1" x14ac:dyDescent="0.3">
      <c r="B57" s="444" t="s">
        <v>54</v>
      </c>
      <c r="C57" s="444" t="s">
        <v>185</v>
      </c>
      <c r="D57" s="444" t="s">
        <v>194</v>
      </c>
      <c r="E57" s="438">
        <f>ABS(SUMIFS('Fixture 총 발주수량'!Z:Z,'Fixture 총 발주수량'!B:B,'후공정(샌딩)생산계획'!B57,'Fixture 총 발주수량'!Z:Z,"&lt;0"))</f>
        <v>4251</v>
      </c>
      <c r="F57" s="431">
        <f>G57-E57</f>
        <v>-4251</v>
      </c>
      <c r="G57" s="437">
        <f>SUMIF(P57:AT57, "&gt;0")</f>
        <v>0</v>
      </c>
      <c r="H57" s="437">
        <f>SUMIF(P58:AT58, "&gt;0")</f>
        <v>0</v>
      </c>
      <c r="I57" s="442">
        <f>IFERROR(H57/G57,)</f>
        <v>0</v>
      </c>
      <c r="J57" s="437">
        <f ca="1">IFERROR(SUMIF('Fixture 총 발주수량'!B:AG,'후공정(샌딩)생산계획'!B57,'Fixture 총 발주수량'!AC:AC),)</f>
        <v>3734</v>
      </c>
      <c r="K57" s="458">
        <f>ROUNDUP(E57/2000,)</f>
        <v>3</v>
      </c>
      <c r="L57" s="458">
        <f>L55+K57</f>
        <v>43</v>
      </c>
      <c r="M57" s="458">
        <f>L57+K57</f>
        <v>46</v>
      </c>
      <c r="N57" s="438">
        <f>N55+K57</f>
        <v>43</v>
      </c>
      <c r="O57" s="306" t="s">
        <v>264</v>
      </c>
      <c r="P57" s="311"/>
      <c r="Q57" s="312"/>
      <c r="R57" s="312"/>
      <c r="S57" s="312"/>
      <c r="T57" s="312"/>
      <c r="U57" s="312"/>
      <c r="V57" s="312"/>
      <c r="W57" s="312"/>
      <c r="X57" s="312"/>
      <c r="Y57" s="312"/>
      <c r="Z57" s="312"/>
      <c r="AA57" s="312"/>
      <c r="AB57" s="312"/>
      <c r="AC57" s="312"/>
      <c r="AD57" s="312"/>
      <c r="AE57" s="312"/>
      <c r="AF57" s="312"/>
      <c r="AG57" s="312"/>
      <c r="AH57" s="312"/>
      <c r="AI57" s="312"/>
      <c r="AJ57" s="312"/>
      <c r="AK57" s="312"/>
      <c r="AL57" s="312"/>
      <c r="AM57" s="312"/>
      <c r="AN57" s="312"/>
      <c r="AO57" s="312"/>
      <c r="AP57" s="312"/>
      <c r="AQ57" s="312"/>
      <c r="AR57" s="312"/>
      <c r="AS57" s="312"/>
      <c r="AT57" s="313"/>
    </row>
    <row r="58" spans="2:46" ht="32.1" customHeight="1" x14ac:dyDescent="0.3">
      <c r="B58" s="445"/>
      <c r="C58" s="445"/>
      <c r="D58" s="445"/>
      <c r="E58" s="439"/>
      <c r="F58" s="459"/>
      <c r="G58" s="436"/>
      <c r="H58" s="436"/>
      <c r="I58" s="443"/>
      <c r="J58" s="436"/>
      <c r="K58" s="458"/>
      <c r="L58" s="458"/>
      <c r="M58" s="458"/>
      <c r="N58" s="439"/>
      <c r="O58" s="306" t="s">
        <v>266</v>
      </c>
      <c r="P58" s="310" cm="1">
        <f t="array" ref="P58">INDEX('생산수량Back-Data'!$B$5:$AAA$10041,
       MATCH($B57,'생산수량Back-Data'!$B$5:$B$10041,0)+1,
       MATCH(P$3,'생산수량Back-Data'!$B$3:$AAA$3,0))</f>
        <v>0</v>
      </c>
      <c r="Q58" s="310" cm="1">
        <f t="array" ref="Q58">INDEX('생산수량Back-Data'!$B$5:$AAA$10041,
       MATCH($B57,'생산수량Back-Data'!$B$5:$B$10041,0)+1,
       MATCH(Q$3,'생산수량Back-Data'!$B$3:$AAA$3,0))</f>
        <v>0</v>
      </c>
      <c r="R58" s="310" cm="1">
        <f t="array" ref="R58">INDEX('생산수량Back-Data'!$B$5:$AAA$10041,
       MATCH($B57,'생산수량Back-Data'!$B$5:$B$10041,0)+1,
       MATCH(R$3,'생산수량Back-Data'!$B$3:$AAA$3,0))</f>
        <v>0</v>
      </c>
      <c r="S58" s="310" cm="1">
        <f t="array" ref="S58">INDEX('생산수량Back-Data'!$B$5:$AAA$10041,
       MATCH($B57,'생산수량Back-Data'!$B$5:$B$10041,0)+1,
       MATCH(S$3,'생산수량Back-Data'!$B$3:$AAA$3,0))</f>
        <v>0</v>
      </c>
      <c r="T58" s="310" cm="1">
        <f t="array" ref="T58">INDEX('생산수량Back-Data'!$B$5:$AAA$10041,
       MATCH($B57,'생산수량Back-Data'!$B$5:$B$10041,0)+1,
       MATCH(T$3,'생산수량Back-Data'!$B$3:$AAA$3,0))</f>
        <v>0</v>
      </c>
      <c r="U58" s="310" cm="1">
        <f t="array" ref="U58">INDEX('생산수량Back-Data'!$B$5:$AAA$10041,
       MATCH($B57,'생산수량Back-Data'!$B$5:$B$10041,0)+1,
       MATCH(U$3,'생산수량Back-Data'!$B$3:$AAA$3,0))</f>
        <v>0</v>
      </c>
      <c r="V58" s="310" cm="1">
        <f t="array" ref="V58">INDEX('생산수량Back-Data'!$B$5:$AAA$10041,
       MATCH($B57,'생산수량Back-Data'!$B$5:$B$10041,0)+1,
       MATCH(V$3,'생산수량Back-Data'!$B$3:$AAA$3,0))</f>
        <v>0</v>
      </c>
      <c r="W58" s="310" cm="1">
        <f t="array" ref="W58">INDEX('생산수량Back-Data'!$B$5:$AAA$10041,
       MATCH($B57,'생산수량Back-Data'!$B$5:$B$10041,0)+1,
       MATCH(W$3,'생산수량Back-Data'!$B$3:$AAA$3,0))</f>
        <v>0</v>
      </c>
      <c r="X58" s="310" cm="1">
        <f t="array" ref="X58">INDEX('생산수량Back-Data'!$B$5:$AAA$10041,
       MATCH($B57,'생산수량Back-Data'!$B$5:$B$10041,0)+1,
       MATCH(X$3,'생산수량Back-Data'!$B$3:$AAA$3,0))</f>
        <v>0</v>
      </c>
      <c r="Y58" s="310" cm="1">
        <f t="array" ref="Y58">INDEX('생산수량Back-Data'!$B$5:$AAA$10041,
       MATCH($B57,'생산수량Back-Data'!$B$5:$B$10041,0)+1,
       MATCH(Y$3,'생산수량Back-Data'!$B$3:$AAA$3,0))</f>
        <v>0</v>
      </c>
      <c r="Z58" s="310" cm="1">
        <f t="array" ref="Z58">INDEX('생산수량Back-Data'!$B$5:$AAA$10041,
       MATCH($B57,'생산수량Back-Data'!$B$5:$B$10041,0)+1,
       MATCH(Z$3,'생산수량Back-Data'!$B$3:$AAA$3,0))</f>
        <v>0</v>
      </c>
      <c r="AA58" s="310" cm="1">
        <f t="array" ref="AA58">INDEX('생산수량Back-Data'!$B$5:$AAA$10041,
       MATCH($B57,'생산수량Back-Data'!$B$5:$B$10041,0)+1,
       MATCH(AA$3,'생산수량Back-Data'!$B$3:$AAA$3,0))</f>
        <v>0</v>
      </c>
      <c r="AB58" s="310" cm="1">
        <f t="array" ref="AB58">INDEX('생산수량Back-Data'!$B$5:$AAA$10041,
       MATCH($B57,'생산수량Back-Data'!$B$5:$B$10041,0)+1,
       MATCH(AB$3,'생산수량Back-Data'!$B$3:$AAA$3,0))</f>
        <v>0</v>
      </c>
      <c r="AC58" s="310" cm="1">
        <f t="array" ref="AC58">INDEX('생산수량Back-Data'!$B$5:$AAA$10041,
       MATCH($B57,'생산수량Back-Data'!$B$5:$B$10041,0)+1,
       MATCH(AC$3,'생산수량Back-Data'!$B$3:$AAA$3,0))</f>
        <v>0</v>
      </c>
      <c r="AD58" s="310" cm="1">
        <f t="array" ref="AD58">INDEX('생산수량Back-Data'!$B$5:$AAA$10041,
       MATCH($B57,'생산수량Back-Data'!$B$5:$B$10041,0)+1,
       MATCH(AD$3,'생산수량Back-Data'!$B$3:$AAA$3,0))</f>
        <v>0</v>
      </c>
      <c r="AE58" s="310" cm="1">
        <f t="array" ref="AE58">INDEX('생산수량Back-Data'!$B$5:$AAA$10041,
       MATCH($B57,'생산수량Back-Data'!$B$5:$B$10041,0)+1,
       MATCH(AE$3,'생산수량Back-Data'!$B$3:$AAA$3,0))</f>
        <v>0</v>
      </c>
      <c r="AF58" s="310" cm="1">
        <f t="array" ref="AF58">INDEX('생산수량Back-Data'!$B$5:$AAA$10041,
       MATCH($B57,'생산수량Back-Data'!$B$5:$B$10041,0)+1,
       MATCH(AF$3,'생산수량Back-Data'!$B$3:$AAA$3,0))</f>
        <v>0</v>
      </c>
      <c r="AG58" s="310" cm="1">
        <f t="array" ref="AG58">INDEX('생산수량Back-Data'!$B$5:$AAA$10041,
       MATCH($B57,'생산수량Back-Data'!$B$5:$B$10041,0)+1,
       MATCH(AG$3,'생산수량Back-Data'!$B$3:$AAA$3,0))</f>
        <v>0</v>
      </c>
      <c r="AH58" s="310" cm="1">
        <f t="array" ref="AH58">INDEX('생산수량Back-Data'!$B$5:$AAA$10041,
       MATCH($B57,'생산수량Back-Data'!$B$5:$B$10041,0)+1,
       MATCH(AH$3,'생산수량Back-Data'!$B$3:$AAA$3,0))</f>
        <v>0</v>
      </c>
      <c r="AI58" s="310" cm="1">
        <f t="array" ref="AI58">INDEX('생산수량Back-Data'!$B$5:$AAA$10041,
       MATCH($B57,'생산수량Back-Data'!$B$5:$B$10041,0)+1,
       MATCH(AI$3,'생산수량Back-Data'!$B$3:$AAA$3,0))</f>
        <v>0</v>
      </c>
      <c r="AJ58" s="310" cm="1">
        <f t="array" ref="AJ58">INDEX('생산수량Back-Data'!$B$5:$AAA$10041,
       MATCH($B57,'생산수량Back-Data'!$B$5:$B$10041,0)+1,
       MATCH(AJ$3,'생산수량Back-Data'!$B$3:$AAA$3,0))</f>
        <v>0</v>
      </c>
      <c r="AK58" s="310" cm="1">
        <f t="array" ref="AK58">INDEX('생산수량Back-Data'!$B$5:$AAA$10041,
       MATCH($B57,'생산수량Back-Data'!$B$5:$B$10041,0)+1,
       MATCH(AK$3,'생산수량Back-Data'!$B$3:$AAA$3,0))</f>
        <v>0</v>
      </c>
      <c r="AL58" s="310" cm="1">
        <f t="array" ref="AL58">INDEX('생산수량Back-Data'!$B$5:$AAA$10041,
       MATCH($B57,'생산수량Back-Data'!$B$5:$B$10041,0)+1,
       MATCH(AL$3,'생산수량Back-Data'!$B$3:$AAA$3,0))</f>
        <v>0</v>
      </c>
      <c r="AM58" s="310" cm="1">
        <f t="array" ref="AM58">INDEX('생산수량Back-Data'!$B$5:$AAA$10041,
       MATCH($B57,'생산수량Back-Data'!$B$5:$B$10041,0)+1,
       MATCH(AM$3,'생산수량Back-Data'!$B$3:$AAA$3,0))</f>
        <v>0</v>
      </c>
      <c r="AN58" s="310" cm="1">
        <f t="array" ref="AN58">INDEX('생산수량Back-Data'!$B$5:$AAA$10041,
       MATCH($B57,'생산수량Back-Data'!$B$5:$B$10041,0)+1,
       MATCH(AN$3,'생산수량Back-Data'!$B$3:$AAA$3,0))</f>
        <v>0</v>
      </c>
      <c r="AO58" s="310" cm="1">
        <f t="array" ref="AO58">INDEX('생산수량Back-Data'!$B$5:$AAA$10041,
       MATCH($B57,'생산수량Back-Data'!$B$5:$B$10041,0)+1,
       MATCH(AO$3,'생산수량Back-Data'!$B$3:$AAA$3,0))</f>
        <v>0</v>
      </c>
      <c r="AP58" s="310" cm="1">
        <f t="array" ref="AP58">INDEX('생산수량Back-Data'!$B$5:$AAA$10041,
       MATCH($B57,'생산수량Back-Data'!$B$5:$B$10041,0)+1,
       MATCH(AP$3,'생산수량Back-Data'!$B$3:$AAA$3,0))</f>
        <v>0</v>
      </c>
      <c r="AQ58" s="310" cm="1">
        <f t="array" ref="AQ58">INDEX('생산수량Back-Data'!$B$5:$AAA$10041,
       MATCH($B57,'생산수량Back-Data'!$B$5:$B$10041,0)+1,
       MATCH(AQ$3,'생산수량Back-Data'!$B$3:$AAA$3,0))</f>
        <v>0</v>
      </c>
      <c r="AR58" s="310" cm="1">
        <f t="array" ref="AR58">INDEX('생산수량Back-Data'!$B$5:$AAA$10041,
       MATCH($B57,'생산수량Back-Data'!$B$5:$B$10041,0)+1,
       MATCH(AR$3,'생산수량Back-Data'!$B$3:$AAA$3,0))</f>
        <v>0</v>
      </c>
      <c r="AS58" s="310" cm="1">
        <f t="array" ref="AS58">INDEX('생산수량Back-Data'!$B$5:$AAA$10041,
       MATCH($B57,'생산수량Back-Data'!$B$5:$B$10041,0)+1,
       MATCH(AS$3,'생산수량Back-Data'!$B$3:$AAA$3,0))</f>
        <v>0</v>
      </c>
      <c r="AT58" s="324" cm="1">
        <f t="array" ref="AT58">INDEX('생산수량Back-Data'!$B$5:$AAA$10041,
       MATCH($B57,'생산수량Back-Data'!$B$5:$B$10041,0)+1,
       MATCH(AT$3,'생산수량Back-Data'!$B$3:$AAA$3,0))</f>
        <v>0</v>
      </c>
    </row>
    <row r="59" spans="2:46" ht="32.1" customHeight="1" x14ac:dyDescent="0.3">
      <c r="B59" s="444" t="s">
        <v>55</v>
      </c>
      <c r="C59" s="444" t="s">
        <v>185</v>
      </c>
      <c r="D59" s="444" t="s">
        <v>195</v>
      </c>
      <c r="E59" s="438">
        <f>ABS(SUMIFS('Fixture 총 발주수량'!Z:Z,'Fixture 총 발주수량'!B:B,'후공정(샌딩)생산계획'!B59,'Fixture 총 발주수량'!Z:Z,"&lt;0"))</f>
        <v>2340</v>
      </c>
      <c r="F59" s="431">
        <f>G59-E59</f>
        <v>-2340</v>
      </c>
      <c r="G59" s="437">
        <f>SUMIF(P59:AT59, "&gt;0")</f>
        <v>0</v>
      </c>
      <c r="H59" s="437">
        <f>SUMIF(P60:AT60, "&gt;0")</f>
        <v>0</v>
      </c>
      <c r="I59" s="442">
        <f>IFERROR(H59/G59,)</f>
        <v>0</v>
      </c>
      <c r="J59" s="437">
        <f ca="1">IFERROR(SUMIF('Fixture 총 발주수량'!B:AG,'후공정(샌딩)생산계획'!B59,'Fixture 총 발주수량'!AC:AC),)</f>
        <v>2188</v>
      </c>
      <c r="K59" s="458">
        <f>ROUNDUP(E59/2000,)</f>
        <v>2</v>
      </c>
      <c r="L59" s="458">
        <f>L57+K59</f>
        <v>45</v>
      </c>
      <c r="M59" s="458">
        <f>L59+K59</f>
        <v>47</v>
      </c>
      <c r="N59" s="438">
        <f>N57+K59</f>
        <v>45</v>
      </c>
      <c r="O59" s="306" t="s">
        <v>264</v>
      </c>
      <c r="P59" s="311"/>
      <c r="Q59" s="312"/>
      <c r="R59" s="312"/>
      <c r="S59" s="312"/>
      <c r="T59" s="312"/>
      <c r="U59" s="312"/>
      <c r="V59" s="312"/>
      <c r="W59" s="312"/>
      <c r="X59" s="312"/>
      <c r="Y59" s="312"/>
      <c r="Z59" s="312"/>
      <c r="AA59" s="312"/>
      <c r="AB59" s="312"/>
      <c r="AC59" s="312"/>
      <c r="AD59" s="312"/>
      <c r="AE59" s="312"/>
      <c r="AF59" s="312"/>
      <c r="AG59" s="312"/>
      <c r="AH59" s="312"/>
      <c r="AI59" s="312"/>
      <c r="AJ59" s="312"/>
      <c r="AK59" s="312"/>
      <c r="AL59" s="312"/>
      <c r="AM59" s="312"/>
      <c r="AN59" s="312"/>
      <c r="AO59" s="312"/>
      <c r="AP59" s="312"/>
      <c r="AQ59" s="312"/>
      <c r="AR59" s="312"/>
      <c r="AS59" s="312"/>
      <c r="AT59" s="313"/>
    </row>
    <row r="60" spans="2:46" ht="32.1" customHeight="1" x14ac:dyDescent="0.3">
      <c r="B60" s="445"/>
      <c r="C60" s="445"/>
      <c r="D60" s="445"/>
      <c r="E60" s="439"/>
      <c r="F60" s="459"/>
      <c r="G60" s="436"/>
      <c r="H60" s="436"/>
      <c r="I60" s="443"/>
      <c r="J60" s="436"/>
      <c r="K60" s="458"/>
      <c r="L60" s="458"/>
      <c r="M60" s="458"/>
      <c r="N60" s="439"/>
      <c r="O60" s="306" t="s">
        <v>266</v>
      </c>
      <c r="P60" s="310" cm="1">
        <f t="array" ref="P60">INDEX('생산수량Back-Data'!$B$5:$AAA$10041,
       MATCH($B59,'생산수량Back-Data'!$B$5:$B$10041,0)+1,
       MATCH(P$3,'생산수량Back-Data'!$B$3:$AAA$3,0))</f>
        <v>0</v>
      </c>
      <c r="Q60" s="310" cm="1">
        <f t="array" ref="Q60">INDEX('생산수량Back-Data'!$B$5:$AAA$10041,
       MATCH($B59,'생산수량Back-Data'!$B$5:$B$10041,0)+1,
       MATCH(Q$3,'생산수량Back-Data'!$B$3:$AAA$3,0))</f>
        <v>0</v>
      </c>
      <c r="R60" s="310" cm="1">
        <f t="array" ref="R60">INDEX('생산수량Back-Data'!$B$5:$AAA$10041,
       MATCH($B59,'생산수량Back-Data'!$B$5:$B$10041,0)+1,
       MATCH(R$3,'생산수량Back-Data'!$B$3:$AAA$3,0))</f>
        <v>0</v>
      </c>
      <c r="S60" s="310" cm="1">
        <f t="array" ref="S60">INDEX('생산수량Back-Data'!$B$5:$AAA$10041,
       MATCH($B59,'생산수량Back-Data'!$B$5:$B$10041,0)+1,
       MATCH(S$3,'생산수량Back-Data'!$B$3:$AAA$3,0))</f>
        <v>0</v>
      </c>
      <c r="T60" s="310" cm="1">
        <f t="array" ref="T60">INDEX('생산수량Back-Data'!$B$5:$AAA$10041,
       MATCH($B59,'생산수량Back-Data'!$B$5:$B$10041,0)+1,
       MATCH(T$3,'생산수량Back-Data'!$B$3:$AAA$3,0))</f>
        <v>0</v>
      </c>
      <c r="U60" s="310" cm="1">
        <f t="array" ref="U60">INDEX('생산수량Back-Data'!$B$5:$AAA$10041,
       MATCH($B59,'생산수량Back-Data'!$B$5:$B$10041,0)+1,
       MATCH(U$3,'생산수량Back-Data'!$B$3:$AAA$3,0))</f>
        <v>0</v>
      </c>
      <c r="V60" s="310" cm="1">
        <f t="array" ref="V60">INDEX('생산수량Back-Data'!$B$5:$AAA$10041,
       MATCH($B59,'생산수량Back-Data'!$B$5:$B$10041,0)+1,
       MATCH(V$3,'생산수량Back-Data'!$B$3:$AAA$3,0))</f>
        <v>0</v>
      </c>
      <c r="W60" s="310" cm="1">
        <f t="array" ref="W60">INDEX('생산수량Back-Data'!$B$5:$AAA$10041,
       MATCH($B59,'생산수량Back-Data'!$B$5:$B$10041,0)+1,
       MATCH(W$3,'생산수량Back-Data'!$B$3:$AAA$3,0))</f>
        <v>0</v>
      </c>
      <c r="X60" s="310" cm="1">
        <f t="array" ref="X60">INDEX('생산수량Back-Data'!$B$5:$AAA$10041,
       MATCH($B59,'생산수량Back-Data'!$B$5:$B$10041,0)+1,
       MATCH(X$3,'생산수량Back-Data'!$B$3:$AAA$3,0))</f>
        <v>0</v>
      </c>
      <c r="Y60" s="310" cm="1">
        <f t="array" ref="Y60">INDEX('생산수량Back-Data'!$B$5:$AAA$10041,
       MATCH($B59,'생산수량Back-Data'!$B$5:$B$10041,0)+1,
       MATCH(Y$3,'생산수량Back-Data'!$B$3:$AAA$3,0))</f>
        <v>0</v>
      </c>
      <c r="Z60" s="310" cm="1">
        <f t="array" ref="Z60">INDEX('생산수량Back-Data'!$B$5:$AAA$10041,
       MATCH($B59,'생산수량Back-Data'!$B$5:$B$10041,0)+1,
       MATCH(Z$3,'생산수량Back-Data'!$B$3:$AAA$3,0))</f>
        <v>0</v>
      </c>
      <c r="AA60" s="310" cm="1">
        <f t="array" ref="AA60">INDEX('생산수량Back-Data'!$B$5:$AAA$10041,
       MATCH($B59,'생산수량Back-Data'!$B$5:$B$10041,0)+1,
       MATCH(AA$3,'생산수량Back-Data'!$B$3:$AAA$3,0))</f>
        <v>0</v>
      </c>
      <c r="AB60" s="310" cm="1">
        <f t="array" ref="AB60">INDEX('생산수량Back-Data'!$B$5:$AAA$10041,
       MATCH($B59,'생산수량Back-Data'!$B$5:$B$10041,0)+1,
       MATCH(AB$3,'생산수량Back-Data'!$B$3:$AAA$3,0))</f>
        <v>0</v>
      </c>
      <c r="AC60" s="310" cm="1">
        <f t="array" ref="AC60">INDEX('생산수량Back-Data'!$B$5:$AAA$10041,
       MATCH($B59,'생산수량Back-Data'!$B$5:$B$10041,0)+1,
       MATCH(AC$3,'생산수량Back-Data'!$B$3:$AAA$3,0))</f>
        <v>0</v>
      </c>
      <c r="AD60" s="310" cm="1">
        <f t="array" ref="AD60">INDEX('생산수량Back-Data'!$B$5:$AAA$10041,
       MATCH($B59,'생산수량Back-Data'!$B$5:$B$10041,0)+1,
       MATCH(AD$3,'생산수량Back-Data'!$B$3:$AAA$3,0))</f>
        <v>0</v>
      </c>
      <c r="AE60" s="310" cm="1">
        <f t="array" ref="AE60">INDEX('생산수량Back-Data'!$B$5:$AAA$10041,
       MATCH($B59,'생산수량Back-Data'!$B$5:$B$10041,0)+1,
       MATCH(AE$3,'생산수량Back-Data'!$B$3:$AAA$3,0))</f>
        <v>0</v>
      </c>
      <c r="AF60" s="310" cm="1">
        <f t="array" ref="AF60">INDEX('생산수량Back-Data'!$B$5:$AAA$10041,
       MATCH($B59,'생산수량Back-Data'!$B$5:$B$10041,0)+1,
       MATCH(AF$3,'생산수량Back-Data'!$B$3:$AAA$3,0))</f>
        <v>0</v>
      </c>
      <c r="AG60" s="310" cm="1">
        <f t="array" ref="AG60">INDEX('생산수량Back-Data'!$B$5:$AAA$10041,
       MATCH($B59,'생산수량Back-Data'!$B$5:$B$10041,0)+1,
       MATCH(AG$3,'생산수량Back-Data'!$B$3:$AAA$3,0))</f>
        <v>0</v>
      </c>
      <c r="AH60" s="310" cm="1">
        <f t="array" ref="AH60">INDEX('생산수량Back-Data'!$B$5:$AAA$10041,
       MATCH($B59,'생산수량Back-Data'!$B$5:$B$10041,0)+1,
       MATCH(AH$3,'생산수량Back-Data'!$B$3:$AAA$3,0))</f>
        <v>0</v>
      </c>
      <c r="AI60" s="310" cm="1">
        <f t="array" ref="AI60">INDEX('생산수량Back-Data'!$B$5:$AAA$10041,
       MATCH($B59,'생산수량Back-Data'!$B$5:$B$10041,0)+1,
       MATCH(AI$3,'생산수량Back-Data'!$B$3:$AAA$3,0))</f>
        <v>0</v>
      </c>
      <c r="AJ60" s="310" cm="1">
        <f t="array" ref="AJ60">INDEX('생산수량Back-Data'!$B$5:$AAA$10041,
       MATCH($B59,'생산수량Back-Data'!$B$5:$B$10041,0)+1,
       MATCH(AJ$3,'생산수량Back-Data'!$B$3:$AAA$3,0))</f>
        <v>0</v>
      </c>
      <c r="AK60" s="310" cm="1">
        <f t="array" ref="AK60">INDEX('생산수량Back-Data'!$B$5:$AAA$10041,
       MATCH($B59,'생산수량Back-Data'!$B$5:$B$10041,0)+1,
       MATCH(AK$3,'생산수량Back-Data'!$B$3:$AAA$3,0))</f>
        <v>0</v>
      </c>
      <c r="AL60" s="310" cm="1">
        <f t="array" ref="AL60">INDEX('생산수량Back-Data'!$B$5:$AAA$10041,
       MATCH($B59,'생산수량Back-Data'!$B$5:$B$10041,0)+1,
       MATCH(AL$3,'생산수량Back-Data'!$B$3:$AAA$3,0))</f>
        <v>0</v>
      </c>
      <c r="AM60" s="310" cm="1">
        <f t="array" ref="AM60">INDEX('생산수량Back-Data'!$B$5:$AAA$10041,
       MATCH($B59,'생산수량Back-Data'!$B$5:$B$10041,0)+1,
       MATCH(AM$3,'생산수량Back-Data'!$B$3:$AAA$3,0))</f>
        <v>0</v>
      </c>
      <c r="AN60" s="310" cm="1">
        <f t="array" ref="AN60">INDEX('생산수량Back-Data'!$B$5:$AAA$10041,
       MATCH($B59,'생산수량Back-Data'!$B$5:$B$10041,0)+1,
       MATCH(AN$3,'생산수량Back-Data'!$B$3:$AAA$3,0))</f>
        <v>0</v>
      </c>
      <c r="AO60" s="310" cm="1">
        <f t="array" ref="AO60">INDEX('생산수량Back-Data'!$B$5:$AAA$10041,
       MATCH($B59,'생산수량Back-Data'!$B$5:$B$10041,0)+1,
       MATCH(AO$3,'생산수량Back-Data'!$B$3:$AAA$3,0))</f>
        <v>0</v>
      </c>
      <c r="AP60" s="310" cm="1">
        <f t="array" ref="AP60">INDEX('생산수량Back-Data'!$B$5:$AAA$10041,
       MATCH($B59,'생산수량Back-Data'!$B$5:$B$10041,0)+1,
       MATCH(AP$3,'생산수량Back-Data'!$B$3:$AAA$3,0))</f>
        <v>0</v>
      </c>
      <c r="AQ60" s="310" cm="1">
        <f t="array" ref="AQ60">INDEX('생산수량Back-Data'!$B$5:$AAA$10041,
       MATCH($B59,'생산수량Back-Data'!$B$5:$B$10041,0)+1,
       MATCH(AQ$3,'생산수량Back-Data'!$B$3:$AAA$3,0))</f>
        <v>0</v>
      </c>
      <c r="AR60" s="310" cm="1">
        <f t="array" ref="AR60">INDEX('생산수량Back-Data'!$B$5:$AAA$10041,
       MATCH($B59,'생산수량Back-Data'!$B$5:$B$10041,0)+1,
       MATCH(AR$3,'생산수량Back-Data'!$B$3:$AAA$3,0))</f>
        <v>0</v>
      </c>
      <c r="AS60" s="310" cm="1">
        <f t="array" ref="AS60">INDEX('생산수량Back-Data'!$B$5:$AAA$10041,
       MATCH($B59,'생산수량Back-Data'!$B$5:$B$10041,0)+1,
       MATCH(AS$3,'생산수량Back-Data'!$B$3:$AAA$3,0))</f>
        <v>0</v>
      </c>
      <c r="AT60" s="324" cm="1">
        <f t="array" ref="AT60">INDEX('생산수량Back-Data'!$B$5:$AAA$10041,
       MATCH($B59,'생산수량Back-Data'!$B$5:$B$10041,0)+1,
       MATCH(AT$3,'생산수량Back-Data'!$B$3:$AAA$3,0))</f>
        <v>0</v>
      </c>
    </row>
    <row r="61" spans="2:46" ht="32.1" customHeight="1" x14ac:dyDescent="0.3">
      <c r="B61" s="444" t="s">
        <v>51</v>
      </c>
      <c r="C61" s="444" t="s">
        <v>185</v>
      </c>
      <c r="D61" s="444" t="s">
        <v>196</v>
      </c>
      <c r="E61" s="438">
        <f>ABS(SUMIFS('Fixture 총 발주수량'!Z:Z,'Fixture 총 발주수량'!B:B,'후공정(샌딩)생산계획'!B61,'Fixture 총 발주수량'!Z:Z,"&lt;0"))</f>
        <v>10304</v>
      </c>
      <c r="F61" s="431">
        <f>G61-E61</f>
        <v>-10304</v>
      </c>
      <c r="G61" s="437">
        <f>SUMIF(P61:AT61, "&gt;0")</f>
        <v>0</v>
      </c>
      <c r="H61" s="437">
        <f>SUMIF(P62:AT62, "&gt;0")</f>
        <v>760</v>
      </c>
      <c r="I61" s="442">
        <f>IFERROR(H61/G61,)</f>
        <v>0</v>
      </c>
      <c r="J61" s="437">
        <f ca="1">IFERROR(SUMIF('Fixture 총 발주수량'!B:AG,'후공정(샌딩)생산계획'!B61,'Fixture 총 발주수량'!AC:AC),)</f>
        <v>2525</v>
      </c>
      <c r="K61" s="458">
        <f>ROUNDUP(E61/2000,)</f>
        <v>6</v>
      </c>
      <c r="L61" s="458">
        <f>L59+K61</f>
        <v>51</v>
      </c>
      <c r="M61" s="458">
        <f>L61+K61</f>
        <v>57</v>
      </c>
      <c r="N61" s="438">
        <f>N59+K61</f>
        <v>51</v>
      </c>
      <c r="O61" s="306" t="s">
        <v>264</v>
      </c>
      <c r="P61" s="311"/>
      <c r="Q61" s="312"/>
      <c r="R61" s="312"/>
      <c r="S61" s="312"/>
      <c r="T61" s="312"/>
      <c r="U61" s="312"/>
      <c r="V61" s="312"/>
      <c r="W61" s="312"/>
      <c r="X61" s="312"/>
      <c r="Y61" s="312"/>
      <c r="Z61" s="312"/>
      <c r="AA61" s="312"/>
      <c r="AB61" s="312"/>
      <c r="AC61" s="312"/>
      <c r="AD61" s="312"/>
      <c r="AE61" s="312"/>
      <c r="AF61" s="312"/>
      <c r="AG61" s="312"/>
      <c r="AH61" s="312"/>
      <c r="AI61" s="312"/>
      <c r="AJ61" s="312"/>
      <c r="AK61" s="312"/>
      <c r="AL61" s="312"/>
      <c r="AM61" s="312"/>
      <c r="AN61" s="312"/>
      <c r="AO61" s="312"/>
      <c r="AP61" s="312"/>
      <c r="AQ61" s="312"/>
      <c r="AR61" s="312"/>
      <c r="AS61" s="312"/>
      <c r="AT61" s="313"/>
    </row>
    <row r="62" spans="2:46" ht="32.1" customHeight="1" x14ac:dyDescent="0.3">
      <c r="B62" s="445"/>
      <c r="C62" s="445"/>
      <c r="D62" s="445"/>
      <c r="E62" s="439"/>
      <c r="F62" s="459"/>
      <c r="G62" s="436"/>
      <c r="H62" s="436"/>
      <c r="I62" s="443"/>
      <c r="J62" s="436"/>
      <c r="K62" s="458"/>
      <c r="L62" s="458"/>
      <c r="M62" s="458"/>
      <c r="N62" s="439"/>
      <c r="O62" s="306" t="s">
        <v>266</v>
      </c>
      <c r="P62" s="310" cm="1">
        <f t="array" ref="P62">INDEX('생산수량Back-Data'!$B$5:$AAA$10041,
       MATCH($B61,'생산수량Back-Data'!$B$5:$B$10041,0)+1,
       MATCH(P$3,'생산수량Back-Data'!$B$3:$AAA$3,0))</f>
        <v>0</v>
      </c>
      <c r="Q62" s="310" cm="1">
        <f t="array" ref="Q62">INDEX('생산수량Back-Data'!$B$5:$AAA$10041,
       MATCH($B61,'생산수량Back-Data'!$B$5:$B$10041,0)+1,
       MATCH(Q$3,'생산수량Back-Data'!$B$3:$AAA$3,0))</f>
        <v>0</v>
      </c>
      <c r="R62" s="310" cm="1">
        <f t="array" ref="R62">INDEX('생산수량Back-Data'!$B$5:$AAA$10041,
       MATCH($B61,'생산수량Back-Data'!$B$5:$B$10041,0)+1,
       MATCH(R$3,'생산수량Back-Data'!$B$3:$AAA$3,0))</f>
        <v>0</v>
      </c>
      <c r="S62" s="310" cm="1">
        <f t="array" ref="S62">INDEX('생산수량Back-Data'!$B$5:$AAA$10041,
       MATCH($B61,'생산수량Back-Data'!$B$5:$B$10041,0)+1,
       MATCH(S$3,'생산수량Back-Data'!$B$3:$AAA$3,0))</f>
        <v>0</v>
      </c>
      <c r="T62" s="310" cm="1">
        <f t="array" ref="T62">INDEX('생산수량Back-Data'!$B$5:$AAA$10041,
       MATCH($B61,'생산수량Back-Data'!$B$5:$B$10041,0)+1,
       MATCH(T$3,'생산수량Back-Data'!$B$3:$AAA$3,0))</f>
        <v>0</v>
      </c>
      <c r="U62" s="310" cm="1">
        <f t="array" ref="U62">INDEX('생산수량Back-Data'!$B$5:$AAA$10041,
       MATCH($B61,'생산수량Back-Data'!$B$5:$B$10041,0)+1,
       MATCH(U$3,'생산수량Back-Data'!$B$3:$AAA$3,0))</f>
        <v>760</v>
      </c>
      <c r="V62" s="310" cm="1">
        <f t="array" ref="V62">INDEX('생산수량Back-Data'!$B$5:$AAA$10041,
       MATCH($B61,'생산수량Back-Data'!$B$5:$B$10041,0)+1,
       MATCH(V$3,'생산수량Back-Data'!$B$3:$AAA$3,0))</f>
        <v>0</v>
      </c>
      <c r="W62" s="310" cm="1">
        <f t="array" ref="W62">INDEX('생산수량Back-Data'!$B$5:$AAA$10041,
       MATCH($B61,'생산수량Back-Data'!$B$5:$B$10041,0)+1,
       MATCH(W$3,'생산수량Back-Data'!$B$3:$AAA$3,0))</f>
        <v>0</v>
      </c>
      <c r="X62" s="310" cm="1">
        <f t="array" ref="X62">INDEX('생산수량Back-Data'!$B$5:$AAA$10041,
       MATCH($B61,'생산수량Back-Data'!$B$5:$B$10041,0)+1,
       MATCH(X$3,'생산수량Back-Data'!$B$3:$AAA$3,0))</f>
        <v>0</v>
      </c>
      <c r="Y62" s="310" cm="1">
        <f t="array" ref="Y62">INDEX('생산수량Back-Data'!$B$5:$AAA$10041,
       MATCH($B61,'생산수량Back-Data'!$B$5:$B$10041,0)+1,
       MATCH(Y$3,'생산수량Back-Data'!$B$3:$AAA$3,0))</f>
        <v>0</v>
      </c>
      <c r="Z62" s="310" cm="1">
        <f t="array" ref="Z62">INDEX('생산수량Back-Data'!$B$5:$AAA$10041,
       MATCH($B61,'생산수량Back-Data'!$B$5:$B$10041,0)+1,
       MATCH(Z$3,'생산수량Back-Data'!$B$3:$AAA$3,0))</f>
        <v>0</v>
      </c>
      <c r="AA62" s="310" cm="1">
        <f t="array" ref="AA62">INDEX('생산수량Back-Data'!$B$5:$AAA$10041,
       MATCH($B61,'생산수량Back-Data'!$B$5:$B$10041,0)+1,
       MATCH(AA$3,'생산수량Back-Data'!$B$3:$AAA$3,0))</f>
        <v>0</v>
      </c>
      <c r="AB62" s="310" cm="1">
        <f t="array" ref="AB62">INDEX('생산수량Back-Data'!$B$5:$AAA$10041,
       MATCH($B61,'생산수량Back-Data'!$B$5:$B$10041,0)+1,
       MATCH(AB$3,'생산수량Back-Data'!$B$3:$AAA$3,0))</f>
        <v>0</v>
      </c>
      <c r="AC62" s="310" cm="1">
        <f t="array" ref="AC62">INDEX('생산수량Back-Data'!$B$5:$AAA$10041,
       MATCH($B61,'생산수량Back-Data'!$B$5:$B$10041,0)+1,
       MATCH(AC$3,'생산수량Back-Data'!$B$3:$AAA$3,0))</f>
        <v>0</v>
      </c>
      <c r="AD62" s="310" cm="1">
        <f t="array" ref="AD62">INDEX('생산수량Back-Data'!$B$5:$AAA$10041,
       MATCH($B61,'생산수량Back-Data'!$B$5:$B$10041,0)+1,
       MATCH(AD$3,'생산수량Back-Data'!$B$3:$AAA$3,0))</f>
        <v>0</v>
      </c>
      <c r="AE62" s="310" cm="1">
        <f t="array" ref="AE62">INDEX('생산수량Back-Data'!$B$5:$AAA$10041,
       MATCH($B61,'생산수량Back-Data'!$B$5:$B$10041,0)+1,
       MATCH(AE$3,'생산수량Back-Data'!$B$3:$AAA$3,0))</f>
        <v>0</v>
      </c>
      <c r="AF62" s="310" cm="1">
        <f t="array" ref="AF62">INDEX('생산수량Back-Data'!$B$5:$AAA$10041,
       MATCH($B61,'생산수량Back-Data'!$B$5:$B$10041,0)+1,
       MATCH(AF$3,'생산수량Back-Data'!$B$3:$AAA$3,0))</f>
        <v>0</v>
      </c>
      <c r="AG62" s="310" cm="1">
        <f t="array" ref="AG62">INDEX('생산수량Back-Data'!$B$5:$AAA$10041,
       MATCH($B61,'생산수량Back-Data'!$B$5:$B$10041,0)+1,
       MATCH(AG$3,'생산수량Back-Data'!$B$3:$AAA$3,0))</f>
        <v>0</v>
      </c>
      <c r="AH62" s="310" cm="1">
        <f t="array" ref="AH62">INDEX('생산수량Back-Data'!$B$5:$AAA$10041,
       MATCH($B61,'생산수량Back-Data'!$B$5:$B$10041,0)+1,
       MATCH(AH$3,'생산수량Back-Data'!$B$3:$AAA$3,0))</f>
        <v>0</v>
      </c>
      <c r="AI62" s="310" cm="1">
        <f t="array" ref="AI62">INDEX('생산수량Back-Data'!$B$5:$AAA$10041,
       MATCH($B61,'생산수량Back-Data'!$B$5:$B$10041,0)+1,
       MATCH(AI$3,'생산수량Back-Data'!$B$3:$AAA$3,0))</f>
        <v>0</v>
      </c>
      <c r="AJ62" s="310" cm="1">
        <f t="array" ref="AJ62">INDEX('생산수량Back-Data'!$B$5:$AAA$10041,
       MATCH($B61,'생산수량Back-Data'!$B$5:$B$10041,0)+1,
       MATCH(AJ$3,'생산수량Back-Data'!$B$3:$AAA$3,0))</f>
        <v>0</v>
      </c>
      <c r="AK62" s="310" cm="1">
        <f t="array" ref="AK62">INDEX('생산수량Back-Data'!$B$5:$AAA$10041,
       MATCH($B61,'생산수량Back-Data'!$B$5:$B$10041,0)+1,
       MATCH(AK$3,'생산수량Back-Data'!$B$3:$AAA$3,0))</f>
        <v>0</v>
      </c>
      <c r="AL62" s="310" cm="1">
        <f t="array" ref="AL62">INDEX('생산수량Back-Data'!$B$5:$AAA$10041,
       MATCH($B61,'생산수량Back-Data'!$B$5:$B$10041,0)+1,
       MATCH(AL$3,'생산수량Back-Data'!$B$3:$AAA$3,0))</f>
        <v>0</v>
      </c>
      <c r="AM62" s="310" cm="1">
        <f t="array" ref="AM62">INDEX('생산수량Back-Data'!$B$5:$AAA$10041,
       MATCH($B61,'생산수량Back-Data'!$B$5:$B$10041,0)+1,
       MATCH(AM$3,'생산수량Back-Data'!$B$3:$AAA$3,0))</f>
        <v>0</v>
      </c>
      <c r="AN62" s="310" cm="1">
        <f t="array" ref="AN62">INDEX('생산수량Back-Data'!$B$5:$AAA$10041,
       MATCH($B61,'생산수량Back-Data'!$B$5:$B$10041,0)+1,
       MATCH(AN$3,'생산수량Back-Data'!$B$3:$AAA$3,0))</f>
        <v>0</v>
      </c>
      <c r="AO62" s="310" cm="1">
        <f t="array" ref="AO62">INDEX('생산수량Back-Data'!$B$5:$AAA$10041,
       MATCH($B61,'생산수량Back-Data'!$B$5:$B$10041,0)+1,
       MATCH(AO$3,'생산수량Back-Data'!$B$3:$AAA$3,0))</f>
        <v>0</v>
      </c>
      <c r="AP62" s="310" cm="1">
        <f t="array" ref="AP62">INDEX('생산수량Back-Data'!$B$5:$AAA$10041,
       MATCH($B61,'생산수량Back-Data'!$B$5:$B$10041,0)+1,
       MATCH(AP$3,'생산수량Back-Data'!$B$3:$AAA$3,0))</f>
        <v>0</v>
      </c>
      <c r="AQ62" s="310" cm="1">
        <f t="array" ref="AQ62">INDEX('생산수량Back-Data'!$B$5:$AAA$10041,
       MATCH($B61,'생산수량Back-Data'!$B$5:$B$10041,0)+1,
       MATCH(AQ$3,'생산수량Back-Data'!$B$3:$AAA$3,0))</f>
        <v>0</v>
      </c>
      <c r="AR62" s="310" cm="1">
        <f t="array" ref="AR62">INDEX('생산수량Back-Data'!$B$5:$AAA$10041,
       MATCH($B61,'생산수량Back-Data'!$B$5:$B$10041,0)+1,
       MATCH(AR$3,'생산수량Back-Data'!$B$3:$AAA$3,0))</f>
        <v>0</v>
      </c>
      <c r="AS62" s="310" cm="1">
        <f t="array" ref="AS62">INDEX('생산수량Back-Data'!$B$5:$AAA$10041,
       MATCH($B61,'생산수량Back-Data'!$B$5:$B$10041,0)+1,
       MATCH(AS$3,'생산수량Back-Data'!$B$3:$AAA$3,0))</f>
        <v>0</v>
      </c>
      <c r="AT62" s="324" cm="1">
        <f t="array" ref="AT62">INDEX('생산수량Back-Data'!$B$5:$AAA$10041,
       MATCH($B61,'생산수량Back-Data'!$B$5:$B$10041,0)+1,
       MATCH(AT$3,'생산수량Back-Data'!$B$3:$AAA$3,0))</f>
        <v>0</v>
      </c>
    </row>
    <row r="63" spans="2:46" ht="32.1" customHeight="1" x14ac:dyDescent="0.3">
      <c r="B63" s="444" t="s">
        <v>56</v>
      </c>
      <c r="C63" s="444" t="s">
        <v>185</v>
      </c>
      <c r="D63" s="444" t="s">
        <v>196</v>
      </c>
      <c r="E63" s="438">
        <f>ABS(SUMIFS('Fixture 총 발주수량'!Z:Z,'Fixture 총 발주수량'!B:B,'후공정(샌딩)생산계획'!B63,'Fixture 총 발주수량'!Z:Z,"&lt;0"))</f>
        <v>7821</v>
      </c>
      <c r="F63" s="431">
        <f>G63-E63</f>
        <v>-7821</v>
      </c>
      <c r="G63" s="437">
        <f>SUMIF(P63:AT63, "&gt;0")</f>
        <v>0</v>
      </c>
      <c r="H63" s="437">
        <f>SUMIF(P64:AT64, "&gt;0")</f>
        <v>0</v>
      </c>
      <c r="I63" s="442">
        <f>IFERROR(H63/G63,)</f>
        <v>0</v>
      </c>
      <c r="J63" s="437">
        <f ca="1">IFERROR(SUMIF('Fixture 총 발주수량'!B:AG,'후공정(샌딩)생산계획'!B63,'Fixture 총 발주수량'!AC:AC),)</f>
        <v>7895</v>
      </c>
      <c r="K63" s="458">
        <f>ROUNDUP(E63/2000,)</f>
        <v>4</v>
      </c>
      <c r="L63" s="458">
        <f>L61+K63</f>
        <v>55</v>
      </c>
      <c r="M63" s="458">
        <f>L63+K63</f>
        <v>59</v>
      </c>
      <c r="N63" s="438">
        <f>N61+K63</f>
        <v>55</v>
      </c>
      <c r="O63" s="306" t="s">
        <v>264</v>
      </c>
      <c r="P63" s="311"/>
      <c r="Q63" s="312"/>
      <c r="R63" s="312"/>
      <c r="S63" s="312"/>
      <c r="T63" s="312"/>
      <c r="U63" s="312"/>
      <c r="V63" s="312"/>
      <c r="W63" s="312"/>
      <c r="X63" s="312"/>
      <c r="Y63" s="312"/>
      <c r="Z63" s="312"/>
      <c r="AA63" s="312"/>
      <c r="AB63" s="312"/>
      <c r="AC63" s="312"/>
      <c r="AD63" s="312"/>
      <c r="AE63" s="312"/>
      <c r="AF63" s="312"/>
      <c r="AG63" s="312"/>
      <c r="AH63" s="312"/>
      <c r="AI63" s="312"/>
      <c r="AJ63" s="312"/>
      <c r="AK63" s="312"/>
      <c r="AL63" s="312"/>
      <c r="AM63" s="312"/>
      <c r="AN63" s="312"/>
      <c r="AO63" s="312"/>
      <c r="AP63" s="312"/>
      <c r="AQ63" s="312"/>
      <c r="AR63" s="312"/>
      <c r="AS63" s="312"/>
      <c r="AT63" s="313"/>
    </row>
    <row r="64" spans="2:46" ht="32.1" customHeight="1" x14ac:dyDescent="0.3">
      <c r="B64" s="445"/>
      <c r="C64" s="445"/>
      <c r="D64" s="445"/>
      <c r="E64" s="439"/>
      <c r="F64" s="459"/>
      <c r="G64" s="436"/>
      <c r="H64" s="436"/>
      <c r="I64" s="443"/>
      <c r="J64" s="436"/>
      <c r="K64" s="458"/>
      <c r="L64" s="458"/>
      <c r="M64" s="458"/>
      <c r="N64" s="439"/>
      <c r="O64" s="306" t="s">
        <v>266</v>
      </c>
      <c r="P64" s="310" cm="1">
        <f t="array" ref="P64">INDEX('생산수량Back-Data'!$B$5:$AAA$10041,
       MATCH($B63,'생산수량Back-Data'!$B$5:$B$10041,0)+1,
       MATCH(P$3,'생산수량Back-Data'!$B$3:$AAA$3,0))</f>
        <v>0</v>
      </c>
      <c r="Q64" s="310" cm="1">
        <f t="array" ref="Q64">INDEX('생산수량Back-Data'!$B$5:$AAA$10041,
       MATCH($B63,'생산수량Back-Data'!$B$5:$B$10041,0)+1,
       MATCH(Q$3,'생산수량Back-Data'!$B$3:$AAA$3,0))</f>
        <v>0</v>
      </c>
      <c r="R64" s="310" cm="1">
        <f t="array" ref="R64">INDEX('생산수량Back-Data'!$B$5:$AAA$10041,
       MATCH($B63,'생산수량Back-Data'!$B$5:$B$10041,0)+1,
       MATCH(R$3,'생산수량Back-Data'!$B$3:$AAA$3,0))</f>
        <v>0</v>
      </c>
      <c r="S64" s="310" cm="1">
        <f t="array" ref="S64">INDEX('생산수량Back-Data'!$B$5:$AAA$10041,
       MATCH($B63,'생산수량Back-Data'!$B$5:$B$10041,0)+1,
       MATCH(S$3,'생산수량Back-Data'!$B$3:$AAA$3,0))</f>
        <v>0</v>
      </c>
      <c r="T64" s="310" cm="1">
        <f t="array" ref="T64">INDEX('생산수량Back-Data'!$B$5:$AAA$10041,
       MATCH($B63,'생산수량Back-Data'!$B$5:$B$10041,0)+1,
       MATCH(T$3,'생산수량Back-Data'!$B$3:$AAA$3,0))</f>
        <v>0</v>
      </c>
      <c r="U64" s="310" cm="1">
        <f t="array" ref="U64">INDEX('생산수량Back-Data'!$B$5:$AAA$10041,
       MATCH($B63,'생산수량Back-Data'!$B$5:$B$10041,0)+1,
       MATCH(U$3,'생산수량Back-Data'!$B$3:$AAA$3,0))</f>
        <v>0</v>
      </c>
      <c r="V64" s="310" cm="1">
        <f t="array" ref="V64">INDEX('생산수량Back-Data'!$B$5:$AAA$10041,
       MATCH($B63,'생산수량Back-Data'!$B$5:$B$10041,0)+1,
       MATCH(V$3,'생산수량Back-Data'!$B$3:$AAA$3,0))</f>
        <v>0</v>
      </c>
      <c r="W64" s="310" cm="1">
        <f t="array" ref="W64">INDEX('생산수량Back-Data'!$B$5:$AAA$10041,
       MATCH($B63,'생산수량Back-Data'!$B$5:$B$10041,0)+1,
       MATCH(W$3,'생산수량Back-Data'!$B$3:$AAA$3,0))</f>
        <v>0</v>
      </c>
      <c r="X64" s="310" cm="1">
        <f t="array" ref="X64">INDEX('생산수량Back-Data'!$B$5:$AAA$10041,
       MATCH($B63,'생산수량Back-Data'!$B$5:$B$10041,0)+1,
       MATCH(X$3,'생산수량Back-Data'!$B$3:$AAA$3,0))</f>
        <v>0</v>
      </c>
      <c r="Y64" s="310" cm="1">
        <f t="array" ref="Y64">INDEX('생산수량Back-Data'!$B$5:$AAA$10041,
       MATCH($B63,'생산수량Back-Data'!$B$5:$B$10041,0)+1,
       MATCH(Y$3,'생산수량Back-Data'!$B$3:$AAA$3,0))</f>
        <v>0</v>
      </c>
      <c r="Z64" s="310" cm="1">
        <f t="array" ref="Z64">INDEX('생산수량Back-Data'!$B$5:$AAA$10041,
       MATCH($B63,'생산수량Back-Data'!$B$5:$B$10041,0)+1,
       MATCH(Z$3,'생산수량Back-Data'!$B$3:$AAA$3,0))</f>
        <v>0</v>
      </c>
      <c r="AA64" s="310" cm="1">
        <f t="array" ref="AA64">INDEX('생산수량Back-Data'!$B$5:$AAA$10041,
       MATCH($B63,'생산수량Back-Data'!$B$5:$B$10041,0)+1,
       MATCH(AA$3,'생산수량Back-Data'!$B$3:$AAA$3,0))</f>
        <v>0</v>
      </c>
      <c r="AB64" s="310" cm="1">
        <f t="array" ref="AB64">INDEX('생산수량Back-Data'!$B$5:$AAA$10041,
       MATCH($B63,'생산수량Back-Data'!$B$5:$B$10041,0)+1,
       MATCH(AB$3,'생산수량Back-Data'!$B$3:$AAA$3,0))</f>
        <v>0</v>
      </c>
      <c r="AC64" s="310" cm="1">
        <f t="array" ref="AC64">INDEX('생산수량Back-Data'!$B$5:$AAA$10041,
       MATCH($B63,'생산수량Back-Data'!$B$5:$B$10041,0)+1,
       MATCH(AC$3,'생산수량Back-Data'!$B$3:$AAA$3,0))</f>
        <v>0</v>
      </c>
      <c r="AD64" s="310" cm="1">
        <f t="array" ref="AD64">INDEX('생산수량Back-Data'!$B$5:$AAA$10041,
       MATCH($B63,'생산수량Back-Data'!$B$5:$B$10041,0)+1,
       MATCH(AD$3,'생산수량Back-Data'!$B$3:$AAA$3,0))</f>
        <v>0</v>
      </c>
      <c r="AE64" s="310" cm="1">
        <f t="array" ref="AE64">INDEX('생산수량Back-Data'!$B$5:$AAA$10041,
       MATCH($B63,'생산수량Back-Data'!$B$5:$B$10041,0)+1,
       MATCH(AE$3,'생산수량Back-Data'!$B$3:$AAA$3,0))</f>
        <v>0</v>
      </c>
      <c r="AF64" s="310" cm="1">
        <f t="array" ref="AF64">INDEX('생산수량Back-Data'!$B$5:$AAA$10041,
       MATCH($B63,'생산수량Back-Data'!$B$5:$B$10041,0)+1,
       MATCH(AF$3,'생산수량Back-Data'!$B$3:$AAA$3,0))</f>
        <v>0</v>
      </c>
      <c r="AG64" s="310" cm="1">
        <f t="array" ref="AG64">INDEX('생산수량Back-Data'!$B$5:$AAA$10041,
       MATCH($B63,'생산수량Back-Data'!$B$5:$B$10041,0)+1,
       MATCH(AG$3,'생산수량Back-Data'!$B$3:$AAA$3,0))</f>
        <v>0</v>
      </c>
      <c r="AH64" s="310" cm="1">
        <f t="array" ref="AH64">INDEX('생산수량Back-Data'!$B$5:$AAA$10041,
       MATCH($B63,'생산수량Back-Data'!$B$5:$B$10041,0)+1,
       MATCH(AH$3,'생산수량Back-Data'!$B$3:$AAA$3,0))</f>
        <v>0</v>
      </c>
      <c r="AI64" s="310" cm="1">
        <f t="array" ref="AI64">INDEX('생산수량Back-Data'!$B$5:$AAA$10041,
       MATCH($B63,'생산수량Back-Data'!$B$5:$B$10041,0)+1,
       MATCH(AI$3,'생산수량Back-Data'!$B$3:$AAA$3,0))</f>
        <v>0</v>
      </c>
      <c r="AJ64" s="310" cm="1">
        <f t="array" ref="AJ64">INDEX('생산수량Back-Data'!$B$5:$AAA$10041,
       MATCH($B63,'생산수량Back-Data'!$B$5:$B$10041,0)+1,
       MATCH(AJ$3,'생산수량Back-Data'!$B$3:$AAA$3,0))</f>
        <v>0</v>
      </c>
      <c r="AK64" s="310" cm="1">
        <f t="array" ref="AK64">INDEX('생산수량Back-Data'!$B$5:$AAA$10041,
       MATCH($B63,'생산수량Back-Data'!$B$5:$B$10041,0)+1,
       MATCH(AK$3,'생산수량Back-Data'!$B$3:$AAA$3,0))</f>
        <v>0</v>
      </c>
      <c r="AL64" s="310" cm="1">
        <f t="array" ref="AL64">INDEX('생산수량Back-Data'!$B$5:$AAA$10041,
       MATCH($B63,'생산수량Back-Data'!$B$5:$B$10041,0)+1,
       MATCH(AL$3,'생산수량Back-Data'!$B$3:$AAA$3,0))</f>
        <v>0</v>
      </c>
      <c r="AM64" s="310" cm="1">
        <f t="array" ref="AM64">INDEX('생산수량Back-Data'!$B$5:$AAA$10041,
       MATCH($B63,'생산수량Back-Data'!$B$5:$B$10041,0)+1,
       MATCH(AM$3,'생산수량Back-Data'!$B$3:$AAA$3,0))</f>
        <v>0</v>
      </c>
      <c r="AN64" s="310" cm="1">
        <f t="array" ref="AN64">INDEX('생산수량Back-Data'!$B$5:$AAA$10041,
       MATCH($B63,'생산수량Back-Data'!$B$5:$B$10041,0)+1,
       MATCH(AN$3,'생산수량Back-Data'!$B$3:$AAA$3,0))</f>
        <v>0</v>
      </c>
      <c r="AO64" s="310" cm="1">
        <f t="array" ref="AO64">INDEX('생산수량Back-Data'!$B$5:$AAA$10041,
       MATCH($B63,'생산수량Back-Data'!$B$5:$B$10041,0)+1,
       MATCH(AO$3,'생산수량Back-Data'!$B$3:$AAA$3,0))</f>
        <v>0</v>
      </c>
      <c r="AP64" s="310" cm="1">
        <f t="array" ref="AP64">INDEX('생산수량Back-Data'!$B$5:$AAA$10041,
       MATCH($B63,'생산수량Back-Data'!$B$5:$B$10041,0)+1,
       MATCH(AP$3,'생산수량Back-Data'!$B$3:$AAA$3,0))</f>
        <v>0</v>
      </c>
      <c r="AQ64" s="310" cm="1">
        <f t="array" ref="AQ64">INDEX('생산수량Back-Data'!$B$5:$AAA$10041,
       MATCH($B63,'생산수량Back-Data'!$B$5:$B$10041,0)+1,
       MATCH(AQ$3,'생산수량Back-Data'!$B$3:$AAA$3,0))</f>
        <v>0</v>
      </c>
      <c r="AR64" s="310" cm="1">
        <f t="array" ref="AR64">INDEX('생산수량Back-Data'!$B$5:$AAA$10041,
       MATCH($B63,'생산수량Back-Data'!$B$5:$B$10041,0)+1,
       MATCH(AR$3,'생산수량Back-Data'!$B$3:$AAA$3,0))</f>
        <v>0</v>
      </c>
      <c r="AS64" s="310" cm="1">
        <f t="array" ref="AS64">INDEX('생산수량Back-Data'!$B$5:$AAA$10041,
       MATCH($B63,'생산수량Back-Data'!$B$5:$B$10041,0)+1,
       MATCH(AS$3,'생산수량Back-Data'!$B$3:$AAA$3,0))</f>
        <v>0</v>
      </c>
      <c r="AT64" s="324" cm="1">
        <f t="array" ref="AT64">INDEX('생산수량Back-Data'!$B$5:$AAA$10041,
       MATCH($B63,'생산수량Back-Data'!$B$5:$B$10041,0)+1,
       MATCH(AT$3,'생산수량Back-Data'!$B$3:$AAA$3,0))</f>
        <v>0</v>
      </c>
    </row>
    <row r="65" spans="2:46" ht="32.1" customHeight="1" x14ac:dyDescent="0.3">
      <c r="B65" s="444" t="s">
        <v>52</v>
      </c>
      <c r="C65" s="444" t="s">
        <v>185</v>
      </c>
      <c r="D65" s="444" t="s">
        <v>197</v>
      </c>
      <c r="E65" s="438">
        <f>ABS(SUMIFS('Fixture 총 발주수량'!Z:Z,'Fixture 총 발주수량'!B:B,'후공정(샌딩)생산계획'!B65,'Fixture 총 발주수량'!Z:Z,"&lt;0"))</f>
        <v>1440</v>
      </c>
      <c r="F65" s="431">
        <f>G65-E65</f>
        <v>-1440</v>
      </c>
      <c r="G65" s="437">
        <f>SUMIF(P65:AT65, "&gt;0")</f>
        <v>0</v>
      </c>
      <c r="H65" s="437">
        <f>SUMIF(P66:AT66, "&gt;0")</f>
        <v>0</v>
      </c>
      <c r="I65" s="442">
        <f>IFERROR(H65/G65,)</f>
        <v>0</v>
      </c>
      <c r="J65" s="437">
        <f ca="1">IFERROR(SUMIF('Fixture 총 발주수량'!B:AG,'후공정(샌딩)생산계획'!B65,'Fixture 총 발주수량'!AC:AC),)</f>
        <v>0</v>
      </c>
      <c r="K65" s="458">
        <f>ROUNDUP(E65/2000,)</f>
        <v>1</v>
      </c>
      <c r="L65" s="458">
        <f>L63+K65</f>
        <v>56</v>
      </c>
      <c r="M65" s="458">
        <f>L65+K65</f>
        <v>57</v>
      </c>
      <c r="N65" s="438">
        <f>N63+K65</f>
        <v>56</v>
      </c>
      <c r="O65" s="306" t="s">
        <v>264</v>
      </c>
      <c r="P65" s="311"/>
      <c r="Q65" s="312"/>
      <c r="R65" s="312"/>
      <c r="S65" s="312"/>
      <c r="T65" s="312"/>
      <c r="U65" s="312"/>
      <c r="V65" s="312"/>
      <c r="W65" s="312"/>
      <c r="X65" s="312"/>
      <c r="Y65" s="312"/>
      <c r="Z65" s="312"/>
      <c r="AA65" s="312"/>
      <c r="AB65" s="312"/>
      <c r="AC65" s="312"/>
      <c r="AD65" s="312"/>
      <c r="AE65" s="312"/>
      <c r="AF65" s="312"/>
      <c r="AG65" s="312"/>
      <c r="AH65" s="312"/>
      <c r="AI65" s="312"/>
      <c r="AJ65" s="312"/>
      <c r="AK65" s="312"/>
      <c r="AL65" s="312"/>
      <c r="AM65" s="312"/>
      <c r="AN65" s="312"/>
      <c r="AO65" s="312"/>
      <c r="AP65" s="312"/>
      <c r="AQ65" s="312"/>
      <c r="AR65" s="312"/>
      <c r="AS65" s="312"/>
      <c r="AT65" s="313"/>
    </row>
    <row r="66" spans="2:46" ht="32.1" customHeight="1" x14ac:dyDescent="0.3">
      <c r="B66" s="445"/>
      <c r="C66" s="445"/>
      <c r="D66" s="445"/>
      <c r="E66" s="439"/>
      <c r="F66" s="459"/>
      <c r="G66" s="436"/>
      <c r="H66" s="436"/>
      <c r="I66" s="443"/>
      <c r="J66" s="436"/>
      <c r="K66" s="458"/>
      <c r="L66" s="458"/>
      <c r="M66" s="458"/>
      <c r="N66" s="439"/>
      <c r="O66" s="306" t="s">
        <v>266</v>
      </c>
      <c r="P66" s="310" cm="1">
        <f t="array" ref="P66">INDEX('생산수량Back-Data'!$B$5:$AAA$10041,
       MATCH($B65,'생산수량Back-Data'!$B$5:$B$10041,0)+1,
       MATCH(P$3,'생산수량Back-Data'!$B$3:$AAA$3,0))</f>
        <v>0</v>
      </c>
      <c r="Q66" s="310" cm="1">
        <f t="array" ref="Q66">INDEX('생산수량Back-Data'!$B$5:$AAA$10041,
       MATCH($B65,'생산수량Back-Data'!$B$5:$B$10041,0)+1,
       MATCH(Q$3,'생산수량Back-Data'!$B$3:$AAA$3,0))</f>
        <v>0</v>
      </c>
      <c r="R66" s="310" cm="1">
        <f t="array" ref="R66">INDEX('생산수량Back-Data'!$B$5:$AAA$10041,
       MATCH($B65,'생산수량Back-Data'!$B$5:$B$10041,0)+1,
       MATCH(R$3,'생산수량Back-Data'!$B$3:$AAA$3,0))</f>
        <v>0</v>
      </c>
      <c r="S66" s="310" cm="1">
        <f t="array" ref="S66">INDEX('생산수량Back-Data'!$B$5:$AAA$10041,
       MATCH($B65,'생산수량Back-Data'!$B$5:$B$10041,0)+1,
       MATCH(S$3,'생산수량Back-Data'!$B$3:$AAA$3,0))</f>
        <v>0</v>
      </c>
      <c r="T66" s="310" cm="1">
        <f t="array" ref="T66">INDEX('생산수량Back-Data'!$B$5:$AAA$10041,
       MATCH($B65,'생산수량Back-Data'!$B$5:$B$10041,0)+1,
       MATCH(T$3,'생산수량Back-Data'!$B$3:$AAA$3,0))</f>
        <v>0</v>
      </c>
      <c r="U66" s="310" cm="1">
        <f t="array" ref="U66">INDEX('생산수량Back-Data'!$B$5:$AAA$10041,
       MATCH($B65,'생산수량Back-Data'!$B$5:$B$10041,0)+1,
       MATCH(U$3,'생산수량Back-Data'!$B$3:$AAA$3,0))</f>
        <v>0</v>
      </c>
      <c r="V66" s="310" cm="1">
        <f t="array" ref="V66">INDEX('생산수량Back-Data'!$B$5:$AAA$10041,
       MATCH($B65,'생산수량Back-Data'!$B$5:$B$10041,0)+1,
       MATCH(V$3,'생산수량Back-Data'!$B$3:$AAA$3,0))</f>
        <v>0</v>
      </c>
      <c r="W66" s="310" cm="1">
        <f t="array" ref="W66">INDEX('생산수량Back-Data'!$B$5:$AAA$10041,
       MATCH($B65,'생산수량Back-Data'!$B$5:$B$10041,0)+1,
       MATCH(W$3,'생산수량Back-Data'!$B$3:$AAA$3,0))</f>
        <v>0</v>
      </c>
      <c r="X66" s="310" cm="1">
        <f t="array" ref="X66">INDEX('생산수량Back-Data'!$B$5:$AAA$10041,
       MATCH($B65,'생산수량Back-Data'!$B$5:$B$10041,0)+1,
       MATCH(X$3,'생산수량Back-Data'!$B$3:$AAA$3,0))</f>
        <v>0</v>
      </c>
      <c r="Y66" s="310" cm="1">
        <f t="array" ref="Y66">INDEX('생산수량Back-Data'!$B$5:$AAA$10041,
       MATCH($B65,'생산수량Back-Data'!$B$5:$B$10041,0)+1,
       MATCH(Y$3,'생산수량Back-Data'!$B$3:$AAA$3,0))</f>
        <v>0</v>
      </c>
      <c r="Z66" s="310" cm="1">
        <f t="array" ref="Z66">INDEX('생산수량Back-Data'!$B$5:$AAA$10041,
       MATCH($B65,'생산수량Back-Data'!$B$5:$B$10041,0)+1,
       MATCH(Z$3,'생산수량Back-Data'!$B$3:$AAA$3,0))</f>
        <v>0</v>
      </c>
      <c r="AA66" s="310" cm="1">
        <f t="array" ref="AA66">INDEX('생산수량Back-Data'!$B$5:$AAA$10041,
       MATCH($B65,'생산수량Back-Data'!$B$5:$B$10041,0)+1,
       MATCH(AA$3,'생산수량Back-Data'!$B$3:$AAA$3,0))</f>
        <v>0</v>
      </c>
      <c r="AB66" s="310" cm="1">
        <f t="array" ref="AB66">INDEX('생산수량Back-Data'!$B$5:$AAA$10041,
       MATCH($B65,'생산수량Back-Data'!$B$5:$B$10041,0)+1,
       MATCH(AB$3,'생산수량Back-Data'!$B$3:$AAA$3,0))</f>
        <v>0</v>
      </c>
      <c r="AC66" s="310" cm="1">
        <f t="array" ref="AC66">INDEX('생산수량Back-Data'!$B$5:$AAA$10041,
       MATCH($B65,'생산수량Back-Data'!$B$5:$B$10041,0)+1,
       MATCH(AC$3,'생산수량Back-Data'!$B$3:$AAA$3,0))</f>
        <v>0</v>
      </c>
      <c r="AD66" s="310" cm="1">
        <f t="array" ref="AD66">INDEX('생산수량Back-Data'!$B$5:$AAA$10041,
       MATCH($B65,'생산수량Back-Data'!$B$5:$B$10041,0)+1,
       MATCH(AD$3,'생산수량Back-Data'!$B$3:$AAA$3,0))</f>
        <v>0</v>
      </c>
      <c r="AE66" s="310" cm="1">
        <f t="array" ref="AE66">INDEX('생산수량Back-Data'!$B$5:$AAA$10041,
       MATCH($B65,'생산수량Back-Data'!$B$5:$B$10041,0)+1,
       MATCH(AE$3,'생산수량Back-Data'!$B$3:$AAA$3,0))</f>
        <v>0</v>
      </c>
      <c r="AF66" s="310" cm="1">
        <f t="array" ref="AF66">INDEX('생산수량Back-Data'!$B$5:$AAA$10041,
       MATCH($B65,'생산수량Back-Data'!$B$5:$B$10041,0)+1,
       MATCH(AF$3,'생산수량Back-Data'!$B$3:$AAA$3,0))</f>
        <v>0</v>
      </c>
      <c r="AG66" s="310" cm="1">
        <f t="array" ref="AG66">INDEX('생산수량Back-Data'!$B$5:$AAA$10041,
       MATCH($B65,'생산수량Back-Data'!$B$5:$B$10041,0)+1,
       MATCH(AG$3,'생산수량Back-Data'!$B$3:$AAA$3,0))</f>
        <v>0</v>
      </c>
      <c r="AH66" s="310" cm="1">
        <f t="array" ref="AH66">INDEX('생산수량Back-Data'!$B$5:$AAA$10041,
       MATCH($B65,'생산수량Back-Data'!$B$5:$B$10041,0)+1,
       MATCH(AH$3,'생산수량Back-Data'!$B$3:$AAA$3,0))</f>
        <v>0</v>
      </c>
      <c r="AI66" s="310" cm="1">
        <f t="array" ref="AI66">INDEX('생산수량Back-Data'!$B$5:$AAA$10041,
       MATCH($B65,'생산수량Back-Data'!$B$5:$B$10041,0)+1,
       MATCH(AI$3,'생산수량Back-Data'!$B$3:$AAA$3,0))</f>
        <v>0</v>
      </c>
      <c r="AJ66" s="310" cm="1">
        <f t="array" ref="AJ66">INDEX('생산수량Back-Data'!$B$5:$AAA$10041,
       MATCH($B65,'생산수량Back-Data'!$B$5:$B$10041,0)+1,
       MATCH(AJ$3,'생산수량Back-Data'!$B$3:$AAA$3,0))</f>
        <v>0</v>
      </c>
      <c r="AK66" s="310" cm="1">
        <f t="array" ref="AK66">INDEX('생산수량Back-Data'!$B$5:$AAA$10041,
       MATCH($B65,'생산수량Back-Data'!$B$5:$B$10041,0)+1,
       MATCH(AK$3,'생산수량Back-Data'!$B$3:$AAA$3,0))</f>
        <v>0</v>
      </c>
      <c r="AL66" s="310" cm="1">
        <f t="array" ref="AL66">INDEX('생산수량Back-Data'!$B$5:$AAA$10041,
       MATCH($B65,'생산수량Back-Data'!$B$5:$B$10041,0)+1,
       MATCH(AL$3,'생산수량Back-Data'!$B$3:$AAA$3,0))</f>
        <v>0</v>
      </c>
      <c r="AM66" s="310" cm="1">
        <f t="array" ref="AM66">INDEX('생산수량Back-Data'!$B$5:$AAA$10041,
       MATCH($B65,'생산수량Back-Data'!$B$5:$B$10041,0)+1,
       MATCH(AM$3,'생산수량Back-Data'!$B$3:$AAA$3,0))</f>
        <v>0</v>
      </c>
      <c r="AN66" s="310" cm="1">
        <f t="array" ref="AN66">INDEX('생산수량Back-Data'!$B$5:$AAA$10041,
       MATCH($B65,'생산수량Back-Data'!$B$5:$B$10041,0)+1,
       MATCH(AN$3,'생산수량Back-Data'!$B$3:$AAA$3,0))</f>
        <v>0</v>
      </c>
      <c r="AO66" s="310" cm="1">
        <f t="array" ref="AO66">INDEX('생산수량Back-Data'!$B$5:$AAA$10041,
       MATCH($B65,'생산수량Back-Data'!$B$5:$B$10041,0)+1,
       MATCH(AO$3,'생산수량Back-Data'!$B$3:$AAA$3,0))</f>
        <v>0</v>
      </c>
      <c r="AP66" s="310" cm="1">
        <f t="array" ref="AP66">INDEX('생산수량Back-Data'!$B$5:$AAA$10041,
       MATCH($B65,'생산수량Back-Data'!$B$5:$B$10041,0)+1,
       MATCH(AP$3,'생산수량Back-Data'!$B$3:$AAA$3,0))</f>
        <v>0</v>
      </c>
      <c r="AQ66" s="310" cm="1">
        <f t="array" ref="AQ66">INDEX('생산수량Back-Data'!$B$5:$AAA$10041,
       MATCH($B65,'생산수량Back-Data'!$B$5:$B$10041,0)+1,
       MATCH(AQ$3,'생산수량Back-Data'!$B$3:$AAA$3,0))</f>
        <v>0</v>
      </c>
      <c r="AR66" s="310" cm="1">
        <f t="array" ref="AR66">INDEX('생산수량Back-Data'!$B$5:$AAA$10041,
       MATCH($B65,'생산수량Back-Data'!$B$5:$B$10041,0)+1,
       MATCH(AR$3,'생산수량Back-Data'!$B$3:$AAA$3,0))</f>
        <v>0</v>
      </c>
      <c r="AS66" s="310" cm="1">
        <f t="array" ref="AS66">INDEX('생산수량Back-Data'!$B$5:$AAA$10041,
       MATCH($B65,'생산수량Back-Data'!$B$5:$B$10041,0)+1,
       MATCH(AS$3,'생산수량Back-Data'!$B$3:$AAA$3,0))</f>
        <v>0</v>
      </c>
      <c r="AT66" s="324" cm="1">
        <f t="array" ref="AT66">INDEX('생산수량Back-Data'!$B$5:$AAA$10041,
       MATCH($B65,'생산수량Back-Data'!$B$5:$B$10041,0)+1,
       MATCH(AT$3,'생산수량Back-Data'!$B$3:$AAA$3,0))</f>
        <v>0</v>
      </c>
    </row>
    <row r="67" spans="2:46" ht="32.1" customHeight="1" x14ac:dyDescent="0.3">
      <c r="B67" s="444" t="s">
        <v>57</v>
      </c>
      <c r="C67" s="444" t="s">
        <v>185</v>
      </c>
      <c r="D67" s="444" t="s">
        <v>197</v>
      </c>
      <c r="E67" s="438">
        <f>ABS(SUMIFS('Fixture 총 발주수량'!Z:Z,'Fixture 총 발주수량'!B:B,'후공정(샌딩)생산계획'!B67,'Fixture 총 발주수량'!Z:Z,"&lt;0"))</f>
        <v>2158</v>
      </c>
      <c r="F67" s="431">
        <f>G67-E67</f>
        <v>-2158</v>
      </c>
      <c r="G67" s="437">
        <f>SUMIF(P67:AT67, "&gt;0")</f>
        <v>0</v>
      </c>
      <c r="H67" s="437">
        <f>SUMIF(P68:AT68, "&gt;0")</f>
        <v>0</v>
      </c>
      <c r="I67" s="442">
        <f>IFERROR(H67/G67,)</f>
        <v>0</v>
      </c>
      <c r="J67" s="437">
        <f ca="1">IFERROR(SUMIF('Fixture 총 발주수량'!B:AG,'후공정(샌딩)생산계획'!B67,'Fixture 총 발주수량'!AC:AC),)</f>
        <v>2567</v>
      </c>
      <c r="K67" s="458">
        <f>ROUNDUP(E67/2000,)</f>
        <v>2</v>
      </c>
      <c r="L67" s="458">
        <f>L65+K67</f>
        <v>58</v>
      </c>
      <c r="M67" s="458">
        <f>L67+K67</f>
        <v>60</v>
      </c>
      <c r="N67" s="438">
        <f>N65+K67</f>
        <v>58</v>
      </c>
      <c r="O67" s="306" t="s">
        <v>264</v>
      </c>
      <c r="P67" s="311"/>
      <c r="Q67" s="312"/>
      <c r="R67" s="312"/>
      <c r="S67" s="312"/>
      <c r="T67" s="312"/>
      <c r="U67" s="312"/>
      <c r="V67" s="312"/>
      <c r="W67" s="312"/>
      <c r="X67" s="312"/>
      <c r="Y67" s="312"/>
      <c r="Z67" s="312"/>
      <c r="AA67" s="312"/>
      <c r="AB67" s="312"/>
      <c r="AC67" s="312"/>
      <c r="AD67" s="312"/>
      <c r="AE67" s="312"/>
      <c r="AF67" s="312"/>
      <c r="AG67" s="312"/>
      <c r="AH67" s="312"/>
      <c r="AI67" s="312"/>
      <c r="AJ67" s="312"/>
      <c r="AK67" s="312"/>
      <c r="AL67" s="312"/>
      <c r="AM67" s="312"/>
      <c r="AN67" s="312"/>
      <c r="AO67" s="312"/>
      <c r="AP67" s="312"/>
      <c r="AQ67" s="312"/>
      <c r="AR67" s="312"/>
      <c r="AS67" s="312"/>
      <c r="AT67" s="313"/>
    </row>
    <row r="68" spans="2:46" ht="32.1" customHeight="1" thickBot="1" x14ac:dyDescent="0.35">
      <c r="B68" s="454"/>
      <c r="C68" s="454"/>
      <c r="D68" s="454"/>
      <c r="E68" s="450"/>
      <c r="F68" s="461"/>
      <c r="G68" s="452"/>
      <c r="H68" s="452"/>
      <c r="I68" s="453"/>
      <c r="J68" s="452"/>
      <c r="K68" s="438"/>
      <c r="L68" s="438"/>
      <c r="M68" s="438"/>
      <c r="N68" s="450"/>
      <c r="O68" s="305" t="s">
        <v>266</v>
      </c>
      <c r="P68" s="310" cm="1">
        <f t="array" ref="P68">INDEX('생산수량Back-Data'!$B$5:$AAA$10041,
       MATCH($B67,'생산수량Back-Data'!$B$5:$B$10041,0)+1,
       MATCH(P$3,'생산수량Back-Data'!$B$3:$AAA$3,0))</f>
        <v>0</v>
      </c>
      <c r="Q68" s="310" cm="1">
        <f t="array" ref="Q68">INDEX('생산수량Back-Data'!$B$5:$AAA$10041,
       MATCH($B67,'생산수량Back-Data'!$B$5:$B$10041,0)+1,
       MATCH(Q$3,'생산수량Back-Data'!$B$3:$AAA$3,0))</f>
        <v>0</v>
      </c>
      <c r="R68" s="310" cm="1">
        <f t="array" ref="R68">INDEX('생산수량Back-Data'!$B$5:$AAA$10041,
       MATCH($B67,'생산수량Back-Data'!$B$5:$B$10041,0)+1,
       MATCH(R$3,'생산수량Back-Data'!$B$3:$AAA$3,0))</f>
        <v>0</v>
      </c>
      <c r="S68" s="310" cm="1">
        <f t="array" ref="S68">INDEX('생산수량Back-Data'!$B$5:$AAA$10041,
       MATCH($B67,'생산수량Back-Data'!$B$5:$B$10041,0)+1,
       MATCH(S$3,'생산수량Back-Data'!$B$3:$AAA$3,0))</f>
        <v>0</v>
      </c>
      <c r="T68" s="310" cm="1">
        <f t="array" ref="T68">INDEX('생산수량Back-Data'!$B$5:$AAA$10041,
       MATCH($B67,'생산수량Back-Data'!$B$5:$B$10041,0)+1,
       MATCH(T$3,'생산수량Back-Data'!$B$3:$AAA$3,0))</f>
        <v>0</v>
      </c>
      <c r="U68" s="310" cm="1">
        <f t="array" ref="U68">INDEX('생산수량Back-Data'!$B$5:$AAA$10041,
       MATCH($B67,'생산수량Back-Data'!$B$5:$B$10041,0)+1,
       MATCH(U$3,'생산수량Back-Data'!$B$3:$AAA$3,0))</f>
        <v>0</v>
      </c>
      <c r="V68" s="310" cm="1">
        <f t="array" ref="V68">INDEX('생산수량Back-Data'!$B$5:$AAA$10041,
       MATCH($B67,'생산수량Back-Data'!$B$5:$B$10041,0)+1,
       MATCH(V$3,'생산수량Back-Data'!$B$3:$AAA$3,0))</f>
        <v>0</v>
      </c>
      <c r="W68" s="310" cm="1">
        <f t="array" ref="W68">INDEX('생산수량Back-Data'!$B$5:$AAA$10041,
       MATCH($B67,'생산수량Back-Data'!$B$5:$B$10041,0)+1,
       MATCH(W$3,'생산수량Back-Data'!$B$3:$AAA$3,0))</f>
        <v>0</v>
      </c>
      <c r="X68" s="310" cm="1">
        <f t="array" ref="X68">INDEX('생산수량Back-Data'!$B$5:$AAA$10041,
       MATCH($B67,'생산수량Back-Data'!$B$5:$B$10041,0)+1,
       MATCH(X$3,'생산수량Back-Data'!$B$3:$AAA$3,0))</f>
        <v>0</v>
      </c>
      <c r="Y68" s="310" cm="1">
        <f t="array" ref="Y68">INDEX('생산수량Back-Data'!$B$5:$AAA$10041,
       MATCH($B67,'생산수량Back-Data'!$B$5:$B$10041,0)+1,
       MATCH(Y$3,'생산수량Back-Data'!$B$3:$AAA$3,0))</f>
        <v>0</v>
      </c>
      <c r="Z68" s="310" cm="1">
        <f t="array" ref="Z68">INDEX('생산수량Back-Data'!$B$5:$AAA$10041,
       MATCH($B67,'생산수량Back-Data'!$B$5:$B$10041,0)+1,
       MATCH(Z$3,'생산수량Back-Data'!$B$3:$AAA$3,0))</f>
        <v>0</v>
      </c>
      <c r="AA68" s="310" cm="1">
        <f t="array" ref="AA68">INDEX('생산수량Back-Data'!$B$5:$AAA$10041,
       MATCH($B67,'생산수량Back-Data'!$B$5:$B$10041,0)+1,
       MATCH(AA$3,'생산수량Back-Data'!$B$3:$AAA$3,0))</f>
        <v>0</v>
      </c>
      <c r="AB68" s="310" cm="1">
        <f t="array" ref="AB68">INDEX('생산수량Back-Data'!$B$5:$AAA$10041,
       MATCH($B67,'생산수량Back-Data'!$B$5:$B$10041,0)+1,
       MATCH(AB$3,'생산수량Back-Data'!$B$3:$AAA$3,0))</f>
        <v>0</v>
      </c>
      <c r="AC68" s="310" cm="1">
        <f t="array" ref="AC68">INDEX('생산수량Back-Data'!$B$5:$AAA$10041,
       MATCH($B67,'생산수량Back-Data'!$B$5:$B$10041,0)+1,
       MATCH(AC$3,'생산수량Back-Data'!$B$3:$AAA$3,0))</f>
        <v>0</v>
      </c>
      <c r="AD68" s="310" cm="1">
        <f t="array" ref="AD68">INDEX('생산수량Back-Data'!$B$5:$AAA$10041,
       MATCH($B67,'생산수량Back-Data'!$B$5:$B$10041,0)+1,
       MATCH(AD$3,'생산수량Back-Data'!$B$3:$AAA$3,0))</f>
        <v>0</v>
      </c>
      <c r="AE68" s="310" cm="1">
        <f t="array" ref="AE68">INDEX('생산수량Back-Data'!$B$5:$AAA$10041,
       MATCH($B67,'생산수량Back-Data'!$B$5:$B$10041,0)+1,
       MATCH(AE$3,'생산수량Back-Data'!$B$3:$AAA$3,0))</f>
        <v>0</v>
      </c>
      <c r="AF68" s="310" cm="1">
        <f t="array" ref="AF68">INDEX('생산수량Back-Data'!$B$5:$AAA$10041,
       MATCH($B67,'생산수량Back-Data'!$B$5:$B$10041,0)+1,
       MATCH(AF$3,'생산수량Back-Data'!$B$3:$AAA$3,0))</f>
        <v>0</v>
      </c>
      <c r="AG68" s="310" cm="1">
        <f t="array" ref="AG68">INDEX('생산수량Back-Data'!$B$5:$AAA$10041,
       MATCH($B67,'생산수량Back-Data'!$B$5:$B$10041,0)+1,
       MATCH(AG$3,'생산수량Back-Data'!$B$3:$AAA$3,0))</f>
        <v>0</v>
      </c>
      <c r="AH68" s="310" cm="1">
        <f t="array" ref="AH68">INDEX('생산수량Back-Data'!$B$5:$AAA$10041,
       MATCH($B67,'생산수량Back-Data'!$B$5:$B$10041,0)+1,
       MATCH(AH$3,'생산수량Back-Data'!$B$3:$AAA$3,0))</f>
        <v>0</v>
      </c>
      <c r="AI68" s="310" cm="1">
        <f t="array" ref="AI68">INDEX('생산수량Back-Data'!$B$5:$AAA$10041,
       MATCH($B67,'생산수량Back-Data'!$B$5:$B$10041,0)+1,
       MATCH(AI$3,'생산수량Back-Data'!$B$3:$AAA$3,0))</f>
        <v>0</v>
      </c>
      <c r="AJ68" s="310" cm="1">
        <f t="array" ref="AJ68">INDEX('생산수량Back-Data'!$B$5:$AAA$10041,
       MATCH($B67,'생산수량Back-Data'!$B$5:$B$10041,0)+1,
       MATCH(AJ$3,'생산수량Back-Data'!$B$3:$AAA$3,0))</f>
        <v>0</v>
      </c>
      <c r="AK68" s="310" cm="1">
        <f t="array" ref="AK68">INDEX('생산수량Back-Data'!$B$5:$AAA$10041,
       MATCH($B67,'생산수량Back-Data'!$B$5:$B$10041,0)+1,
       MATCH(AK$3,'생산수량Back-Data'!$B$3:$AAA$3,0))</f>
        <v>0</v>
      </c>
      <c r="AL68" s="310" cm="1">
        <f t="array" ref="AL68">INDEX('생산수량Back-Data'!$B$5:$AAA$10041,
       MATCH($B67,'생산수량Back-Data'!$B$5:$B$10041,0)+1,
       MATCH(AL$3,'생산수량Back-Data'!$B$3:$AAA$3,0))</f>
        <v>0</v>
      </c>
      <c r="AM68" s="310" cm="1">
        <f t="array" ref="AM68">INDEX('생산수량Back-Data'!$B$5:$AAA$10041,
       MATCH($B67,'생산수량Back-Data'!$B$5:$B$10041,0)+1,
       MATCH(AM$3,'생산수량Back-Data'!$B$3:$AAA$3,0))</f>
        <v>0</v>
      </c>
      <c r="AN68" s="310" cm="1">
        <f t="array" ref="AN68">INDEX('생산수량Back-Data'!$B$5:$AAA$10041,
       MATCH($B67,'생산수량Back-Data'!$B$5:$B$10041,0)+1,
       MATCH(AN$3,'생산수량Back-Data'!$B$3:$AAA$3,0))</f>
        <v>0</v>
      </c>
      <c r="AO68" s="310" cm="1">
        <f t="array" ref="AO68">INDEX('생산수량Back-Data'!$B$5:$AAA$10041,
       MATCH($B67,'생산수량Back-Data'!$B$5:$B$10041,0)+1,
       MATCH(AO$3,'생산수량Back-Data'!$B$3:$AAA$3,0))</f>
        <v>0</v>
      </c>
      <c r="AP68" s="310" cm="1">
        <f t="array" ref="AP68">INDEX('생산수량Back-Data'!$B$5:$AAA$10041,
       MATCH($B67,'생산수량Back-Data'!$B$5:$B$10041,0)+1,
       MATCH(AP$3,'생산수량Back-Data'!$B$3:$AAA$3,0))</f>
        <v>0</v>
      </c>
      <c r="AQ68" s="310" cm="1">
        <f t="array" ref="AQ68">INDEX('생산수량Back-Data'!$B$5:$AAA$10041,
       MATCH($B67,'생산수량Back-Data'!$B$5:$B$10041,0)+1,
       MATCH(AQ$3,'생산수량Back-Data'!$B$3:$AAA$3,0))</f>
        <v>0</v>
      </c>
      <c r="AR68" s="310" cm="1">
        <f t="array" ref="AR68">INDEX('생산수량Back-Data'!$B$5:$AAA$10041,
       MATCH($B67,'생산수량Back-Data'!$B$5:$B$10041,0)+1,
       MATCH(AR$3,'생산수량Back-Data'!$B$3:$AAA$3,0))</f>
        <v>0</v>
      </c>
      <c r="AS68" s="310" cm="1">
        <f t="array" ref="AS68">INDEX('생산수량Back-Data'!$B$5:$AAA$10041,
       MATCH($B67,'생산수량Back-Data'!$B$5:$B$10041,0)+1,
       MATCH(AS$3,'생산수량Back-Data'!$B$3:$AAA$3,0))</f>
        <v>0</v>
      </c>
      <c r="AT68" s="324" cm="1">
        <f t="array" ref="AT68">INDEX('생산수량Back-Data'!$B$5:$AAA$10041,
       MATCH($B67,'생산수량Back-Data'!$B$5:$B$10041,0)+1,
       MATCH(AT$3,'생산수량Back-Data'!$B$3:$AAA$3,0))</f>
        <v>0</v>
      </c>
    </row>
    <row r="69" spans="2:46" ht="32.1" customHeight="1" x14ac:dyDescent="0.3">
      <c r="B69" s="449" t="s">
        <v>58</v>
      </c>
      <c r="C69" s="449" t="s">
        <v>185</v>
      </c>
      <c r="D69" s="449" t="s">
        <v>198</v>
      </c>
      <c r="E69" s="446">
        <f>ABS(SUMIFS('Fixture 총 발주수량'!Z:Z,'Fixture 총 발주수량'!B:B,'후공정(샌딩)생산계획'!B69,'Fixture 총 발주수량'!Z:Z,"&lt;0"))</f>
        <v>105</v>
      </c>
      <c r="F69" s="434">
        <f>G69-E69</f>
        <v>-105</v>
      </c>
      <c r="G69" s="435">
        <f>SUMIF(P69:AT69, "&gt;0")</f>
        <v>0</v>
      </c>
      <c r="H69" s="435">
        <f>SUMIF(P70:AT70, "&gt;0")</f>
        <v>0</v>
      </c>
      <c r="I69" s="448">
        <f>IFERROR(H69/G69,)</f>
        <v>0</v>
      </c>
      <c r="J69" s="435">
        <f ca="1">IFERROR(SUMIF('Fixture 총 발주수량'!B:AG,'후공정(샌딩)생산계획'!B69,'Fixture 총 발주수량'!AC:AC),)</f>
        <v>0</v>
      </c>
      <c r="K69" s="460">
        <f>ROUNDUP(E69/2000,)</f>
        <v>1</v>
      </c>
      <c r="L69" s="460">
        <f>L67+K69</f>
        <v>59</v>
      </c>
      <c r="M69" s="460">
        <f>L69+K69</f>
        <v>60</v>
      </c>
      <c r="N69" s="446">
        <f>N67+K69</f>
        <v>59</v>
      </c>
      <c r="O69" s="336" t="s">
        <v>264</v>
      </c>
      <c r="P69" s="416"/>
      <c r="Q69" s="417"/>
      <c r="R69" s="417"/>
      <c r="S69" s="417"/>
      <c r="T69" s="417"/>
      <c r="U69" s="417"/>
      <c r="V69" s="417"/>
      <c r="W69" s="417"/>
      <c r="X69" s="417"/>
      <c r="Y69" s="417"/>
      <c r="Z69" s="417"/>
      <c r="AA69" s="417"/>
      <c r="AB69" s="417"/>
      <c r="AC69" s="417"/>
      <c r="AD69" s="417"/>
      <c r="AE69" s="417"/>
      <c r="AF69" s="417"/>
      <c r="AG69" s="417"/>
      <c r="AH69" s="417"/>
      <c r="AI69" s="417"/>
      <c r="AJ69" s="417"/>
      <c r="AK69" s="417"/>
      <c r="AL69" s="417"/>
      <c r="AM69" s="417"/>
      <c r="AN69" s="417"/>
      <c r="AO69" s="417"/>
      <c r="AP69" s="417"/>
      <c r="AQ69" s="417"/>
      <c r="AR69" s="417"/>
      <c r="AS69" s="417"/>
      <c r="AT69" s="418"/>
    </row>
    <row r="70" spans="2:46" ht="32.1" customHeight="1" x14ac:dyDescent="0.3">
      <c r="B70" s="445"/>
      <c r="C70" s="445"/>
      <c r="D70" s="445"/>
      <c r="E70" s="439"/>
      <c r="F70" s="459"/>
      <c r="G70" s="436"/>
      <c r="H70" s="436"/>
      <c r="I70" s="443"/>
      <c r="J70" s="436"/>
      <c r="K70" s="458"/>
      <c r="L70" s="458"/>
      <c r="M70" s="458"/>
      <c r="N70" s="439"/>
      <c r="O70" s="306" t="s">
        <v>266</v>
      </c>
      <c r="P70" s="328" cm="1">
        <f t="array" ref="P70">INDEX('생산수량Back-Data'!$B$5:$AAA$10041,
       MATCH($B69,'생산수량Back-Data'!$B$5:$B$10041,0)+1,
       MATCH(P$3,'생산수량Back-Data'!$B$3:$AAA$3,0))</f>
        <v>0</v>
      </c>
      <c r="Q70" s="328" cm="1">
        <f t="array" ref="Q70">INDEX('생산수량Back-Data'!$B$5:$AAA$10041,
       MATCH($B69,'생산수량Back-Data'!$B$5:$B$10041,0)+1,
       MATCH(Q$3,'생산수량Back-Data'!$B$3:$AAA$3,0))</f>
        <v>0</v>
      </c>
      <c r="R70" s="328" cm="1">
        <f t="array" ref="R70">INDEX('생산수량Back-Data'!$B$5:$AAA$10041,
       MATCH($B69,'생산수량Back-Data'!$B$5:$B$10041,0)+1,
       MATCH(R$3,'생산수량Back-Data'!$B$3:$AAA$3,0))</f>
        <v>0</v>
      </c>
      <c r="S70" s="328" cm="1">
        <f t="array" ref="S70">INDEX('생산수량Back-Data'!$B$5:$AAA$10041,
       MATCH($B69,'생산수량Back-Data'!$B$5:$B$10041,0)+1,
       MATCH(S$3,'생산수량Back-Data'!$B$3:$AAA$3,0))</f>
        <v>0</v>
      </c>
      <c r="T70" s="328" cm="1">
        <f t="array" ref="T70">INDEX('생산수량Back-Data'!$B$5:$AAA$10041,
       MATCH($B69,'생산수량Back-Data'!$B$5:$B$10041,0)+1,
       MATCH(T$3,'생산수량Back-Data'!$B$3:$AAA$3,0))</f>
        <v>0</v>
      </c>
      <c r="U70" s="328" cm="1">
        <f t="array" ref="U70">INDEX('생산수량Back-Data'!$B$5:$AAA$10041,
       MATCH($B69,'생산수량Back-Data'!$B$5:$B$10041,0)+1,
       MATCH(U$3,'생산수량Back-Data'!$B$3:$AAA$3,0))</f>
        <v>0</v>
      </c>
      <c r="V70" s="328" cm="1">
        <f t="array" ref="V70">INDEX('생산수량Back-Data'!$B$5:$AAA$10041,
       MATCH($B69,'생산수량Back-Data'!$B$5:$B$10041,0)+1,
       MATCH(V$3,'생산수량Back-Data'!$B$3:$AAA$3,0))</f>
        <v>0</v>
      </c>
      <c r="W70" s="328" cm="1">
        <f t="array" ref="W70">INDEX('생산수량Back-Data'!$B$5:$AAA$10041,
       MATCH($B69,'생산수량Back-Data'!$B$5:$B$10041,0)+1,
       MATCH(W$3,'생산수량Back-Data'!$B$3:$AAA$3,0))</f>
        <v>0</v>
      </c>
      <c r="X70" s="328" cm="1">
        <f t="array" ref="X70">INDEX('생산수량Back-Data'!$B$5:$AAA$10041,
       MATCH($B69,'생산수량Back-Data'!$B$5:$B$10041,0)+1,
       MATCH(X$3,'생산수량Back-Data'!$B$3:$AAA$3,0))</f>
        <v>0</v>
      </c>
      <c r="Y70" s="328" cm="1">
        <f t="array" ref="Y70">INDEX('생산수량Back-Data'!$B$5:$AAA$10041,
       MATCH($B69,'생산수량Back-Data'!$B$5:$B$10041,0)+1,
       MATCH(Y$3,'생산수량Back-Data'!$B$3:$AAA$3,0))</f>
        <v>0</v>
      </c>
      <c r="Z70" s="328" cm="1">
        <f t="array" ref="Z70">INDEX('생산수량Back-Data'!$B$5:$AAA$10041,
       MATCH($B69,'생산수량Back-Data'!$B$5:$B$10041,0)+1,
       MATCH(Z$3,'생산수량Back-Data'!$B$3:$AAA$3,0))</f>
        <v>0</v>
      </c>
      <c r="AA70" s="328" cm="1">
        <f t="array" ref="AA70">INDEX('생산수량Back-Data'!$B$5:$AAA$10041,
       MATCH($B69,'생산수량Back-Data'!$B$5:$B$10041,0)+1,
       MATCH(AA$3,'생산수량Back-Data'!$B$3:$AAA$3,0))</f>
        <v>0</v>
      </c>
      <c r="AB70" s="328" cm="1">
        <f t="array" ref="AB70">INDEX('생산수량Back-Data'!$B$5:$AAA$10041,
       MATCH($B69,'생산수량Back-Data'!$B$5:$B$10041,0)+1,
       MATCH(AB$3,'생산수량Back-Data'!$B$3:$AAA$3,0))</f>
        <v>0</v>
      </c>
      <c r="AC70" s="328" cm="1">
        <f t="array" ref="AC70">INDEX('생산수량Back-Data'!$B$5:$AAA$10041,
       MATCH($B69,'생산수량Back-Data'!$B$5:$B$10041,0)+1,
       MATCH(AC$3,'생산수량Back-Data'!$B$3:$AAA$3,0))</f>
        <v>0</v>
      </c>
      <c r="AD70" s="328" cm="1">
        <f t="array" ref="AD70">INDEX('생산수량Back-Data'!$B$5:$AAA$10041,
       MATCH($B69,'생산수량Back-Data'!$B$5:$B$10041,0)+1,
       MATCH(AD$3,'생산수량Back-Data'!$B$3:$AAA$3,0))</f>
        <v>0</v>
      </c>
      <c r="AE70" s="328" cm="1">
        <f t="array" ref="AE70">INDEX('생산수량Back-Data'!$B$5:$AAA$10041,
       MATCH($B69,'생산수량Back-Data'!$B$5:$B$10041,0)+1,
       MATCH(AE$3,'생산수량Back-Data'!$B$3:$AAA$3,0))</f>
        <v>0</v>
      </c>
      <c r="AF70" s="328" cm="1">
        <f t="array" ref="AF70">INDEX('생산수량Back-Data'!$B$5:$AAA$10041,
       MATCH($B69,'생산수량Back-Data'!$B$5:$B$10041,0)+1,
       MATCH(AF$3,'생산수량Back-Data'!$B$3:$AAA$3,0))</f>
        <v>0</v>
      </c>
      <c r="AG70" s="328" cm="1">
        <f t="array" ref="AG70">INDEX('생산수량Back-Data'!$B$5:$AAA$10041,
       MATCH($B69,'생산수량Back-Data'!$B$5:$B$10041,0)+1,
       MATCH(AG$3,'생산수량Back-Data'!$B$3:$AAA$3,0))</f>
        <v>0</v>
      </c>
      <c r="AH70" s="328" cm="1">
        <f t="array" ref="AH70">INDEX('생산수량Back-Data'!$B$5:$AAA$10041,
       MATCH($B69,'생산수량Back-Data'!$B$5:$B$10041,0)+1,
       MATCH(AH$3,'생산수량Back-Data'!$B$3:$AAA$3,0))</f>
        <v>0</v>
      </c>
      <c r="AI70" s="328" cm="1">
        <f t="array" ref="AI70">INDEX('생산수량Back-Data'!$B$5:$AAA$10041,
       MATCH($B69,'생산수량Back-Data'!$B$5:$B$10041,0)+1,
       MATCH(AI$3,'생산수량Back-Data'!$B$3:$AAA$3,0))</f>
        <v>0</v>
      </c>
      <c r="AJ70" s="328" cm="1">
        <f t="array" ref="AJ70">INDEX('생산수량Back-Data'!$B$5:$AAA$10041,
       MATCH($B69,'생산수량Back-Data'!$B$5:$B$10041,0)+1,
       MATCH(AJ$3,'생산수량Back-Data'!$B$3:$AAA$3,0))</f>
        <v>0</v>
      </c>
      <c r="AK70" s="328" cm="1">
        <f t="array" ref="AK70">INDEX('생산수량Back-Data'!$B$5:$AAA$10041,
       MATCH($B69,'생산수량Back-Data'!$B$5:$B$10041,0)+1,
       MATCH(AK$3,'생산수량Back-Data'!$B$3:$AAA$3,0))</f>
        <v>0</v>
      </c>
      <c r="AL70" s="328" cm="1">
        <f t="array" ref="AL70">INDEX('생산수량Back-Data'!$B$5:$AAA$10041,
       MATCH($B69,'생산수량Back-Data'!$B$5:$B$10041,0)+1,
       MATCH(AL$3,'생산수량Back-Data'!$B$3:$AAA$3,0))</f>
        <v>0</v>
      </c>
      <c r="AM70" s="328" cm="1">
        <f t="array" ref="AM70">INDEX('생산수량Back-Data'!$B$5:$AAA$10041,
       MATCH($B69,'생산수량Back-Data'!$B$5:$B$10041,0)+1,
       MATCH(AM$3,'생산수량Back-Data'!$B$3:$AAA$3,0))</f>
        <v>0</v>
      </c>
      <c r="AN70" s="328" cm="1">
        <f t="array" ref="AN70">INDEX('생산수량Back-Data'!$B$5:$AAA$10041,
       MATCH($B69,'생산수량Back-Data'!$B$5:$B$10041,0)+1,
       MATCH(AN$3,'생산수량Back-Data'!$B$3:$AAA$3,0))</f>
        <v>0</v>
      </c>
      <c r="AO70" s="328" cm="1">
        <f t="array" ref="AO70">INDEX('생산수량Back-Data'!$B$5:$AAA$10041,
       MATCH($B69,'생산수량Back-Data'!$B$5:$B$10041,0)+1,
       MATCH(AO$3,'생산수량Back-Data'!$B$3:$AAA$3,0))</f>
        <v>0</v>
      </c>
      <c r="AP70" s="328" cm="1">
        <f t="array" ref="AP70">INDEX('생산수량Back-Data'!$B$5:$AAA$10041,
       MATCH($B69,'생산수량Back-Data'!$B$5:$B$10041,0)+1,
       MATCH(AP$3,'생산수량Back-Data'!$B$3:$AAA$3,0))</f>
        <v>0</v>
      </c>
      <c r="AQ70" s="328" cm="1">
        <f t="array" ref="AQ70">INDEX('생산수량Back-Data'!$B$5:$AAA$10041,
       MATCH($B69,'생산수량Back-Data'!$B$5:$B$10041,0)+1,
       MATCH(AQ$3,'생산수량Back-Data'!$B$3:$AAA$3,0))</f>
        <v>0</v>
      </c>
      <c r="AR70" s="328" cm="1">
        <f t="array" ref="AR70">INDEX('생산수량Back-Data'!$B$5:$AAA$10041,
       MATCH($B69,'생산수량Back-Data'!$B$5:$B$10041,0)+1,
       MATCH(AR$3,'생산수량Back-Data'!$B$3:$AAA$3,0))</f>
        <v>0</v>
      </c>
      <c r="AS70" s="328" cm="1">
        <f t="array" ref="AS70">INDEX('생산수량Back-Data'!$B$5:$AAA$10041,
       MATCH($B69,'생산수량Back-Data'!$B$5:$B$10041,0)+1,
       MATCH(AS$3,'생산수량Back-Data'!$B$3:$AAA$3,0))</f>
        <v>0</v>
      </c>
      <c r="AT70" s="329" cm="1">
        <f t="array" ref="AT70">INDEX('생산수량Back-Data'!$B$5:$AAA$10041,
       MATCH($B69,'생산수량Back-Data'!$B$5:$B$10041,0)+1,
       MATCH(AT$3,'생산수량Back-Data'!$B$3:$AAA$3,0))</f>
        <v>0</v>
      </c>
    </row>
    <row r="71" spans="2:46" ht="32.1" customHeight="1" x14ac:dyDescent="0.3">
      <c r="B71" s="444" t="s">
        <v>59</v>
      </c>
      <c r="C71" s="444" t="s">
        <v>185</v>
      </c>
      <c r="D71" s="444" t="s">
        <v>199</v>
      </c>
      <c r="E71" s="438">
        <f>ABS(SUMIFS('Fixture 총 발주수량'!Z:Z,'Fixture 총 발주수량'!B:B,'후공정(샌딩)생산계획'!B71,'Fixture 총 발주수량'!Z:Z,"&lt;0"))</f>
        <v>3246</v>
      </c>
      <c r="F71" s="431">
        <f>G71-E71</f>
        <v>-3246</v>
      </c>
      <c r="G71" s="437">
        <f>SUMIF(P71:AT71, "&gt;0")</f>
        <v>0</v>
      </c>
      <c r="H71" s="437">
        <f>SUMIF(P72:AT72, "&gt;0")</f>
        <v>0</v>
      </c>
      <c r="I71" s="442">
        <f>IFERROR(H71/G71,)</f>
        <v>0</v>
      </c>
      <c r="J71" s="437">
        <f ca="1">IFERROR(SUMIF('Fixture 총 발주수량'!B:AG,'후공정(샌딩)생산계획'!B71,'Fixture 총 발주수량'!AC:AC),)</f>
        <v>0</v>
      </c>
      <c r="K71" s="458">
        <f>ROUNDUP(E71/2000,)</f>
        <v>2</v>
      </c>
      <c r="L71" s="458">
        <f>L69+K71</f>
        <v>61</v>
      </c>
      <c r="M71" s="458">
        <f>L71+K71</f>
        <v>63</v>
      </c>
      <c r="N71" s="438">
        <f>N69+K71</f>
        <v>61</v>
      </c>
      <c r="O71" s="306" t="s">
        <v>264</v>
      </c>
      <c r="P71" s="311"/>
      <c r="Q71" s="312"/>
      <c r="R71" s="312"/>
      <c r="S71" s="312"/>
      <c r="T71" s="312"/>
      <c r="U71" s="312"/>
      <c r="V71" s="312"/>
      <c r="W71" s="312"/>
      <c r="X71" s="312"/>
      <c r="Y71" s="312"/>
      <c r="Z71" s="312"/>
      <c r="AA71" s="312"/>
      <c r="AB71" s="312"/>
      <c r="AC71" s="312"/>
      <c r="AD71" s="312"/>
      <c r="AE71" s="312"/>
      <c r="AF71" s="312"/>
      <c r="AG71" s="312"/>
      <c r="AH71" s="312"/>
      <c r="AI71" s="312"/>
      <c r="AJ71" s="312"/>
      <c r="AK71" s="312"/>
      <c r="AL71" s="312"/>
      <c r="AM71" s="312"/>
      <c r="AN71" s="312"/>
      <c r="AO71" s="312"/>
      <c r="AP71" s="312"/>
      <c r="AQ71" s="312"/>
      <c r="AR71" s="312"/>
      <c r="AS71" s="312"/>
      <c r="AT71" s="313"/>
    </row>
    <row r="72" spans="2:46" ht="32.1" customHeight="1" x14ac:dyDescent="0.3">
      <c r="B72" s="445"/>
      <c r="C72" s="445"/>
      <c r="D72" s="445"/>
      <c r="E72" s="439"/>
      <c r="F72" s="459"/>
      <c r="G72" s="436"/>
      <c r="H72" s="436"/>
      <c r="I72" s="443"/>
      <c r="J72" s="436"/>
      <c r="K72" s="458"/>
      <c r="L72" s="458"/>
      <c r="M72" s="458"/>
      <c r="N72" s="439"/>
      <c r="O72" s="306" t="s">
        <v>266</v>
      </c>
      <c r="P72" s="310" cm="1">
        <f t="array" ref="P72">INDEX('생산수량Back-Data'!$B$5:$AAA$10041,
       MATCH($B71,'생산수량Back-Data'!$B$5:$B$10041,0)+1,
       MATCH(P$3,'생산수량Back-Data'!$B$3:$AAA$3,0))</f>
        <v>0</v>
      </c>
      <c r="Q72" s="310" cm="1">
        <f t="array" ref="Q72">INDEX('생산수량Back-Data'!$B$5:$AAA$10041,
       MATCH($B71,'생산수량Back-Data'!$B$5:$B$10041,0)+1,
       MATCH(Q$3,'생산수량Back-Data'!$B$3:$AAA$3,0))</f>
        <v>0</v>
      </c>
      <c r="R72" s="310" cm="1">
        <f t="array" ref="R72">INDEX('생산수량Back-Data'!$B$5:$AAA$10041,
       MATCH($B71,'생산수량Back-Data'!$B$5:$B$10041,0)+1,
       MATCH(R$3,'생산수량Back-Data'!$B$3:$AAA$3,0))</f>
        <v>0</v>
      </c>
      <c r="S72" s="310" cm="1">
        <f t="array" ref="S72">INDEX('생산수량Back-Data'!$B$5:$AAA$10041,
       MATCH($B71,'생산수량Back-Data'!$B$5:$B$10041,0)+1,
       MATCH(S$3,'생산수량Back-Data'!$B$3:$AAA$3,0))</f>
        <v>0</v>
      </c>
      <c r="T72" s="310" cm="1">
        <f t="array" ref="T72">INDEX('생산수량Back-Data'!$B$5:$AAA$10041,
       MATCH($B71,'생산수량Back-Data'!$B$5:$B$10041,0)+1,
       MATCH(T$3,'생산수량Back-Data'!$B$3:$AAA$3,0))</f>
        <v>0</v>
      </c>
      <c r="U72" s="310" cm="1">
        <f t="array" ref="U72">INDEX('생산수량Back-Data'!$B$5:$AAA$10041,
       MATCH($B71,'생산수량Back-Data'!$B$5:$B$10041,0)+1,
       MATCH(U$3,'생산수량Back-Data'!$B$3:$AAA$3,0))</f>
        <v>0</v>
      </c>
      <c r="V72" s="310" cm="1">
        <f t="array" ref="V72">INDEX('생산수량Back-Data'!$B$5:$AAA$10041,
       MATCH($B71,'생산수량Back-Data'!$B$5:$B$10041,0)+1,
       MATCH(V$3,'생산수량Back-Data'!$B$3:$AAA$3,0))</f>
        <v>0</v>
      </c>
      <c r="W72" s="310" cm="1">
        <f t="array" ref="W72">INDEX('생산수량Back-Data'!$B$5:$AAA$10041,
       MATCH($B71,'생산수량Back-Data'!$B$5:$B$10041,0)+1,
       MATCH(W$3,'생산수량Back-Data'!$B$3:$AAA$3,0))</f>
        <v>0</v>
      </c>
      <c r="X72" s="310" cm="1">
        <f t="array" ref="X72">INDEX('생산수량Back-Data'!$B$5:$AAA$10041,
       MATCH($B71,'생산수량Back-Data'!$B$5:$B$10041,0)+1,
       MATCH(X$3,'생산수량Back-Data'!$B$3:$AAA$3,0))</f>
        <v>0</v>
      </c>
      <c r="Y72" s="310" cm="1">
        <f t="array" ref="Y72">INDEX('생산수량Back-Data'!$B$5:$AAA$10041,
       MATCH($B71,'생산수량Back-Data'!$B$5:$B$10041,0)+1,
       MATCH(Y$3,'생산수량Back-Data'!$B$3:$AAA$3,0))</f>
        <v>0</v>
      </c>
      <c r="Z72" s="310" cm="1">
        <f t="array" ref="Z72">INDEX('생산수량Back-Data'!$B$5:$AAA$10041,
       MATCH($B71,'생산수량Back-Data'!$B$5:$B$10041,0)+1,
       MATCH(Z$3,'생산수량Back-Data'!$B$3:$AAA$3,0))</f>
        <v>0</v>
      </c>
      <c r="AA72" s="310" cm="1">
        <f t="array" ref="AA72">INDEX('생산수량Back-Data'!$B$5:$AAA$10041,
       MATCH($B71,'생산수량Back-Data'!$B$5:$B$10041,0)+1,
       MATCH(AA$3,'생산수량Back-Data'!$B$3:$AAA$3,0))</f>
        <v>0</v>
      </c>
      <c r="AB72" s="310" cm="1">
        <f t="array" ref="AB72">INDEX('생산수량Back-Data'!$B$5:$AAA$10041,
       MATCH($B71,'생산수량Back-Data'!$B$5:$B$10041,0)+1,
       MATCH(AB$3,'생산수량Back-Data'!$B$3:$AAA$3,0))</f>
        <v>0</v>
      </c>
      <c r="AC72" s="310" cm="1">
        <f t="array" ref="AC72">INDEX('생산수량Back-Data'!$B$5:$AAA$10041,
       MATCH($B71,'생산수량Back-Data'!$B$5:$B$10041,0)+1,
       MATCH(AC$3,'생산수량Back-Data'!$B$3:$AAA$3,0))</f>
        <v>0</v>
      </c>
      <c r="AD72" s="310" cm="1">
        <f t="array" ref="AD72">INDEX('생산수량Back-Data'!$B$5:$AAA$10041,
       MATCH($B71,'생산수량Back-Data'!$B$5:$B$10041,0)+1,
       MATCH(AD$3,'생산수량Back-Data'!$B$3:$AAA$3,0))</f>
        <v>0</v>
      </c>
      <c r="AE72" s="310" cm="1">
        <f t="array" ref="AE72">INDEX('생산수량Back-Data'!$B$5:$AAA$10041,
       MATCH($B71,'생산수량Back-Data'!$B$5:$B$10041,0)+1,
       MATCH(AE$3,'생산수량Back-Data'!$B$3:$AAA$3,0))</f>
        <v>0</v>
      </c>
      <c r="AF72" s="310" cm="1">
        <f t="array" ref="AF72">INDEX('생산수량Back-Data'!$B$5:$AAA$10041,
       MATCH($B71,'생산수량Back-Data'!$B$5:$B$10041,0)+1,
       MATCH(AF$3,'생산수량Back-Data'!$B$3:$AAA$3,0))</f>
        <v>0</v>
      </c>
      <c r="AG72" s="310" cm="1">
        <f t="array" ref="AG72">INDEX('생산수량Back-Data'!$B$5:$AAA$10041,
       MATCH($B71,'생산수량Back-Data'!$B$5:$B$10041,0)+1,
       MATCH(AG$3,'생산수량Back-Data'!$B$3:$AAA$3,0))</f>
        <v>0</v>
      </c>
      <c r="AH72" s="310" cm="1">
        <f t="array" ref="AH72">INDEX('생산수량Back-Data'!$B$5:$AAA$10041,
       MATCH($B71,'생산수량Back-Data'!$B$5:$B$10041,0)+1,
       MATCH(AH$3,'생산수량Back-Data'!$B$3:$AAA$3,0))</f>
        <v>0</v>
      </c>
      <c r="AI72" s="310" cm="1">
        <f t="array" ref="AI72">INDEX('생산수량Back-Data'!$B$5:$AAA$10041,
       MATCH($B71,'생산수량Back-Data'!$B$5:$B$10041,0)+1,
       MATCH(AI$3,'생산수량Back-Data'!$B$3:$AAA$3,0))</f>
        <v>0</v>
      </c>
      <c r="AJ72" s="310" cm="1">
        <f t="array" ref="AJ72">INDEX('생산수량Back-Data'!$B$5:$AAA$10041,
       MATCH($B71,'생산수량Back-Data'!$B$5:$B$10041,0)+1,
       MATCH(AJ$3,'생산수량Back-Data'!$B$3:$AAA$3,0))</f>
        <v>0</v>
      </c>
      <c r="AK72" s="310" cm="1">
        <f t="array" ref="AK72">INDEX('생산수량Back-Data'!$B$5:$AAA$10041,
       MATCH($B71,'생산수량Back-Data'!$B$5:$B$10041,0)+1,
       MATCH(AK$3,'생산수량Back-Data'!$B$3:$AAA$3,0))</f>
        <v>0</v>
      </c>
      <c r="AL72" s="310" cm="1">
        <f t="array" ref="AL72">INDEX('생산수량Back-Data'!$B$5:$AAA$10041,
       MATCH($B71,'생산수량Back-Data'!$B$5:$B$10041,0)+1,
       MATCH(AL$3,'생산수량Back-Data'!$B$3:$AAA$3,0))</f>
        <v>0</v>
      </c>
      <c r="AM72" s="310" cm="1">
        <f t="array" ref="AM72">INDEX('생산수량Back-Data'!$B$5:$AAA$10041,
       MATCH($B71,'생산수량Back-Data'!$B$5:$B$10041,0)+1,
       MATCH(AM$3,'생산수량Back-Data'!$B$3:$AAA$3,0))</f>
        <v>0</v>
      </c>
      <c r="AN72" s="310" cm="1">
        <f t="array" ref="AN72">INDEX('생산수량Back-Data'!$B$5:$AAA$10041,
       MATCH($B71,'생산수량Back-Data'!$B$5:$B$10041,0)+1,
       MATCH(AN$3,'생산수량Back-Data'!$B$3:$AAA$3,0))</f>
        <v>0</v>
      </c>
      <c r="AO72" s="310" cm="1">
        <f t="array" ref="AO72">INDEX('생산수량Back-Data'!$B$5:$AAA$10041,
       MATCH($B71,'생산수량Back-Data'!$B$5:$B$10041,0)+1,
       MATCH(AO$3,'생산수량Back-Data'!$B$3:$AAA$3,0))</f>
        <v>0</v>
      </c>
      <c r="AP72" s="310" cm="1">
        <f t="array" ref="AP72">INDEX('생산수량Back-Data'!$B$5:$AAA$10041,
       MATCH($B71,'생산수량Back-Data'!$B$5:$B$10041,0)+1,
       MATCH(AP$3,'생산수량Back-Data'!$B$3:$AAA$3,0))</f>
        <v>0</v>
      </c>
      <c r="AQ72" s="310" cm="1">
        <f t="array" ref="AQ72">INDEX('생산수량Back-Data'!$B$5:$AAA$10041,
       MATCH($B71,'생산수량Back-Data'!$B$5:$B$10041,0)+1,
       MATCH(AQ$3,'생산수량Back-Data'!$B$3:$AAA$3,0))</f>
        <v>0</v>
      </c>
      <c r="AR72" s="310" cm="1">
        <f t="array" ref="AR72">INDEX('생산수량Back-Data'!$B$5:$AAA$10041,
       MATCH($B71,'생산수량Back-Data'!$B$5:$B$10041,0)+1,
       MATCH(AR$3,'생산수량Back-Data'!$B$3:$AAA$3,0))</f>
        <v>0</v>
      </c>
      <c r="AS72" s="310" cm="1">
        <f t="array" ref="AS72">INDEX('생산수량Back-Data'!$B$5:$AAA$10041,
       MATCH($B71,'생산수량Back-Data'!$B$5:$B$10041,0)+1,
       MATCH(AS$3,'생산수량Back-Data'!$B$3:$AAA$3,0))</f>
        <v>0</v>
      </c>
      <c r="AT72" s="324" cm="1">
        <f t="array" ref="AT72">INDEX('생산수량Back-Data'!$B$5:$AAA$10041,
       MATCH($B71,'생산수량Back-Data'!$B$5:$B$10041,0)+1,
       MATCH(AT$3,'생산수량Back-Data'!$B$3:$AAA$3,0))</f>
        <v>0</v>
      </c>
    </row>
    <row r="73" spans="2:46" ht="32.1" customHeight="1" x14ac:dyDescent="0.3">
      <c r="B73" s="444" t="s">
        <v>61</v>
      </c>
      <c r="C73" s="444" t="s">
        <v>185</v>
      </c>
      <c r="D73" s="444" t="s">
        <v>201</v>
      </c>
      <c r="E73" s="438">
        <f>ABS(SUMIFS('Fixture 총 발주수량'!Z:Z,'Fixture 총 발주수량'!B:B,'후공정(샌딩)생산계획'!B73,'Fixture 총 발주수량'!Z:Z,"&lt;0"))</f>
        <v>5039</v>
      </c>
      <c r="F73" s="431">
        <f>G73-E73</f>
        <v>-5039</v>
      </c>
      <c r="G73" s="437">
        <f>SUMIF(P73:AT73, "&gt;0")</f>
        <v>0</v>
      </c>
      <c r="H73" s="437">
        <f>SUMIF(P74:AT74, "&gt;0")</f>
        <v>345</v>
      </c>
      <c r="I73" s="442">
        <f>IFERROR(H73/G73,)</f>
        <v>0</v>
      </c>
      <c r="J73" s="437">
        <f ca="1">IFERROR(SUMIF('Fixture 총 발주수량'!B:AG,'후공정(샌딩)생산계획'!B73,'Fixture 총 발주수량'!AC:AC),)</f>
        <v>0</v>
      </c>
      <c r="K73" s="458">
        <f>ROUNDUP(E73/2000,)</f>
        <v>3</v>
      </c>
      <c r="L73" s="458">
        <f>L71+K73</f>
        <v>64</v>
      </c>
      <c r="M73" s="458">
        <f>L73+K73</f>
        <v>67</v>
      </c>
      <c r="N73" s="438">
        <f>N71+K73</f>
        <v>64</v>
      </c>
      <c r="O73" s="306" t="s">
        <v>264</v>
      </c>
      <c r="P73" s="311"/>
      <c r="Q73" s="312"/>
      <c r="R73" s="312"/>
      <c r="S73" s="312"/>
      <c r="T73" s="312"/>
      <c r="U73" s="312"/>
      <c r="V73" s="312"/>
      <c r="W73" s="312"/>
      <c r="X73" s="312"/>
      <c r="Y73" s="312"/>
      <c r="Z73" s="312"/>
      <c r="AA73" s="312"/>
      <c r="AB73" s="312"/>
      <c r="AC73" s="312"/>
      <c r="AD73" s="312"/>
      <c r="AE73" s="312"/>
      <c r="AF73" s="312"/>
      <c r="AG73" s="312"/>
      <c r="AH73" s="312"/>
      <c r="AI73" s="312"/>
      <c r="AJ73" s="312"/>
      <c r="AK73" s="312"/>
      <c r="AL73" s="312"/>
      <c r="AM73" s="312"/>
      <c r="AN73" s="312"/>
      <c r="AO73" s="312"/>
      <c r="AP73" s="312"/>
      <c r="AQ73" s="312"/>
      <c r="AR73" s="312"/>
      <c r="AS73" s="312"/>
      <c r="AT73" s="313"/>
    </row>
    <row r="74" spans="2:46" ht="32.1" customHeight="1" x14ac:dyDescent="0.3">
      <c r="B74" s="445"/>
      <c r="C74" s="445"/>
      <c r="D74" s="445"/>
      <c r="E74" s="439"/>
      <c r="F74" s="459"/>
      <c r="G74" s="436"/>
      <c r="H74" s="436"/>
      <c r="I74" s="443"/>
      <c r="J74" s="436"/>
      <c r="K74" s="458"/>
      <c r="L74" s="458"/>
      <c r="M74" s="458"/>
      <c r="N74" s="439"/>
      <c r="O74" s="306" t="s">
        <v>266</v>
      </c>
      <c r="P74" s="310" cm="1">
        <f t="array" ref="P74">INDEX('생산수량Back-Data'!$B$5:$AAA$10041,
       MATCH($B73,'생산수량Back-Data'!$B$5:$B$10041,0)+1,
       MATCH(P$3,'생산수량Back-Data'!$B$3:$AAA$3,0))</f>
        <v>0</v>
      </c>
      <c r="Q74" s="310" cm="1">
        <f t="array" ref="Q74">INDEX('생산수량Back-Data'!$B$5:$AAA$10041,
       MATCH($B73,'생산수량Back-Data'!$B$5:$B$10041,0)+1,
       MATCH(Q$3,'생산수량Back-Data'!$B$3:$AAA$3,0))</f>
        <v>0</v>
      </c>
      <c r="R74" s="310" cm="1">
        <f t="array" ref="R74">INDEX('생산수량Back-Data'!$B$5:$AAA$10041,
       MATCH($B73,'생산수량Back-Data'!$B$5:$B$10041,0)+1,
       MATCH(R$3,'생산수량Back-Data'!$B$3:$AAA$3,0))</f>
        <v>0</v>
      </c>
      <c r="S74" s="310" cm="1">
        <f t="array" ref="S74">INDEX('생산수량Back-Data'!$B$5:$AAA$10041,
       MATCH($B73,'생산수량Back-Data'!$B$5:$B$10041,0)+1,
       MATCH(S$3,'생산수량Back-Data'!$B$3:$AAA$3,0))</f>
        <v>120</v>
      </c>
      <c r="T74" s="310" cm="1">
        <f t="array" ref="T74">INDEX('생산수량Back-Data'!$B$5:$AAA$10041,
       MATCH($B73,'생산수량Back-Data'!$B$5:$B$10041,0)+1,
       MATCH(T$3,'생산수량Back-Data'!$B$3:$AAA$3,0))</f>
        <v>225</v>
      </c>
      <c r="U74" s="310" cm="1">
        <f t="array" ref="U74">INDEX('생산수량Back-Data'!$B$5:$AAA$10041,
       MATCH($B73,'생산수량Back-Data'!$B$5:$B$10041,0)+1,
       MATCH(U$3,'생산수량Back-Data'!$B$3:$AAA$3,0))</f>
        <v>0</v>
      </c>
      <c r="V74" s="310" cm="1">
        <f t="array" ref="V74">INDEX('생산수량Back-Data'!$B$5:$AAA$10041,
       MATCH($B73,'생산수량Back-Data'!$B$5:$B$10041,0)+1,
       MATCH(V$3,'생산수량Back-Data'!$B$3:$AAA$3,0))</f>
        <v>0</v>
      </c>
      <c r="W74" s="310" cm="1">
        <f t="array" ref="W74">INDEX('생산수량Back-Data'!$B$5:$AAA$10041,
       MATCH($B73,'생산수량Back-Data'!$B$5:$B$10041,0)+1,
       MATCH(W$3,'생산수량Back-Data'!$B$3:$AAA$3,0))</f>
        <v>0</v>
      </c>
      <c r="X74" s="310" cm="1">
        <f t="array" ref="X74">INDEX('생산수량Back-Data'!$B$5:$AAA$10041,
       MATCH($B73,'생산수량Back-Data'!$B$5:$B$10041,0)+1,
       MATCH(X$3,'생산수량Back-Data'!$B$3:$AAA$3,0))</f>
        <v>0</v>
      </c>
      <c r="Y74" s="310" cm="1">
        <f t="array" ref="Y74">INDEX('생산수량Back-Data'!$B$5:$AAA$10041,
       MATCH($B73,'생산수량Back-Data'!$B$5:$B$10041,0)+1,
       MATCH(Y$3,'생산수량Back-Data'!$B$3:$AAA$3,0))</f>
        <v>0</v>
      </c>
      <c r="Z74" s="310" cm="1">
        <f t="array" ref="Z74">INDEX('생산수량Back-Data'!$B$5:$AAA$10041,
       MATCH($B73,'생산수량Back-Data'!$B$5:$B$10041,0)+1,
       MATCH(Z$3,'생산수량Back-Data'!$B$3:$AAA$3,0))</f>
        <v>0</v>
      </c>
      <c r="AA74" s="310" cm="1">
        <f t="array" ref="AA74">INDEX('생산수량Back-Data'!$B$5:$AAA$10041,
       MATCH($B73,'생산수량Back-Data'!$B$5:$B$10041,0)+1,
       MATCH(AA$3,'생산수량Back-Data'!$B$3:$AAA$3,0))</f>
        <v>0</v>
      </c>
      <c r="AB74" s="310" cm="1">
        <f t="array" ref="AB74">INDEX('생산수량Back-Data'!$B$5:$AAA$10041,
       MATCH($B73,'생산수량Back-Data'!$B$5:$B$10041,0)+1,
       MATCH(AB$3,'생산수량Back-Data'!$B$3:$AAA$3,0))</f>
        <v>0</v>
      </c>
      <c r="AC74" s="310" cm="1">
        <f t="array" ref="AC74">INDEX('생산수량Back-Data'!$B$5:$AAA$10041,
       MATCH($B73,'생산수량Back-Data'!$B$5:$B$10041,0)+1,
       MATCH(AC$3,'생산수량Back-Data'!$B$3:$AAA$3,0))</f>
        <v>0</v>
      </c>
      <c r="AD74" s="310" cm="1">
        <f t="array" ref="AD74">INDEX('생산수량Back-Data'!$B$5:$AAA$10041,
       MATCH($B73,'생산수량Back-Data'!$B$5:$B$10041,0)+1,
       MATCH(AD$3,'생산수량Back-Data'!$B$3:$AAA$3,0))</f>
        <v>0</v>
      </c>
      <c r="AE74" s="310" cm="1">
        <f t="array" ref="AE74">INDEX('생산수량Back-Data'!$B$5:$AAA$10041,
       MATCH($B73,'생산수량Back-Data'!$B$5:$B$10041,0)+1,
       MATCH(AE$3,'생산수량Back-Data'!$B$3:$AAA$3,0))</f>
        <v>0</v>
      </c>
      <c r="AF74" s="310" cm="1">
        <f t="array" ref="AF74">INDEX('생산수량Back-Data'!$B$5:$AAA$10041,
       MATCH($B73,'생산수량Back-Data'!$B$5:$B$10041,0)+1,
       MATCH(AF$3,'생산수량Back-Data'!$B$3:$AAA$3,0))</f>
        <v>0</v>
      </c>
      <c r="AG74" s="310" cm="1">
        <f t="array" ref="AG74">INDEX('생산수량Back-Data'!$B$5:$AAA$10041,
       MATCH($B73,'생산수량Back-Data'!$B$5:$B$10041,0)+1,
       MATCH(AG$3,'생산수량Back-Data'!$B$3:$AAA$3,0))</f>
        <v>0</v>
      </c>
      <c r="AH74" s="310" cm="1">
        <f t="array" ref="AH74">INDEX('생산수량Back-Data'!$B$5:$AAA$10041,
       MATCH($B73,'생산수량Back-Data'!$B$5:$B$10041,0)+1,
       MATCH(AH$3,'생산수량Back-Data'!$B$3:$AAA$3,0))</f>
        <v>0</v>
      </c>
      <c r="AI74" s="310" cm="1">
        <f t="array" ref="AI74">INDEX('생산수량Back-Data'!$B$5:$AAA$10041,
       MATCH($B73,'생산수량Back-Data'!$B$5:$B$10041,0)+1,
       MATCH(AI$3,'생산수량Back-Data'!$B$3:$AAA$3,0))</f>
        <v>0</v>
      </c>
      <c r="AJ74" s="310" cm="1">
        <f t="array" ref="AJ74">INDEX('생산수량Back-Data'!$B$5:$AAA$10041,
       MATCH($B73,'생산수량Back-Data'!$B$5:$B$10041,0)+1,
       MATCH(AJ$3,'생산수량Back-Data'!$B$3:$AAA$3,0))</f>
        <v>0</v>
      </c>
      <c r="AK74" s="310" cm="1">
        <f t="array" ref="AK74">INDEX('생산수량Back-Data'!$B$5:$AAA$10041,
       MATCH($B73,'생산수량Back-Data'!$B$5:$B$10041,0)+1,
       MATCH(AK$3,'생산수량Back-Data'!$B$3:$AAA$3,0))</f>
        <v>0</v>
      </c>
      <c r="AL74" s="310" cm="1">
        <f t="array" ref="AL74">INDEX('생산수량Back-Data'!$B$5:$AAA$10041,
       MATCH($B73,'생산수량Back-Data'!$B$5:$B$10041,0)+1,
       MATCH(AL$3,'생산수량Back-Data'!$B$3:$AAA$3,0))</f>
        <v>0</v>
      </c>
      <c r="AM74" s="310" cm="1">
        <f t="array" ref="AM74">INDEX('생산수량Back-Data'!$B$5:$AAA$10041,
       MATCH($B73,'생산수량Back-Data'!$B$5:$B$10041,0)+1,
       MATCH(AM$3,'생산수량Back-Data'!$B$3:$AAA$3,0))</f>
        <v>0</v>
      </c>
      <c r="AN74" s="310" cm="1">
        <f t="array" ref="AN74">INDEX('생산수량Back-Data'!$B$5:$AAA$10041,
       MATCH($B73,'생산수량Back-Data'!$B$5:$B$10041,0)+1,
       MATCH(AN$3,'생산수량Back-Data'!$B$3:$AAA$3,0))</f>
        <v>0</v>
      </c>
      <c r="AO74" s="310" cm="1">
        <f t="array" ref="AO74">INDEX('생산수량Back-Data'!$B$5:$AAA$10041,
       MATCH($B73,'생산수량Back-Data'!$B$5:$B$10041,0)+1,
       MATCH(AO$3,'생산수량Back-Data'!$B$3:$AAA$3,0))</f>
        <v>0</v>
      </c>
      <c r="AP74" s="310" cm="1">
        <f t="array" ref="AP74">INDEX('생산수량Back-Data'!$B$5:$AAA$10041,
       MATCH($B73,'생산수량Back-Data'!$B$5:$B$10041,0)+1,
       MATCH(AP$3,'생산수량Back-Data'!$B$3:$AAA$3,0))</f>
        <v>0</v>
      </c>
      <c r="AQ74" s="310" cm="1">
        <f t="array" ref="AQ74">INDEX('생산수량Back-Data'!$B$5:$AAA$10041,
       MATCH($B73,'생산수량Back-Data'!$B$5:$B$10041,0)+1,
       MATCH(AQ$3,'생산수량Back-Data'!$B$3:$AAA$3,0))</f>
        <v>0</v>
      </c>
      <c r="AR74" s="310" cm="1">
        <f t="array" ref="AR74">INDEX('생산수량Back-Data'!$B$5:$AAA$10041,
       MATCH($B73,'생산수량Back-Data'!$B$5:$B$10041,0)+1,
       MATCH(AR$3,'생산수량Back-Data'!$B$3:$AAA$3,0))</f>
        <v>0</v>
      </c>
      <c r="AS74" s="310" cm="1">
        <f t="array" ref="AS74">INDEX('생산수량Back-Data'!$B$5:$AAA$10041,
       MATCH($B73,'생산수량Back-Data'!$B$5:$B$10041,0)+1,
       MATCH(AS$3,'생산수량Back-Data'!$B$3:$AAA$3,0))</f>
        <v>0</v>
      </c>
      <c r="AT74" s="324" cm="1">
        <f t="array" ref="AT74">INDEX('생산수량Back-Data'!$B$5:$AAA$10041,
       MATCH($B73,'생산수량Back-Data'!$B$5:$B$10041,0)+1,
       MATCH(AT$3,'생산수량Back-Data'!$B$3:$AAA$3,0))</f>
        <v>0</v>
      </c>
    </row>
    <row r="75" spans="2:46" ht="32.1" customHeight="1" x14ac:dyDescent="0.3">
      <c r="B75" s="444" t="s">
        <v>62</v>
      </c>
      <c r="C75" s="444" t="s">
        <v>185</v>
      </c>
      <c r="D75" s="444" t="s">
        <v>202</v>
      </c>
      <c r="E75" s="438">
        <f>ABS(SUMIFS('Fixture 총 발주수량'!Z:Z,'Fixture 총 발주수량'!B:B,'후공정(샌딩)생산계획'!B75,'Fixture 총 발주수량'!Z:Z,"&lt;0"))</f>
        <v>717</v>
      </c>
      <c r="F75" s="431">
        <f>G75-E75</f>
        <v>-717</v>
      </c>
      <c r="G75" s="437">
        <f>SUMIF(P75:AT75, "&gt;0")</f>
        <v>0</v>
      </c>
      <c r="H75" s="437">
        <f>SUMIF(P76:AT76, "&gt;0")</f>
        <v>0</v>
      </c>
      <c r="I75" s="442">
        <f>IFERROR(H75/G75,)</f>
        <v>0</v>
      </c>
      <c r="J75" s="437">
        <f ca="1">IFERROR(SUMIF('Fixture 총 발주수량'!B:AG,'후공정(샌딩)생산계획'!B75,'Fixture 총 발주수량'!AC:AC),)</f>
        <v>0</v>
      </c>
      <c r="K75" s="458">
        <f>ROUNDUP(E75/2000,)</f>
        <v>1</v>
      </c>
      <c r="L75" s="458">
        <f>L73+K75</f>
        <v>65</v>
      </c>
      <c r="M75" s="458">
        <f>L75+K75</f>
        <v>66</v>
      </c>
      <c r="N75" s="438">
        <f>N73+K75</f>
        <v>65</v>
      </c>
      <c r="O75" s="306" t="s">
        <v>264</v>
      </c>
      <c r="P75" s="311"/>
      <c r="Q75" s="312"/>
      <c r="R75" s="312"/>
      <c r="S75" s="312"/>
      <c r="T75" s="312"/>
      <c r="U75" s="312"/>
      <c r="V75" s="312"/>
      <c r="W75" s="312"/>
      <c r="X75" s="312"/>
      <c r="Y75" s="312"/>
      <c r="Z75" s="312"/>
      <c r="AA75" s="312"/>
      <c r="AB75" s="312"/>
      <c r="AC75" s="312"/>
      <c r="AD75" s="312"/>
      <c r="AE75" s="312"/>
      <c r="AF75" s="312"/>
      <c r="AG75" s="312"/>
      <c r="AH75" s="312"/>
      <c r="AI75" s="312"/>
      <c r="AJ75" s="312"/>
      <c r="AK75" s="312"/>
      <c r="AL75" s="312"/>
      <c r="AM75" s="312"/>
      <c r="AN75" s="312"/>
      <c r="AO75" s="312"/>
      <c r="AP75" s="312"/>
      <c r="AQ75" s="312"/>
      <c r="AR75" s="312"/>
      <c r="AS75" s="312"/>
      <c r="AT75" s="313"/>
    </row>
    <row r="76" spans="2:46" ht="32.1" customHeight="1" thickBot="1" x14ac:dyDescent="0.35">
      <c r="B76" s="454"/>
      <c r="C76" s="454"/>
      <c r="D76" s="454"/>
      <c r="E76" s="450"/>
      <c r="F76" s="461"/>
      <c r="G76" s="452"/>
      <c r="H76" s="452"/>
      <c r="I76" s="453"/>
      <c r="J76" s="452"/>
      <c r="K76" s="438"/>
      <c r="L76" s="438"/>
      <c r="M76" s="438"/>
      <c r="N76" s="450"/>
      <c r="O76" s="305" t="s">
        <v>266</v>
      </c>
      <c r="P76" s="310" cm="1">
        <f t="array" ref="P76">INDEX('생산수량Back-Data'!$B$5:$AAA$10041,
       MATCH($B75,'생산수량Back-Data'!$B$5:$B$10041,0)+1,
       MATCH(P$3,'생산수량Back-Data'!$B$3:$AAA$3,0))</f>
        <v>0</v>
      </c>
      <c r="Q76" s="310" cm="1">
        <f t="array" ref="Q76">INDEX('생산수량Back-Data'!$B$5:$AAA$10041,
       MATCH($B75,'생산수량Back-Data'!$B$5:$B$10041,0)+1,
       MATCH(Q$3,'생산수량Back-Data'!$B$3:$AAA$3,0))</f>
        <v>0</v>
      </c>
      <c r="R76" s="310" cm="1">
        <f t="array" ref="R76">INDEX('생산수량Back-Data'!$B$5:$AAA$10041,
       MATCH($B75,'생산수량Back-Data'!$B$5:$B$10041,0)+1,
       MATCH(R$3,'생산수량Back-Data'!$B$3:$AAA$3,0))</f>
        <v>0</v>
      </c>
      <c r="S76" s="310" cm="1">
        <f t="array" ref="S76">INDEX('생산수량Back-Data'!$B$5:$AAA$10041,
       MATCH($B75,'생산수량Back-Data'!$B$5:$B$10041,0)+1,
       MATCH(S$3,'생산수량Back-Data'!$B$3:$AAA$3,0))</f>
        <v>0</v>
      </c>
      <c r="T76" s="310" cm="1">
        <f t="array" ref="T76">INDEX('생산수량Back-Data'!$B$5:$AAA$10041,
       MATCH($B75,'생산수량Back-Data'!$B$5:$B$10041,0)+1,
       MATCH(T$3,'생산수량Back-Data'!$B$3:$AAA$3,0))</f>
        <v>0</v>
      </c>
      <c r="U76" s="310" cm="1">
        <f t="array" ref="U76">INDEX('생산수량Back-Data'!$B$5:$AAA$10041,
       MATCH($B75,'생산수량Back-Data'!$B$5:$B$10041,0)+1,
       MATCH(U$3,'생산수량Back-Data'!$B$3:$AAA$3,0))</f>
        <v>0</v>
      </c>
      <c r="V76" s="310" cm="1">
        <f t="array" ref="V76">INDEX('생산수량Back-Data'!$B$5:$AAA$10041,
       MATCH($B75,'생산수량Back-Data'!$B$5:$B$10041,0)+1,
       MATCH(V$3,'생산수량Back-Data'!$B$3:$AAA$3,0))</f>
        <v>0</v>
      </c>
      <c r="W76" s="310" cm="1">
        <f t="array" ref="W76">INDEX('생산수량Back-Data'!$B$5:$AAA$10041,
       MATCH($B75,'생산수량Back-Data'!$B$5:$B$10041,0)+1,
       MATCH(W$3,'생산수량Back-Data'!$B$3:$AAA$3,0))</f>
        <v>0</v>
      </c>
      <c r="X76" s="310" cm="1">
        <f t="array" ref="X76">INDEX('생산수량Back-Data'!$B$5:$AAA$10041,
       MATCH($B75,'생산수량Back-Data'!$B$5:$B$10041,0)+1,
       MATCH(X$3,'생산수량Back-Data'!$B$3:$AAA$3,0))</f>
        <v>0</v>
      </c>
      <c r="Y76" s="310" cm="1">
        <f t="array" ref="Y76">INDEX('생산수량Back-Data'!$B$5:$AAA$10041,
       MATCH($B75,'생산수량Back-Data'!$B$5:$B$10041,0)+1,
       MATCH(Y$3,'생산수량Back-Data'!$B$3:$AAA$3,0))</f>
        <v>0</v>
      </c>
      <c r="Z76" s="310" cm="1">
        <f t="array" ref="Z76">INDEX('생산수량Back-Data'!$B$5:$AAA$10041,
       MATCH($B75,'생산수량Back-Data'!$B$5:$B$10041,0)+1,
       MATCH(Z$3,'생산수량Back-Data'!$B$3:$AAA$3,0))</f>
        <v>0</v>
      </c>
      <c r="AA76" s="310" cm="1">
        <f t="array" ref="AA76">INDEX('생산수량Back-Data'!$B$5:$AAA$10041,
       MATCH($B75,'생산수량Back-Data'!$B$5:$B$10041,0)+1,
       MATCH(AA$3,'생산수량Back-Data'!$B$3:$AAA$3,0))</f>
        <v>0</v>
      </c>
      <c r="AB76" s="310" cm="1">
        <f t="array" ref="AB76">INDEX('생산수량Back-Data'!$B$5:$AAA$10041,
       MATCH($B75,'생산수량Back-Data'!$B$5:$B$10041,0)+1,
       MATCH(AB$3,'생산수량Back-Data'!$B$3:$AAA$3,0))</f>
        <v>0</v>
      </c>
      <c r="AC76" s="310" cm="1">
        <f t="array" ref="AC76">INDEX('생산수량Back-Data'!$B$5:$AAA$10041,
       MATCH($B75,'생산수량Back-Data'!$B$5:$B$10041,0)+1,
       MATCH(AC$3,'생산수량Back-Data'!$B$3:$AAA$3,0))</f>
        <v>0</v>
      </c>
      <c r="AD76" s="310" cm="1">
        <f t="array" ref="AD76">INDEX('생산수량Back-Data'!$B$5:$AAA$10041,
       MATCH($B75,'생산수량Back-Data'!$B$5:$B$10041,0)+1,
       MATCH(AD$3,'생산수량Back-Data'!$B$3:$AAA$3,0))</f>
        <v>0</v>
      </c>
      <c r="AE76" s="310" cm="1">
        <f t="array" ref="AE76">INDEX('생산수량Back-Data'!$B$5:$AAA$10041,
       MATCH($B75,'생산수량Back-Data'!$B$5:$B$10041,0)+1,
       MATCH(AE$3,'생산수량Back-Data'!$B$3:$AAA$3,0))</f>
        <v>0</v>
      </c>
      <c r="AF76" s="310" cm="1">
        <f t="array" ref="AF76">INDEX('생산수량Back-Data'!$B$5:$AAA$10041,
       MATCH($B75,'생산수량Back-Data'!$B$5:$B$10041,0)+1,
       MATCH(AF$3,'생산수량Back-Data'!$B$3:$AAA$3,0))</f>
        <v>0</v>
      </c>
      <c r="AG76" s="310" cm="1">
        <f t="array" ref="AG76">INDEX('생산수량Back-Data'!$B$5:$AAA$10041,
       MATCH($B75,'생산수량Back-Data'!$B$5:$B$10041,0)+1,
       MATCH(AG$3,'생산수량Back-Data'!$B$3:$AAA$3,0))</f>
        <v>0</v>
      </c>
      <c r="AH76" s="310" cm="1">
        <f t="array" ref="AH76">INDEX('생산수량Back-Data'!$B$5:$AAA$10041,
       MATCH($B75,'생산수량Back-Data'!$B$5:$B$10041,0)+1,
       MATCH(AH$3,'생산수량Back-Data'!$B$3:$AAA$3,0))</f>
        <v>0</v>
      </c>
      <c r="AI76" s="310" cm="1">
        <f t="array" ref="AI76">INDEX('생산수량Back-Data'!$B$5:$AAA$10041,
       MATCH($B75,'생산수량Back-Data'!$B$5:$B$10041,0)+1,
       MATCH(AI$3,'생산수량Back-Data'!$B$3:$AAA$3,0))</f>
        <v>0</v>
      </c>
      <c r="AJ76" s="310" cm="1">
        <f t="array" ref="AJ76">INDEX('생산수량Back-Data'!$B$5:$AAA$10041,
       MATCH($B75,'생산수량Back-Data'!$B$5:$B$10041,0)+1,
       MATCH(AJ$3,'생산수량Back-Data'!$B$3:$AAA$3,0))</f>
        <v>0</v>
      </c>
      <c r="AK76" s="310" cm="1">
        <f t="array" ref="AK76">INDEX('생산수량Back-Data'!$B$5:$AAA$10041,
       MATCH($B75,'생산수량Back-Data'!$B$5:$B$10041,0)+1,
       MATCH(AK$3,'생산수량Back-Data'!$B$3:$AAA$3,0))</f>
        <v>0</v>
      </c>
      <c r="AL76" s="310" cm="1">
        <f t="array" ref="AL76">INDEX('생산수량Back-Data'!$B$5:$AAA$10041,
       MATCH($B75,'생산수량Back-Data'!$B$5:$B$10041,0)+1,
       MATCH(AL$3,'생산수량Back-Data'!$B$3:$AAA$3,0))</f>
        <v>0</v>
      </c>
      <c r="AM76" s="310" cm="1">
        <f t="array" ref="AM76">INDEX('생산수량Back-Data'!$B$5:$AAA$10041,
       MATCH($B75,'생산수량Back-Data'!$B$5:$B$10041,0)+1,
       MATCH(AM$3,'생산수량Back-Data'!$B$3:$AAA$3,0))</f>
        <v>0</v>
      </c>
      <c r="AN76" s="310" cm="1">
        <f t="array" ref="AN76">INDEX('생산수량Back-Data'!$B$5:$AAA$10041,
       MATCH($B75,'생산수량Back-Data'!$B$5:$B$10041,0)+1,
       MATCH(AN$3,'생산수량Back-Data'!$B$3:$AAA$3,0))</f>
        <v>0</v>
      </c>
      <c r="AO76" s="310" cm="1">
        <f t="array" ref="AO76">INDEX('생산수량Back-Data'!$B$5:$AAA$10041,
       MATCH($B75,'생산수량Back-Data'!$B$5:$B$10041,0)+1,
       MATCH(AO$3,'생산수량Back-Data'!$B$3:$AAA$3,0))</f>
        <v>0</v>
      </c>
      <c r="AP76" s="310" cm="1">
        <f t="array" ref="AP76">INDEX('생산수량Back-Data'!$B$5:$AAA$10041,
       MATCH($B75,'생산수량Back-Data'!$B$5:$B$10041,0)+1,
       MATCH(AP$3,'생산수량Back-Data'!$B$3:$AAA$3,0))</f>
        <v>0</v>
      </c>
      <c r="AQ76" s="310" cm="1">
        <f t="array" ref="AQ76">INDEX('생산수량Back-Data'!$B$5:$AAA$10041,
       MATCH($B75,'생산수량Back-Data'!$B$5:$B$10041,0)+1,
       MATCH(AQ$3,'생산수량Back-Data'!$B$3:$AAA$3,0))</f>
        <v>0</v>
      </c>
      <c r="AR76" s="310" cm="1">
        <f t="array" ref="AR76">INDEX('생산수량Back-Data'!$B$5:$AAA$10041,
       MATCH($B75,'생산수량Back-Data'!$B$5:$B$10041,0)+1,
       MATCH(AR$3,'생산수량Back-Data'!$B$3:$AAA$3,0))</f>
        <v>0</v>
      </c>
      <c r="AS76" s="310" cm="1">
        <f t="array" ref="AS76">INDEX('생산수량Back-Data'!$B$5:$AAA$10041,
       MATCH($B75,'생산수량Back-Data'!$B$5:$B$10041,0)+1,
       MATCH(AS$3,'생산수량Back-Data'!$B$3:$AAA$3,0))</f>
        <v>0</v>
      </c>
      <c r="AT76" s="324" cm="1">
        <f t="array" ref="AT76">INDEX('생산수량Back-Data'!$B$5:$AAA$10041,
       MATCH($B75,'생산수량Back-Data'!$B$5:$B$10041,0)+1,
       MATCH(AT$3,'생산수량Back-Data'!$B$3:$AAA$3,0))</f>
        <v>0</v>
      </c>
    </row>
    <row r="77" spans="2:46" ht="32.1" customHeight="1" x14ac:dyDescent="0.3">
      <c r="B77" s="449" t="s">
        <v>63</v>
      </c>
      <c r="C77" s="449" t="s">
        <v>185</v>
      </c>
      <c r="D77" s="449" t="s">
        <v>203</v>
      </c>
      <c r="E77" s="446">
        <f>ABS(SUMIFS('Fixture 총 발주수량'!Z:Z,'Fixture 총 발주수량'!B:B,'후공정(샌딩)생산계획'!B77,'Fixture 총 발주수량'!Z:Z,"&lt;0"))</f>
        <v>69</v>
      </c>
      <c r="F77" s="434">
        <f>G77-E77</f>
        <v>-69</v>
      </c>
      <c r="G77" s="435">
        <f>SUMIF(P77:AT77, "&gt;0")</f>
        <v>0</v>
      </c>
      <c r="H77" s="435">
        <f>SUMIF(P78:AT78, "&gt;0")</f>
        <v>0</v>
      </c>
      <c r="I77" s="448">
        <f>IFERROR(H77/G77,)</f>
        <v>0</v>
      </c>
      <c r="J77" s="435">
        <f ca="1">IFERROR(SUMIF('Fixture 총 발주수량'!B:AG,'후공정(샌딩)생산계획'!B77,'Fixture 총 발주수량'!AC:AC),)</f>
        <v>0</v>
      </c>
      <c r="K77" s="460">
        <f>ROUNDUP(E77/2000,)</f>
        <v>1</v>
      </c>
      <c r="L77" s="460">
        <f>L75+K77</f>
        <v>66</v>
      </c>
      <c r="M77" s="460">
        <f>L77+K77</f>
        <v>67</v>
      </c>
      <c r="N77" s="446">
        <f>N75+K77</f>
        <v>66</v>
      </c>
      <c r="O77" s="336" t="s">
        <v>264</v>
      </c>
      <c r="P77" s="416"/>
      <c r="Q77" s="417"/>
      <c r="R77" s="417"/>
      <c r="S77" s="417"/>
      <c r="T77" s="417"/>
      <c r="U77" s="417"/>
      <c r="V77" s="417"/>
      <c r="W77" s="417"/>
      <c r="X77" s="417"/>
      <c r="Y77" s="417"/>
      <c r="Z77" s="417"/>
      <c r="AA77" s="417"/>
      <c r="AB77" s="417"/>
      <c r="AC77" s="417"/>
      <c r="AD77" s="417"/>
      <c r="AE77" s="417"/>
      <c r="AF77" s="417"/>
      <c r="AG77" s="417"/>
      <c r="AH77" s="417"/>
      <c r="AI77" s="417"/>
      <c r="AJ77" s="417"/>
      <c r="AK77" s="417"/>
      <c r="AL77" s="417"/>
      <c r="AM77" s="417"/>
      <c r="AN77" s="417"/>
      <c r="AO77" s="417"/>
      <c r="AP77" s="417"/>
      <c r="AQ77" s="417"/>
      <c r="AR77" s="417"/>
      <c r="AS77" s="417"/>
      <c r="AT77" s="418"/>
    </row>
    <row r="78" spans="2:46" ht="32.1" customHeight="1" x14ac:dyDescent="0.3">
      <c r="B78" s="445"/>
      <c r="C78" s="445"/>
      <c r="D78" s="445"/>
      <c r="E78" s="439"/>
      <c r="F78" s="459"/>
      <c r="G78" s="436"/>
      <c r="H78" s="436"/>
      <c r="I78" s="443"/>
      <c r="J78" s="436"/>
      <c r="K78" s="458"/>
      <c r="L78" s="458"/>
      <c r="M78" s="458"/>
      <c r="N78" s="439"/>
      <c r="O78" s="306" t="s">
        <v>266</v>
      </c>
      <c r="P78" s="328" cm="1">
        <f t="array" ref="P78">INDEX('생산수량Back-Data'!$B$5:$AAA$10041,
       MATCH($B77,'생산수량Back-Data'!$B$5:$B$10041,0)+1,
       MATCH(P$3,'생산수량Back-Data'!$B$3:$AAA$3,0))</f>
        <v>0</v>
      </c>
      <c r="Q78" s="328" cm="1">
        <f t="array" ref="Q78">INDEX('생산수량Back-Data'!$B$5:$AAA$10041,
       MATCH($B77,'생산수량Back-Data'!$B$5:$B$10041,0)+1,
       MATCH(Q$3,'생산수량Back-Data'!$B$3:$AAA$3,0))</f>
        <v>0</v>
      </c>
      <c r="R78" s="328" cm="1">
        <f t="array" ref="R78">INDEX('생산수량Back-Data'!$B$5:$AAA$10041,
       MATCH($B77,'생산수량Back-Data'!$B$5:$B$10041,0)+1,
       MATCH(R$3,'생산수량Back-Data'!$B$3:$AAA$3,0))</f>
        <v>0</v>
      </c>
      <c r="S78" s="328" cm="1">
        <f t="array" ref="S78">INDEX('생산수량Back-Data'!$B$5:$AAA$10041,
       MATCH($B77,'생산수량Back-Data'!$B$5:$B$10041,0)+1,
       MATCH(S$3,'생산수량Back-Data'!$B$3:$AAA$3,0))</f>
        <v>0</v>
      </c>
      <c r="T78" s="328" cm="1">
        <f t="array" ref="T78">INDEX('생산수량Back-Data'!$B$5:$AAA$10041,
       MATCH($B77,'생산수량Back-Data'!$B$5:$B$10041,0)+1,
       MATCH(T$3,'생산수량Back-Data'!$B$3:$AAA$3,0))</f>
        <v>0</v>
      </c>
      <c r="U78" s="328" cm="1">
        <f t="array" ref="U78">INDEX('생산수량Back-Data'!$B$5:$AAA$10041,
       MATCH($B77,'생산수량Back-Data'!$B$5:$B$10041,0)+1,
       MATCH(U$3,'생산수량Back-Data'!$B$3:$AAA$3,0))</f>
        <v>0</v>
      </c>
      <c r="V78" s="328" cm="1">
        <f t="array" ref="V78">INDEX('생산수량Back-Data'!$B$5:$AAA$10041,
       MATCH($B77,'생산수량Back-Data'!$B$5:$B$10041,0)+1,
       MATCH(V$3,'생산수량Back-Data'!$B$3:$AAA$3,0))</f>
        <v>0</v>
      </c>
      <c r="W78" s="328" cm="1">
        <f t="array" ref="W78">INDEX('생산수량Back-Data'!$B$5:$AAA$10041,
       MATCH($B77,'생산수량Back-Data'!$B$5:$B$10041,0)+1,
       MATCH(W$3,'생산수량Back-Data'!$B$3:$AAA$3,0))</f>
        <v>0</v>
      </c>
      <c r="X78" s="328" cm="1">
        <f t="array" ref="X78">INDEX('생산수량Back-Data'!$B$5:$AAA$10041,
       MATCH($B77,'생산수량Back-Data'!$B$5:$B$10041,0)+1,
       MATCH(X$3,'생산수량Back-Data'!$B$3:$AAA$3,0))</f>
        <v>0</v>
      </c>
      <c r="Y78" s="328" cm="1">
        <f t="array" ref="Y78">INDEX('생산수량Back-Data'!$B$5:$AAA$10041,
       MATCH($B77,'생산수량Back-Data'!$B$5:$B$10041,0)+1,
       MATCH(Y$3,'생산수량Back-Data'!$B$3:$AAA$3,0))</f>
        <v>0</v>
      </c>
      <c r="Z78" s="328" cm="1">
        <f t="array" ref="Z78">INDEX('생산수량Back-Data'!$B$5:$AAA$10041,
       MATCH($B77,'생산수량Back-Data'!$B$5:$B$10041,0)+1,
       MATCH(Z$3,'생산수량Back-Data'!$B$3:$AAA$3,0))</f>
        <v>0</v>
      </c>
      <c r="AA78" s="328" cm="1">
        <f t="array" ref="AA78">INDEX('생산수량Back-Data'!$B$5:$AAA$10041,
       MATCH($B77,'생산수량Back-Data'!$B$5:$B$10041,0)+1,
       MATCH(AA$3,'생산수량Back-Data'!$B$3:$AAA$3,0))</f>
        <v>0</v>
      </c>
      <c r="AB78" s="328" cm="1">
        <f t="array" ref="AB78">INDEX('생산수량Back-Data'!$B$5:$AAA$10041,
       MATCH($B77,'생산수량Back-Data'!$B$5:$B$10041,0)+1,
       MATCH(AB$3,'생산수량Back-Data'!$B$3:$AAA$3,0))</f>
        <v>0</v>
      </c>
      <c r="AC78" s="328" cm="1">
        <f t="array" ref="AC78">INDEX('생산수량Back-Data'!$B$5:$AAA$10041,
       MATCH($B77,'생산수량Back-Data'!$B$5:$B$10041,0)+1,
       MATCH(AC$3,'생산수량Back-Data'!$B$3:$AAA$3,0))</f>
        <v>0</v>
      </c>
      <c r="AD78" s="328" cm="1">
        <f t="array" ref="AD78">INDEX('생산수량Back-Data'!$B$5:$AAA$10041,
       MATCH($B77,'생산수량Back-Data'!$B$5:$B$10041,0)+1,
       MATCH(AD$3,'생산수량Back-Data'!$B$3:$AAA$3,0))</f>
        <v>0</v>
      </c>
      <c r="AE78" s="328" cm="1">
        <f t="array" ref="AE78">INDEX('생산수량Back-Data'!$B$5:$AAA$10041,
       MATCH($B77,'생산수량Back-Data'!$B$5:$B$10041,0)+1,
       MATCH(AE$3,'생산수량Back-Data'!$B$3:$AAA$3,0))</f>
        <v>0</v>
      </c>
      <c r="AF78" s="328" cm="1">
        <f t="array" ref="AF78">INDEX('생산수량Back-Data'!$B$5:$AAA$10041,
       MATCH($B77,'생산수량Back-Data'!$B$5:$B$10041,0)+1,
       MATCH(AF$3,'생산수량Back-Data'!$B$3:$AAA$3,0))</f>
        <v>0</v>
      </c>
      <c r="AG78" s="328" cm="1">
        <f t="array" ref="AG78">INDEX('생산수량Back-Data'!$B$5:$AAA$10041,
       MATCH($B77,'생산수량Back-Data'!$B$5:$B$10041,0)+1,
       MATCH(AG$3,'생산수량Back-Data'!$B$3:$AAA$3,0))</f>
        <v>0</v>
      </c>
      <c r="AH78" s="328" cm="1">
        <f t="array" ref="AH78">INDEX('생산수량Back-Data'!$B$5:$AAA$10041,
       MATCH($B77,'생산수량Back-Data'!$B$5:$B$10041,0)+1,
       MATCH(AH$3,'생산수량Back-Data'!$B$3:$AAA$3,0))</f>
        <v>0</v>
      </c>
      <c r="AI78" s="328" cm="1">
        <f t="array" ref="AI78">INDEX('생산수량Back-Data'!$B$5:$AAA$10041,
       MATCH($B77,'생산수량Back-Data'!$B$5:$B$10041,0)+1,
       MATCH(AI$3,'생산수량Back-Data'!$B$3:$AAA$3,0))</f>
        <v>0</v>
      </c>
      <c r="AJ78" s="328" cm="1">
        <f t="array" ref="AJ78">INDEX('생산수량Back-Data'!$B$5:$AAA$10041,
       MATCH($B77,'생산수량Back-Data'!$B$5:$B$10041,0)+1,
       MATCH(AJ$3,'생산수량Back-Data'!$B$3:$AAA$3,0))</f>
        <v>0</v>
      </c>
      <c r="AK78" s="328" cm="1">
        <f t="array" ref="AK78">INDEX('생산수량Back-Data'!$B$5:$AAA$10041,
       MATCH($B77,'생산수량Back-Data'!$B$5:$B$10041,0)+1,
       MATCH(AK$3,'생산수량Back-Data'!$B$3:$AAA$3,0))</f>
        <v>0</v>
      </c>
      <c r="AL78" s="328" cm="1">
        <f t="array" ref="AL78">INDEX('생산수량Back-Data'!$B$5:$AAA$10041,
       MATCH($B77,'생산수량Back-Data'!$B$5:$B$10041,0)+1,
       MATCH(AL$3,'생산수량Back-Data'!$B$3:$AAA$3,0))</f>
        <v>0</v>
      </c>
      <c r="AM78" s="328" cm="1">
        <f t="array" ref="AM78">INDEX('생산수량Back-Data'!$B$5:$AAA$10041,
       MATCH($B77,'생산수량Back-Data'!$B$5:$B$10041,0)+1,
       MATCH(AM$3,'생산수량Back-Data'!$B$3:$AAA$3,0))</f>
        <v>0</v>
      </c>
      <c r="AN78" s="328" cm="1">
        <f t="array" ref="AN78">INDEX('생산수량Back-Data'!$B$5:$AAA$10041,
       MATCH($B77,'생산수량Back-Data'!$B$5:$B$10041,0)+1,
       MATCH(AN$3,'생산수량Back-Data'!$B$3:$AAA$3,0))</f>
        <v>0</v>
      </c>
      <c r="AO78" s="328" cm="1">
        <f t="array" ref="AO78">INDEX('생산수량Back-Data'!$B$5:$AAA$10041,
       MATCH($B77,'생산수량Back-Data'!$B$5:$B$10041,0)+1,
       MATCH(AO$3,'생산수량Back-Data'!$B$3:$AAA$3,0))</f>
        <v>0</v>
      </c>
      <c r="AP78" s="328" cm="1">
        <f t="array" ref="AP78">INDEX('생산수량Back-Data'!$B$5:$AAA$10041,
       MATCH($B77,'생산수량Back-Data'!$B$5:$B$10041,0)+1,
       MATCH(AP$3,'생산수량Back-Data'!$B$3:$AAA$3,0))</f>
        <v>0</v>
      </c>
      <c r="AQ78" s="328" cm="1">
        <f t="array" ref="AQ78">INDEX('생산수량Back-Data'!$B$5:$AAA$10041,
       MATCH($B77,'생산수량Back-Data'!$B$5:$B$10041,0)+1,
       MATCH(AQ$3,'생산수량Back-Data'!$B$3:$AAA$3,0))</f>
        <v>0</v>
      </c>
      <c r="AR78" s="328" cm="1">
        <f t="array" ref="AR78">INDEX('생산수량Back-Data'!$B$5:$AAA$10041,
       MATCH($B77,'생산수량Back-Data'!$B$5:$B$10041,0)+1,
       MATCH(AR$3,'생산수량Back-Data'!$B$3:$AAA$3,0))</f>
        <v>0</v>
      </c>
      <c r="AS78" s="328" cm="1">
        <f t="array" ref="AS78">INDEX('생산수량Back-Data'!$B$5:$AAA$10041,
       MATCH($B77,'생산수량Back-Data'!$B$5:$B$10041,0)+1,
       MATCH(AS$3,'생산수량Back-Data'!$B$3:$AAA$3,0))</f>
        <v>0</v>
      </c>
      <c r="AT78" s="329" cm="1">
        <f t="array" ref="AT78">INDEX('생산수량Back-Data'!$B$5:$AAA$10041,
       MATCH($B77,'생산수량Back-Data'!$B$5:$B$10041,0)+1,
       MATCH(AT$3,'생산수량Back-Data'!$B$3:$AAA$3,0))</f>
        <v>0</v>
      </c>
    </row>
    <row r="79" spans="2:46" ht="32.1" customHeight="1" x14ac:dyDescent="0.3">
      <c r="B79" s="444" t="s">
        <v>64</v>
      </c>
      <c r="C79" s="444" t="s">
        <v>185</v>
      </c>
      <c r="D79" s="444" t="s">
        <v>204</v>
      </c>
      <c r="E79" s="438">
        <f>ABS(SUMIFS('Fixture 총 발주수량'!Z:Z,'Fixture 총 발주수량'!B:B,'후공정(샌딩)생산계획'!B79,'Fixture 총 발주수량'!Z:Z,"&lt;0"))</f>
        <v>2054</v>
      </c>
      <c r="F79" s="431">
        <f>G79-E79</f>
        <v>-2054</v>
      </c>
      <c r="G79" s="437">
        <f>SUMIF(P79:AT79, "&gt;0")</f>
        <v>0</v>
      </c>
      <c r="H79" s="437">
        <f>SUMIF(P80:AT80, "&gt;0")</f>
        <v>0</v>
      </c>
      <c r="I79" s="442">
        <f>IFERROR(H79/G79,)</f>
        <v>0</v>
      </c>
      <c r="J79" s="437">
        <f ca="1">IFERROR(SUMIF('Fixture 총 발주수량'!B:AG,'후공정(샌딩)생산계획'!B79,'Fixture 총 발주수량'!AC:AC),)</f>
        <v>759</v>
      </c>
      <c r="K79" s="458">
        <f>ROUNDUP(E79/2000,)</f>
        <v>2</v>
      </c>
      <c r="L79" s="458">
        <f>L77+K79</f>
        <v>68</v>
      </c>
      <c r="M79" s="458">
        <f>L79+K79</f>
        <v>70</v>
      </c>
      <c r="N79" s="438">
        <f>N77+K79</f>
        <v>68</v>
      </c>
      <c r="O79" s="306" t="s">
        <v>264</v>
      </c>
      <c r="P79" s="311"/>
      <c r="Q79" s="312"/>
      <c r="R79" s="312"/>
      <c r="S79" s="312"/>
      <c r="T79" s="312"/>
      <c r="U79" s="312"/>
      <c r="V79" s="312"/>
      <c r="W79" s="312"/>
      <c r="X79" s="312"/>
      <c r="Y79" s="312"/>
      <c r="Z79" s="312"/>
      <c r="AA79" s="312"/>
      <c r="AB79" s="312"/>
      <c r="AC79" s="312"/>
      <c r="AD79" s="312"/>
      <c r="AE79" s="312"/>
      <c r="AF79" s="312"/>
      <c r="AG79" s="312"/>
      <c r="AH79" s="312"/>
      <c r="AI79" s="312"/>
      <c r="AJ79" s="312"/>
      <c r="AK79" s="312"/>
      <c r="AL79" s="312"/>
      <c r="AM79" s="312"/>
      <c r="AN79" s="312"/>
      <c r="AO79" s="312"/>
      <c r="AP79" s="312"/>
      <c r="AQ79" s="312"/>
      <c r="AR79" s="312"/>
      <c r="AS79" s="312"/>
      <c r="AT79" s="313"/>
    </row>
    <row r="80" spans="2:46" ht="32.1" customHeight="1" x14ac:dyDescent="0.3">
      <c r="B80" s="445"/>
      <c r="C80" s="445"/>
      <c r="D80" s="445"/>
      <c r="E80" s="439"/>
      <c r="F80" s="459"/>
      <c r="G80" s="436"/>
      <c r="H80" s="436"/>
      <c r="I80" s="443"/>
      <c r="J80" s="436"/>
      <c r="K80" s="458"/>
      <c r="L80" s="458"/>
      <c r="M80" s="458"/>
      <c r="N80" s="439"/>
      <c r="O80" s="306" t="s">
        <v>266</v>
      </c>
      <c r="P80" s="310" cm="1">
        <f t="array" ref="P80">INDEX('생산수량Back-Data'!$B$5:$AAA$10041,
       MATCH($B79,'생산수량Back-Data'!$B$5:$B$10041,0)+1,
       MATCH(P$3,'생산수량Back-Data'!$B$3:$AAA$3,0))</f>
        <v>0</v>
      </c>
      <c r="Q80" s="310" cm="1">
        <f t="array" ref="Q80">INDEX('생산수량Back-Data'!$B$5:$AAA$10041,
       MATCH($B79,'생산수량Back-Data'!$B$5:$B$10041,0)+1,
       MATCH(Q$3,'생산수량Back-Data'!$B$3:$AAA$3,0))</f>
        <v>0</v>
      </c>
      <c r="R80" s="310" cm="1">
        <f t="array" ref="R80">INDEX('생산수량Back-Data'!$B$5:$AAA$10041,
       MATCH($B79,'생산수량Back-Data'!$B$5:$B$10041,0)+1,
       MATCH(R$3,'생산수량Back-Data'!$B$3:$AAA$3,0))</f>
        <v>0</v>
      </c>
      <c r="S80" s="310" cm="1">
        <f t="array" ref="S80">INDEX('생산수량Back-Data'!$B$5:$AAA$10041,
       MATCH($B79,'생산수량Back-Data'!$B$5:$B$10041,0)+1,
       MATCH(S$3,'생산수량Back-Data'!$B$3:$AAA$3,0))</f>
        <v>0</v>
      </c>
      <c r="T80" s="310" cm="1">
        <f t="array" ref="T80">INDEX('생산수량Back-Data'!$B$5:$AAA$10041,
       MATCH($B79,'생산수량Back-Data'!$B$5:$B$10041,0)+1,
       MATCH(T$3,'생산수량Back-Data'!$B$3:$AAA$3,0))</f>
        <v>0</v>
      </c>
      <c r="U80" s="310" cm="1">
        <f t="array" ref="U80">INDEX('생산수량Back-Data'!$B$5:$AAA$10041,
       MATCH($B79,'생산수량Back-Data'!$B$5:$B$10041,0)+1,
       MATCH(U$3,'생산수량Back-Data'!$B$3:$AAA$3,0))</f>
        <v>0</v>
      </c>
      <c r="V80" s="310" cm="1">
        <f t="array" ref="V80">INDEX('생산수량Back-Data'!$B$5:$AAA$10041,
       MATCH($B79,'생산수량Back-Data'!$B$5:$B$10041,0)+1,
       MATCH(V$3,'생산수량Back-Data'!$B$3:$AAA$3,0))</f>
        <v>0</v>
      </c>
      <c r="W80" s="310" cm="1">
        <f t="array" ref="W80">INDEX('생산수량Back-Data'!$B$5:$AAA$10041,
       MATCH($B79,'생산수량Back-Data'!$B$5:$B$10041,0)+1,
       MATCH(W$3,'생산수량Back-Data'!$B$3:$AAA$3,0))</f>
        <v>0</v>
      </c>
      <c r="X80" s="310" cm="1">
        <f t="array" ref="X80">INDEX('생산수량Back-Data'!$B$5:$AAA$10041,
       MATCH($B79,'생산수량Back-Data'!$B$5:$B$10041,0)+1,
       MATCH(X$3,'생산수량Back-Data'!$B$3:$AAA$3,0))</f>
        <v>0</v>
      </c>
      <c r="Y80" s="310" cm="1">
        <f t="array" ref="Y80">INDEX('생산수량Back-Data'!$B$5:$AAA$10041,
       MATCH($B79,'생산수량Back-Data'!$B$5:$B$10041,0)+1,
       MATCH(Y$3,'생산수량Back-Data'!$B$3:$AAA$3,0))</f>
        <v>0</v>
      </c>
      <c r="Z80" s="310" cm="1">
        <f t="array" ref="Z80">INDEX('생산수량Back-Data'!$B$5:$AAA$10041,
       MATCH($B79,'생산수량Back-Data'!$B$5:$B$10041,0)+1,
       MATCH(Z$3,'생산수량Back-Data'!$B$3:$AAA$3,0))</f>
        <v>0</v>
      </c>
      <c r="AA80" s="310" cm="1">
        <f t="array" ref="AA80">INDEX('생산수량Back-Data'!$B$5:$AAA$10041,
       MATCH($B79,'생산수량Back-Data'!$B$5:$B$10041,0)+1,
       MATCH(AA$3,'생산수량Back-Data'!$B$3:$AAA$3,0))</f>
        <v>0</v>
      </c>
      <c r="AB80" s="310" cm="1">
        <f t="array" ref="AB80">INDEX('생산수량Back-Data'!$B$5:$AAA$10041,
       MATCH($B79,'생산수량Back-Data'!$B$5:$B$10041,0)+1,
       MATCH(AB$3,'생산수량Back-Data'!$B$3:$AAA$3,0))</f>
        <v>0</v>
      </c>
      <c r="AC80" s="310" cm="1">
        <f t="array" ref="AC80">INDEX('생산수량Back-Data'!$B$5:$AAA$10041,
       MATCH($B79,'생산수량Back-Data'!$B$5:$B$10041,0)+1,
       MATCH(AC$3,'생산수량Back-Data'!$B$3:$AAA$3,0))</f>
        <v>0</v>
      </c>
      <c r="AD80" s="310" cm="1">
        <f t="array" ref="AD80">INDEX('생산수량Back-Data'!$B$5:$AAA$10041,
       MATCH($B79,'생산수량Back-Data'!$B$5:$B$10041,0)+1,
       MATCH(AD$3,'생산수량Back-Data'!$B$3:$AAA$3,0))</f>
        <v>0</v>
      </c>
      <c r="AE80" s="310" cm="1">
        <f t="array" ref="AE80">INDEX('생산수량Back-Data'!$B$5:$AAA$10041,
       MATCH($B79,'생산수량Back-Data'!$B$5:$B$10041,0)+1,
       MATCH(AE$3,'생산수량Back-Data'!$B$3:$AAA$3,0))</f>
        <v>0</v>
      </c>
      <c r="AF80" s="310" cm="1">
        <f t="array" ref="AF80">INDEX('생산수량Back-Data'!$B$5:$AAA$10041,
       MATCH($B79,'생산수량Back-Data'!$B$5:$B$10041,0)+1,
       MATCH(AF$3,'생산수량Back-Data'!$B$3:$AAA$3,0))</f>
        <v>0</v>
      </c>
      <c r="AG80" s="310" cm="1">
        <f t="array" ref="AG80">INDEX('생산수량Back-Data'!$B$5:$AAA$10041,
       MATCH($B79,'생산수량Back-Data'!$B$5:$B$10041,0)+1,
       MATCH(AG$3,'생산수량Back-Data'!$B$3:$AAA$3,0))</f>
        <v>0</v>
      </c>
      <c r="AH80" s="310" cm="1">
        <f t="array" ref="AH80">INDEX('생산수량Back-Data'!$B$5:$AAA$10041,
       MATCH($B79,'생산수량Back-Data'!$B$5:$B$10041,0)+1,
       MATCH(AH$3,'생산수량Back-Data'!$B$3:$AAA$3,0))</f>
        <v>0</v>
      </c>
      <c r="AI80" s="310" cm="1">
        <f t="array" ref="AI80">INDEX('생산수량Back-Data'!$B$5:$AAA$10041,
       MATCH($B79,'생산수량Back-Data'!$B$5:$B$10041,0)+1,
       MATCH(AI$3,'생산수량Back-Data'!$B$3:$AAA$3,0))</f>
        <v>0</v>
      </c>
      <c r="AJ80" s="310" cm="1">
        <f t="array" ref="AJ80">INDEX('생산수량Back-Data'!$B$5:$AAA$10041,
       MATCH($B79,'생산수량Back-Data'!$B$5:$B$10041,0)+1,
       MATCH(AJ$3,'생산수량Back-Data'!$B$3:$AAA$3,0))</f>
        <v>0</v>
      </c>
      <c r="AK80" s="310" cm="1">
        <f t="array" ref="AK80">INDEX('생산수량Back-Data'!$B$5:$AAA$10041,
       MATCH($B79,'생산수량Back-Data'!$B$5:$B$10041,0)+1,
       MATCH(AK$3,'생산수량Back-Data'!$B$3:$AAA$3,0))</f>
        <v>0</v>
      </c>
      <c r="AL80" s="310" cm="1">
        <f t="array" ref="AL80">INDEX('생산수량Back-Data'!$B$5:$AAA$10041,
       MATCH($B79,'생산수량Back-Data'!$B$5:$B$10041,0)+1,
       MATCH(AL$3,'생산수량Back-Data'!$B$3:$AAA$3,0))</f>
        <v>0</v>
      </c>
      <c r="AM80" s="310" cm="1">
        <f t="array" ref="AM80">INDEX('생산수량Back-Data'!$B$5:$AAA$10041,
       MATCH($B79,'생산수량Back-Data'!$B$5:$B$10041,0)+1,
       MATCH(AM$3,'생산수량Back-Data'!$B$3:$AAA$3,0))</f>
        <v>0</v>
      </c>
      <c r="AN80" s="310" cm="1">
        <f t="array" ref="AN80">INDEX('생산수량Back-Data'!$B$5:$AAA$10041,
       MATCH($B79,'생산수량Back-Data'!$B$5:$B$10041,0)+1,
       MATCH(AN$3,'생산수량Back-Data'!$B$3:$AAA$3,0))</f>
        <v>0</v>
      </c>
      <c r="AO80" s="310" cm="1">
        <f t="array" ref="AO80">INDEX('생산수량Back-Data'!$B$5:$AAA$10041,
       MATCH($B79,'생산수량Back-Data'!$B$5:$B$10041,0)+1,
       MATCH(AO$3,'생산수량Back-Data'!$B$3:$AAA$3,0))</f>
        <v>0</v>
      </c>
      <c r="AP80" s="310" cm="1">
        <f t="array" ref="AP80">INDEX('생산수량Back-Data'!$B$5:$AAA$10041,
       MATCH($B79,'생산수량Back-Data'!$B$5:$B$10041,0)+1,
       MATCH(AP$3,'생산수량Back-Data'!$B$3:$AAA$3,0))</f>
        <v>0</v>
      </c>
      <c r="AQ80" s="310" cm="1">
        <f t="array" ref="AQ80">INDEX('생산수량Back-Data'!$B$5:$AAA$10041,
       MATCH($B79,'생산수량Back-Data'!$B$5:$B$10041,0)+1,
       MATCH(AQ$3,'생산수량Back-Data'!$B$3:$AAA$3,0))</f>
        <v>0</v>
      </c>
      <c r="AR80" s="310" cm="1">
        <f t="array" ref="AR80">INDEX('생산수량Back-Data'!$B$5:$AAA$10041,
       MATCH($B79,'생산수량Back-Data'!$B$5:$B$10041,0)+1,
       MATCH(AR$3,'생산수량Back-Data'!$B$3:$AAA$3,0))</f>
        <v>0</v>
      </c>
      <c r="AS80" s="310" cm="1">
        <f t="array" ref="AS80">INDEX('생산수량Back-Data'!$B$5:$AAA$10041,
       MATCH($B79,'생산수량Back-Data'!$B$5:$B$10041,0)+1,
       MATCH(AS$3,'생산수량Back-Data'!$B$3:$AAA$3,0))</f>
        <v>0</v>
      </c>
      <c r="AT80" s="324" cm="1">
        <f t="array" ref="AT80">INDEX('생산수량Back-Data'!$B$5:$AAA$10041,
       MATCH($B79,'생산수량Back-Data'!$B$5:$B$10041,0)+1,
       MATCH(AT$3,'생산수량Back-Data'!$B$3:$AAA$3,0))</f>
        <v>0</v>
      </c>
    </row>
    <row r="81" spans="2:46" ht="32.1" customHeight="1" x14ac:dyDescent="0.3">
      <c r="B81" s="444" t="s">
        <v>65</v>
      </c>
      <c r="C81" s="444" t="s">
        <v>185</v>
      </c>
      <c r="D81" s="444" t="s">
        <v>205</v>
      </c>
      <c r="E81" s="438">
        <f>ABS(SUMIFS('Fixture 총 발주수량'!Z:Z,'Fixture 총 발주수량'!B:B,'후공정(샌딩)생산계획'!B81,'Fixture 총 발주수량'!Z:Z,"&lt;0"))</f>
        <v>1085</v>
      </c>
      <c r="F81" s="431">
        <f>G81-E81</f>
        <v>-1085</v>
      </c>
      <c r="G81" s="437">
        <f>SUMIF(P81:AT81, "&gt;0")</f>
        <v>0</v>
      </c>
      <c r="H81" s="437">
        <f>SUMIF(P82:AT82, "&gt;0")</f>
        <v>439</v>
      </c>
      <c r="I81" s="442">
        <f>IFERROR(H81/G81,)</f>
        <v>0</v>
      </c>
      <c r="J81" s="437">
        <f ca="1">IFERROR(SUMIF('Fixture 총 발주수량'!B:AG,'후공정(샌딩)생산계획'!B81,'Fixture 총 발주수량'!AC:AC),)</f>
        <v>0</v>
      </c>
      <c r="K81" s="458">
        <f>ROUNDUP(E81/2000,)</f>
        <v>1</v>
      </c>
      <c r="L81" s="458">
        <f>L79+K81</f>
        <v>69</v>
      </c>
      <c r="M81" s="458">
        <f>L81+K81</f>
        <v>70</v>
      </c>
      <c r="N81" s="438">
        <f>N79+K81</f>
        <v>69</v>
      </c>
      <c r="O81" s="306" t="s">
        <v>264</v>
      </c>
      <c r="P81" s="311"/>
      <c r="Q81" s="312"/>
      <c r="R81" s="312"/>
      <c r="S81" s="312"/>
      <c r="T81" s="312"/>
      <c r="U81" s="312"/>
      <c r="V81" s="312"/>
      <c r="W81" s="312"/>
      <c r="X81" s="312"/>
      <c r="Y81" s="312"/>
      <c r="Z81" s="312"/>
      <c r="AA81" s="312"/>
      <c r="AB81" s="312"/>
      <c r="AC81" s="312"/>
      <c r="AD81" s="312"/>
      <c r="AE81" s="312"/>
      <c r="AF81" s="312"/>
      <c r="AG81" s="312"/>
      <c r="AH81" s="312"/>
      <c r="AI81" s="312"/>
      <c r="AJ81" s="312"/>
      <c r="AK81" s="312"/>
      <c r="AL81" s="312"/>
      <c r="AM81" s="312"/>
      <c r="AN81" s="312"/>
      <c r="AO81" s="312"/>
      <c r="AP81" s="312"/>
      <c r="AQ81" s="312"/>
      <c r="AR81" s="312"/>
      <c r="AS81" s="312"/>
      <c r="AT81" s="313"/>
    </row>
    <row r="82" spans="2:46" ht="32.1" customHeight="1" x14ac:dyDescent="0.3">
      <c r="B82" s="445"/>
      <c r="C82" s="445"/>
      <c r="D82" s="445"/>
      <c r="E82" s="439"/>
      <c r="F82" s="459"/>
      <c r="G82" s="436"/>
      <c r="H82" s="436"/>
      <c r="I82" s="443"/>
      <c r="J82" s="436"/>
      <c r="K82" s="458"/>
      <c r="L82" s="458"/>
      <c r="M82" s="458"/>
      <c r="N82" s="439"/>
      <c r="O82" s="306" t="s">
        <v>266</v>
      </c>
      <c r="P82" s="310" cm="1">
        <f t="array" ref="P82">INDEX('생산수량Back-Data'!$B$5:$AAA$10041,
       MATCH($B81,'생산수량Back-Data'!$B$5:$B$10041,0)+1,
       MATCH(P$3,'생산수량Back-Data'!$B$3:$AAA$3,0))</f>
        <v>0</v>
      </c>
      <c r="Q82" s="310" cm="1">
        <f t="array" ref="Q82">INDEX('생산수량Back-Data'!$B$5:$AAA$10041,
       MATCH($B81,'생산수량Back-Data'!$B$5:$B$10041,0)+1,
       MATCH(Q$3,'생산수량Back-Data'!$B$3:$AAA$3,0))</f>
        <v>0</v>
      </c>
      <c r="R82" s="310" cm="1">
        <f t="array" ref="R82">INDEX('생산수량Back-Data'!$B$5:$AAA$10041,
       MATCH($B81,'생산수량Back-Data'!$B$5:$B$10041,0)+1,
       MATCH(R$3,'생산수량Back-Data'!$B$3:$AAA$3,0))</f>
        <v>0</v>
      </c>
      <c r="S82" s="310" cm="1">
        <f t="array" ref="S82">INDEX('생산수량Back-Data'!$B$5:$AAA$10041,
       MATCH($B81,'생산수량Back-Data'!$B$5:$B$10041,0)+1,
       MATCH(S$3,'생산수량Back-Data'!$B$3:$AAA$3,0))</f>
        <v>439</v>
      </c>
      <c r="T82" s="310" cm="1">
        <f t="array" ref="T82">INDEX('생산수량Back-Data'!$B$5:$AAA$10041,
       MATCH($B81,'생산수량Back-Data'!$B$5:$B$10041,0)+1,
       MATCH(T$3,'생산수량Back-Data'!$B$3:$AAA$3,0))</f>
        <v>0</v>
      </c>
      <c r="U82" s="310" cm="1">
        <f t="array" ref="U82">INDEX('생산수량Back-Data'!$B$5:$AAA$10041,
       MATCH($B81,'생산수량Back-Data'!$B$5:$B$10041,0)+1,
       MATCH(U$3,'생산수량Back-Data'!$B$3:$AAA$3,0))</f>
        <v>0</v>
      </c>
      <c r="V82" s="310" cm="1">
        <f t="array" ref="V82">INDEX('생산수량Back-Data'!$B$5:$AAA$10041,
       MATCH($B81,'생산수량Back-Data'!$B$5:$B$10041,0)+1,
       MATCH(V$3,'생산수량Back-Data'!$B$3:$AAA$3,0))</f>
        <v>0</v>
      </c>
      <c r="W82" s="310" cm="1">
        <f t="array" ref="W82">INDEX('생산수량Back-Data'!$B$5:$AAA$10041,
       MATCH($B81,'생산수량Back-Data'!$B$5:$B$10041,0)+1,
       MATCH(W$3,'생산수량Back-Data'!$B$3:$AAA$3,0))</f>
        <v>0</v>
      </c>
      <c r="X82" s="310" cm="1">
        <f t="array" ref="X82">INDEX('생산수량Back-Data'!$B$5:$AAA$10041,
       MATCH($B81,'생산수량Back-Data'!$B$5:$B$10041,0)+1,
       MATCH(X$3,'생산수량Back-Data'!$B$3:$AAA$3,0))</f>
        <v>0</v>
      </c>
      <c r="Y82" s="310" cm="1">
        <f t="array" ref="Y82">INDEX('생산수량Back-Data'!$B$5:$AAA$10041,
       MATCH($B81,'생산수량Back-Data'!$B$5:$B$10041,0)+1,
       MATCH(Y$3,'생산수량Back-Data'!$B$3:$AAA$3,0))</f>
        <v>0</v>
      </c>
      <c r="Z82" s="310" cm="1">
        <f t="array" ref="Z82">INDEX('생산수량Back-Data'!$B$5:$AAA$10041,
       MATCH($B81,'생산수량Back-Data'!$B$5:$B$10041,0)+1,
       MATCH(Z$3,'생산수량Back-Data'!$B$3:$AAA$3,0))</f>
        <v>0</v>
      </c>
      <c r="AA82" s="310" cm="1">
        <f t="array" ref="AA82">INDEX('생산수량Back-Data'!$B$5:$AAA$10041,
       MATCH($B81,'생산수량Back-Data'!$B$5:$B$10041,0)+1,
       MATCH(AA$3,'생산수량Back-Data'!$B$3:$AAA$3,0))</f>
        <v>0</v>
      </c>
      <c r="AB82" s="310" cm="1">
        <f t="array" ref="AB82">INDEX('생산수량Back-Data'!$B$5:$AAA$10041,
       MATCH($B81,'생산수량Back-Data'!$B$5:$B$10041,0)+1,
       MATCH(AB$3,'생산수량Back-Data'!$B$3:$AAA$3,0))</f>
        <v>0</v>
      </c>
      <c r="AC82" s="310" cm="1">
        <f t="array" ref="AC82">INDEX('생산수량Back-Data'!$B$5:$AAA$10041,
       MATCH($B81,'생산수량Back-Data'!$B$5:$B$10041,0)+1,
       MATCH(AC$3,'생산수량Back-Data'!$B$3:$AAA$3,0))</f>
        <v>0</v>
      </c>
      <c r="AD82" s="310" cm="1">
        <f t="array" ref="AD82">INDEX('생산수량Back-Data'!$B$5:$AAA$10041,
       MATCH($B81,'생산수량Back-Data'!$B$5:$B$10041,0)+1,
       MATCH(AD$3,'생산수량Back-Data'!$B$3:$AAA$3,0))</f>
        <v>0</v>
      </c>
      <c r="AE82" s="310" cm="1">
        <f t="array" ref="AE82">INDEX('생산수량Back-Data'!$B$5:$AAA$10041,
       MATCH($B81,'생산수량Back-Data'!$B$5:$B$10041,0)+1,
       MATCH(AE$3,'생산수량Back-Data'!$B$3:$AAA$3,0))</f>
        <v>0</v>
      </c>
      <c r="AF82" s="310" cm="1">
        <f t="array" ref="AF82">INDEX('생산수량Back-Data'!$B$5:$AAA$10041,
       MATCH($B81,'생산수량Back-Data'!$B$5:$B$10041,0)+1,
       MATCH(AF$3,'생산수량Back-Data'!$B$3:$AAA$3,0))</f>
        <v>0</v>
      </c>
      <c r="AG82" s="310" cm="1">
        <f t="array" ref="AG82">INDEX('생산수량Back-Data'!$B$5:$AAA$10041,
       MATCH($B81,'생산수량Back-Data'!$B$5:$B$10041,0)+1,
       MATCH(AG$3,'생산수량Back-Data'!$B$3:$AAA$3,0))</f>
        <v>0</v>
      </c>
      <c r="AH82" s="310" cm="1">
        <f t="array" ref="AH82">INDEX('생산수량Back-Data'!$B$5:$AAA$10041,
       MATCH($B81,'생산수량Back-Data'!$B$5:$B$10041,0)+1,
       MATCH(AH$3,'생산수량Back-Data'!$B$3:$AAA$3,0))</f>
        <v>0</v>
      </c>
      <c r="AI82" s="310" cm="1">
        <f t="array" ref="AI82">INDEX('생산수량Back-Data'!$B$5:$AAA$10041,
       MATCH($B81,'생산수량Back-Data'!$B$5:$B$10041,0)+1,
       MATCH(AI$3,'생산수량Back-Data'!$B$3:$AAA$3,0))</f>
        <v>0</v>
      </c>
      <c r="AJ82" s="310" cm="1">
        <f t="array" ref="AJ82">INDEX('생산수량Back-Data'!$B$5:$AAA$10041,
       MATCH($B81,'생산수량Back-Data'!$B$5:$B$10041,0)+1,
       MATCH(AJ$3,'생산수량Back-Data'!$B$3:$AAA$3,0))</f>
        <v>0</v>
      </c>
      <c r="AK82" s="310" cm="1">
        <f t="array" ref="AK82">INDEX('생산수량Back-Data'!$B$5:$AAA$10041,
       MATCH($B81,'생산수량Back-Data'!$B$5:$B$10041,0)+1,
       MATCH(AK$3,'생산수량Back-Data'!$B$3:$AAA$3,0))</f>
        <v>0</v>
      </c>
      <c r="AL82" s="310" cm="1">
        <f t="array" ref="AL82">INDEX('생산수량Back-Data'!$B$5:$AAA$10041,
       MATCH($B81,'생산수량Back-Data'!$B$5:$B$10041,0)+1,
       MATCH(AL$3,'생산수량Back-Data'!$B$3:$AAA$3,0))</f>
        <v>0</v>
      </c>
      <c r="AM82" s="310" cm="1">
        <f t="array" ref="AM82">INDEX('생산수량Back-Data'!$B$5:$AAA$10041,
       MATCH($B81,'생산수량Back-Data'!$B$5:$B$10041,0)+1,
       MATCH(AM$3,'생산수량Back-Data'!$B$3:$AAA$3,0))</f>
        <v>0</v>
      </c>
      <c r="AN82" s="310" cm="1">
        <f t="array" ref="AN82">INDEX('생산수량Back-Data'!$B$5:$AAA$10041,
       MATCH($B81,'생산수량Back-Data'!$B$5:$B$10041,0)+1,
       MATCH(AN$3,'생산수량Back-Data'!$B$3:$AAA$3,0))</f>
        <v>0</v>
      </c>
      <c r="AO82" s="310" cm="1">
        <f t="array" ref="AO82">INDEX('생산수량Back-Data'!$B$5:$AAA$10041,
       MATCH($B81,'생산수량Back-Data'!$B$5:$B$10041,0)+1,
       MATCH(AO$3,'생산수량Back-Data'!$B$3:$AAA$3,0))</f>
        <v>0</v>
      </c>
      <c r="AP82" s="310" cm="1">
        <f t="array" ref="AP82">INDEX('생산수량Back-Data'!$B$5:$AAA$10041,
       MATCH($B81,'생산수량Back-Data'!$B$5:$B$10041,0)+1,
       MATCH(AP$3,'생산수량Back-Data'!$B$3:$AAA$3,0))</f>
        <v>0</v>
      </c>
      <c r="AQ82" s="310" cm="1">
        <f t="array" ref="AQ82">INDEX('생산수량Back-Data'!$B$5:$AAA$10041,
       MATCH($B81,'생산수량Back-Data'!$B$5:$B$10041,0)+1,
       MATCH(AQ$3,'생산수량Back-Data'!$B$3:$AAA$3,0))</f>
        <v>0</v>
      </c>
      <c r="AR82" s="310" cm="1">
        <f t="array" ref="AR82">INDEX('생산수량Back-Data'!$B$5:$AAA$10041,
       MATCH($B81,'생산수량Back-Data'!$B$5:$B$10041,0)+1,
       MATCH(AR$3,'생산수량Back-Data'!$B$3:$AAA$3,0))</f>
        <v>0</v>
      </c>
      <c r="AS82" s="310" cm="1">
        <f t="array" ref="AS82">INDEX('생산수량Back-Data'!$B$5:$AAA$10041,
       MATCH($B81,'생산수량Back-Data'!$B$5:$B$10041,0)+1,
       MATCH(AS$3,'생산수량Back-Data'!$B$3:$AAA$3,0))</f>
        <v>0</v>
      </c>
      <c r="AT82" s="324" cm="1">
        <f t="array" ref="AT82">INDEX('생산수량Back-Data'!$B$5:$AAA$10041,
       MATCH($B81,'생산수량Back-Data'!$B$5:$B$10041,0)+1,
       MATCH(AT$3,'생산수량Back-Data'!$B$3:$AAA$3,0))</f>
        <v>0</v>
      </c>
    </row>
    <row r="83" spans="2:46" ht="32.1" customHeight="1" x14ac:dyDescent="0.3">
      <c r="B83" s="444" t="s">
        <v>66</v>
      </c>
      <c r="C83" s="444" t="s">
        <v>185</v>
      </c>
      <c r="D83" s="444" t="s">
        <v>206</v>
      </c>
      <c r="E83" s="438">
        <f>ABS(SUMIFS('Fixture 총 발주수량'!Z:Z,'Fixture 총 발주수량'!B:B,'후공정(샌딩)생산계획'!B83,'Fixture 총 발주수량'!Z:Z,"&lt;0"))</f>
        <v>393</v>
      </c>
      <c r="F83" s="431">
        <f>G83-E83</f>
        <v>-393</v>
      </c>
      <c r="G83" s="437">
        <f>SUMIF(P83:AT83, "&gt;0")</f>
        <v>0</v>
      </c>
      <c r="H83" s="437">
        <f>SUMIF(P84:AT84, "&gt;0")</f>
        <v>0</v>
      </c>
      <c r="I83" s="442">
        <f>IFERROR(H83/G83,)</f>
        <v>0</v>
      </c>
      <c r="J83" s="437">
        <f ca="1">IFERROR(SUMIF('Fixture 총 발주수량'!B:AG,'후공정(샌딩)생산계획'!B83,'Fixture 총 발주수량'!AC:AC),)</f>
        <v>0</v>
      </c>
      <c r="K83" s="458">
        <f>ROUNDUP(E83/2000,)</f>
        <v>1</v>
      </c>
      <c r="L83" s="458">
        <f>L81+K83</f>
        <v>70</v>
      </c>
      <c r="M83" s="458">
        <f>L83+K83</f>
        <v>71</v>
      </c>
      <c r="N83" s="438">
        <f>N81+K83</f>
        <v>70</v>
      </c>
      <c r="O83" s="306" t="s">
        <v>264</v>
      </c>
      <c r="P83" s="311"/>
      <c r="Q83" s="312"/>
      <c r="R83" s="312"/>
      <c r="S83" s="312"/>
      <c r="T83" s="312"/>
      <c r="U83" s="312"/>
      <c r="V83" s="312"/>
      <c r="W83" s="312"/>
      <c r="X83" s="312"/>
      <c r="Y83" s="312"/>
      <c r="Z83" s="312"/>
      <c r="AA83" s="312"/>
      <c r="AB83" s="312"/>
      <c r="AC83" s="312"/>
      <c r="AD83" s="312"/>
      <c r="AE83" s="312"/>
      <c r="AF83" s="312"/>
      <c r="AG83" s="312"/>
      <c r="AH83" s="312"/>
      <c r="AI83" s="312"/>
      <c r="AJ83" s="312"/>
      <c r="AK83" s="312"/>
      <c r="AL83" s="312"/>
      <c r="AM83" s="312"/>
      <c r="AN83" s="312"/>
      <c r="AO83" s="312"/>
      <c r="AP83" s="312"/>
      <c r="AQ83" s="312"/>
      <c r="AR83" s="312"/>
      <c r="AS83" s="312"/>
      <c r="AT83" s="313"/>
    </row>
    <row r="84" spans="2:46" ht="32.1" customHeight="1" x14ac:dyDescent="0.3">
      <c r="B84" s="445"/>
      <c r="C84" s="445"/>
      <c r="D84" s="445"/>
      <c r="E84" s="439"/>
      <c r="F84" s="459"/>
      <c r="G84" s="436"/>
      <c r="H84" s="436"/>
      <c r="I84" s="443"/>
      <c r="J84" s="436"/>
      <c r="K84" s="458"/>
      <c r="L84" s="458"/>
      <c r="M84" s="458"/>
      <c r="N84" s="439"/>
      <c r="O84" s="306" t="s">
        <v>266</v>
      </c>
      <c r="P84" s="310" cm="1">
        <f t="array" ref="P84">INDEX('생산수량Back-Data'!$B$5:$AAA$10041,
       MATCH($B83,'생산수량Back-Data'!$B$5:$B$10041,0)+1,
       MATCH(P$3,'생산수량Back-Data'!$B$3:$AAA$3,0))</f>
        <v>0</v>
      </c>
      <c r="Q84" s="310" cm="1">
        <f t="array" ref="Q84">INDEX('생산수량Back-Data'!$B$5:$AAA$10041,
       MATCH($B83,'생산수량Back-Data'!$B$5:$B$10041,0)+1,
       MATCH(Q$3,'생산수량Back-Data'!$B$3:$AAA$3,0))</f>
        <v>0</v>
      </c>
      <c r="R84" s="310" cm="1">
        <f t="array" ref="R84">INDEX('생산수량Back-Data'!$B$5:$AAA$10041,
       MATCH($B83,'생산수량Back-Data'!$B$5:$B$10041,0)+1,
       MATCH(R$3,'생산수량Back-Data'!$B$3:$AAA$3,0))</f>
        <v>0</v>
      </c>
      <c r="S84" s="310" cm="1">
        <f t="array" ref="S84">INDEX('생산수량Back-Data'!$B$5:$AAA$10041,
       MATCH($B83,'생산수량Back-Data'!$B$5:$B$10041,0)+1,
       MATCH(S$3,'생산수량Back-Data'!$B$3:$AAA$3,0))</f>
        <v>0</v>
      </c>
      <c r="T84" s="310" cm="1">
        <f t="array" ref="T84">INDEX('생산수량Back-Data'!$B$5:$AAA$10041,
       MATCH($B83,'생산수량Back-Data'!$B$5:$B$10041,0)+1,
       MATCH(T$3,'생산수량Back-Data'!$B$3:$AAA$3,0))</f>
        <v>0</v>
      </c>
      <c r="U84" s="310" cm="1">
        <f t="array" ref="U84">INDEX('생산수량Back-Data'!$B$5:$AAA$10041,
       MATCH($B83,'생산수량Back-Data'!$B$5:$B$10041,0)+1,
       MATCH(U$3,'생산수량Back-Data'!$B$3:$AAA$3,0))</f>
        <v>0</v>
      </c>
      <c r="V84" s="310" cm="1">
        <f t="array" ref="V84">INDEX('생산수량Back-Data'!$B$5:$AAA$10041,
       MATCH($B83,'생산수량Back-Data'!$B$5:$B$10041,0)+1,
       MATCH(V$3,'생산수량Back-Data'!$B$3:$AAA$3,0))</f>
        <v>0</v>
      </c>
      <c r="W84" s="310" cm="1">
        <f t="array" ref="W84">INDEX('생산수량Back-Data'!$B$5:$AAA$10041,
       MATCH($B83,'생산수량Back-Data'!$B$5:$B$10041,0)+1,
       MATCH(W$3,'생산수량Back-Data'!$B$3:$AAA$3,0))</f>
        <v>0</v>
      </c>
      <c r="X84" s="310" cm="1">
        <f t="array" ref="X84">INDEX('생산수량Back-Data'!$B$5:$AAA$10041,
       MATCH($B83,'생산수량Back-Data'!$B$5:$B$10041,0)+1,
       MATCH(X$3,'생산수량Back-Data'!$B$3:$AAA$3,0))</f>
        <v>0</v>
      </c>
      <c r="Y84" s="310" cm="1">
        <f t="array" ref="Y84">INDEX('생산수량Back-Data'!$B$5:$AAA$10041,
       MATCH($B83,'생산수량Back-Data'!$B$5:$B$10041,0)+1,
       MATCH(Y$3,'생산수량Back-Data'!$B$3:$AAA$3,0))</f>
        <v>0</v>
      </c>
      <c r="Z84" s="310" cm="1">
        <f t="array" ref="Z84">INDEX('생산수량Back-Data'!$B$5:$AAA$10041,
       MATCH($B83,'생산수량Back-Data'!$B$5:$B$10041,0)+1,
       MATCH(Z$3,'생산수량Back-Data'!$B$3:$AAA$3,0))</f>
        <v>0</v>
      </c>
      <c r="AA84" s="310" cm="1">
        <f t="array" ref="AA84">INDEX('생산수량Back-Data'!$B$5:$AAA$10041,
       MATCH($B83,'생산수량Back-Data'!$B$5:$B$10041,0)+1,
       MATCH(AA$3,'생산수량Back-Data'!$B$3:$AAA$3,0))</f>
        <v>0</v>
      </c>
      <c r="AB84" s="310" cm="1">
        <f t="array" ref="AB84">INDEX('생산수량Back-Data'!$B$5:$AAA$10041,
       MATCH($B83,'생산수량Back-Data'!$B$5:$B$10041,0)+1,
       MATCH(AB$3,'생산수량Back-Data'!$B$3:$AAA$3,0))</f>
        <v>0</v>
      </c>
      <c r="AC84" s="310" cm="1">
        <f t="array" ref="AC84">INDEX('생산수량Back-Data'!$B$5:$AAA$10041,
       MATCH($B83,'생산수량Back-Data'!$B$5:$B$10041,0)+1,
       MATCH(AC$3,'생산수량Back-Data'!$B$3:$AAA$3,0))</f>
        <v>0</v>
      </c>
      <c r="AD84" s="310" cm="1">
        <f t="array" ref="AD84">INDEX('생산수량Back-Data'!$B$5:$AAA$10041,
       MATCH($B83,'생산수량Back-Data'!$B$5:$B$10041,0)+1,
       MATCH(AD$3,'생산수량Back-Data'!$B$3:$AAA$3,0))</f>
        <v>0</v>
      </c>
      <c r="AE84" s="310" cm="1">
        <f t="array" ref="AE84">INDEX('생산수량Back-Data'!$B$5:$AAA$10041,
       MATCH($B83,'생산수량Back-Data'!$B$5:$B$10041,0)+1,
       MATCH(AE$3,'생산수량Back-Data'!$B$3:$AAA$3,0))</f>
        <v>0</v>
      </c>
      <c r="AF84" s="310" cm="1">
        <f t="array" ref="AF84">INDEX('생산수량Back-Data'!$B$5:$AAA$10041,
       MATCH($B83,'생산수량Back-Data'!$B$5:$B$10041,0)+1,
       MATCH(AF$3,'생산수량Back-Data'!$B$3:$AAA$3,0))</f>
        <v>0</v>
      </c>
      <c r="AG84" s="310" cm="1">
        <f t="array" ref="AG84">INDEX('생산수량Back-Data'!$B$5:$AAA$10041,
       MATCH($B83,'생산수량Back-Data'!$B$5:$B$10041,0)+1,
       MATCH(AG$3,'생산수량Back-Data'!$B$3:$AAA$3,0))</f>
        <v>0</v>
      </c>
      <c r="AH84" s="310" cm="1">
        <f t="array" ref="AH84">INDEX('생산수량Back-Data'!$B$5:$AAA$10041,
       MATCH($B83,'생산수량Back-Data'!$B$5:$B$10041,0)+1,
       MATCH(AH$3,'생산수량Back-Data'!$B$3:$AAA$3,0))</f>
        <v>0</v>
      </c>
      <c r="AI84" s="310" cm="1">
        <f t="array" ref="AI84">INDEX('생산수량Back-Data'!$B$5:$AAA$10041,
       MATCH($B83,'생산수량Back-Data'!$B$5:$B$10041,0)+1,
       MATCH(AI$3,'생산수량Back-Data'!$B$3:$AAA$3,0))</f>
        <v>0</v>
      </c>
      <c r="AJ84" s="310" cm="1">
        <f t="array" ref="AJ84">INDEX('생산수량Back-Data'!$B$5:$AAA$10041,
       MATCH($B83,'생산수량Back-Data'!$B$5:$B$10041,0)+1,
       MATCH(AJ$3,'생산수량Back-Data'!$B$3:$AAA$3,0))</f>
        <v>0</v>
      </c>
      <c r="AK84" s="310" cm="1">
        <f t="array" ref="AK84">INDEX('생산수량Back-Data'!$B$5:$AAA$10041,
       MATCH($B83,'생산수량Back-Data'!$B$5:$B$10041,0)+1,
       MATCH(AK$3,'생산수량Back-Data'!$B$3:$AAA$3,0))</f>
        <v>0</v>
      </c>
      <c r="AL84" s="310" cm="1">
        <f t="array" ref="AL84">INDEX('생산수량Back-Data'!$B$5:$AAA$10041,
       MATCH($B83,'생산수량Back-Data'!$B$5:$B$10041,0)+1,
       MATCH(AL$3,'생산수량Back-Data'!$B$3:$AAA$3,0))</f>
        <v>0</v>
      </c>
      <c r="AM84" s="310" cm="1">
        <f t="array" ref="AM84">INDEX('생산수량Back-Data'!$B$5:$AAA$10041,
       MATCH($B83,'생산수량Back-Data'!$B$5:$B$10041,0)+1,
       MATCH(AM$3,'생산수량Back-Data'!$B$3:$AAA$3,0))</f>
        <v>0</v>
      </c>
      <c r="AN84" s="310" cm="1">
        <f t="array" ref="AN84">INDEX('생산수량Back-Data'!$B$5:$AAA$10041,
       MATCH($B83,'생산수량Back-Data'!$B$5:$B$10041,0)+1,
       MATCH(AN$3,'생산수량Back-Data'!$B$3:$AAA$3,0))</f>
        <v>0</v>
      </c>
      <c r="AO84" s="310" cm="1">
        <f t="array" ref="AO84">INDEX('생산수량Back-Data'!$B$5:$AAA$10041,
       MATCH($B83,'생산수량Back-Data'!$B$5:$B$10041,0)+1,
       MATCH(AO$3,'생산수량Back-Data'!$B$3:$AAA$3,0))</f>
        <v>0</v>
      </c>
      <c r="AP84" s="310" cm="1">
        <f t="array" ref="AP84">INDEX('생산수량Back-Data'!$B$5:$AAA$10041,
       MATCH($B83,'생산수량Back-Data'!$B$5:$B$10041,0)+1,
       MATCH(AP$3,'생산수량Back-Data'!$B$3:$AAA$3,0))</f>
        <v>0</v>
      </c>
      <c r="AQ84" s="310" cm="1">
        <f t="array" ref="AQ84">INDEX('생산수량Back-Data'!$B$5:$AAA$10041,
       MATCH($B83,'생산수량Back-Data'!$B$5:$B$10041,0)+1,
       MATCH(AQ$3,'생산수량Back-Data'!$B$3:$AAA$3,0))</f>
        <v>0</v>
      </c>
      <c r="AR84" s="310" cm="1">
        <f t="array" ref="AR84">INDEX('생산수량Back-Data'!$B$5:$AAA$10041,
       MATCH($B83,'생산수량Back-Data'!$B$5:$B$10041,0)+1,
       MATCH(AR$3,'생산수량Back-Data'!$B$3:$AAA$3,0))</f>
        <v>0</v>
      </c>
      <c r="AS84" s="310" cm="1">
        <f t="array" ref="AS84">INDEX('생산수량Back-Data'!$B$5:$AAA$10041,
       MATCH($B83,'생산수량Back-Data'!$B$5:$B$10041,0)+1,
       MATCH(AS$3,'생산수량Back-Data'!$B$3:$AAA$3,0))</f>
        <v>0</v>
      </c>
      <c r="AT84" s="324" cm="1">
        <f t="array" ref="AT84">INDEX('생산수량Back-Data'!$B$5:$AAA$10041,
       MATCH($B83,'생산수량Back-Data'!$B$5:$B$10041,0)+1,
       MATCH(AT$3,'생산수량Back-Data'!$B$3:$AAA$3,0))</f>
        <v>0</v>
      </c>
    </row>
    <row r="85" spans="2:46" ht="32.1" customHeight="1" x14ac:dyDescent="0.3">
      <c r="B85" s="444" t="s">
        <v>67</v>
      </c>
      <c r="C85" s="444" t="s">
        <v>185</v>
      </c>
      <c r="D85" s="444" t="s">
        <v>207</v>
      </c>
      <c r="E85" s="438">
        <f>ABS(SUMIFS('Fixture 총 발주수량'!Z:Z,'Fixture 총 발주수량'!B:B,'후공정(샌딩)생산계획'!B85,'Fixture 총 발주수량'!Z:Z,"&lt;0"))</f>
        <v>62</v>
      </c>
      <c r="F85" s="431">
        <f>G85-E85</f>
        <v>-62</v>
      </c>
      <c r="G85" s="437">
        <f>SUMIF(P85:AT85, "&gt;0")</f>
        <v>0</v>
      </c>
      <c r="H85" s="437">
        <f>SUMIF(P86:AT86, "&gt;0")</f>
        <v>0</v>
      </c>
      <c r="I85" s="442">
        <f>IFERROR(H85/G85,)</f>
        <v>0</v>
      </c>
      <c r="J85" s="437">
        <f ca="1">IFERROR(SUMIF('Fixture 총 발주수량'!B:AG,'후공정(샌딩)생산계획'!B85,'Fixture 총 발주수량'!AC:AC),)</f>
        <v>0</v>
      </c>
      <c r="K85" s="458">
        <f>ROUNDUP(E85/2000,)</f>
        <v>1</v>
      </c>
      <c r="L85" s="458">
        <f>L83+K85</f>
        <v>71</v>
      </c>
      <c r="M85" s="458">
        <f>L85+K85</f>
        <v>72</v>
      </c>
      <c r="N85" s="438">
        <f>N83+K85</f>
        <v>71</v>
      </c>
      <c r="O85" s="306" t="s">
        <v>264</v>
      </c>
      <c r="P85" s="311"/>
      <c r="Q85" s="312"/>
      <c r="R85" s="312"/>
      <c r="S85" s="312"/>
      <c r="T85" s="312"/>
      <c r="U85" s="312"/>
      <c r="V85" s="312"/>
      <c r="W85" s="312"/>
      <c r="X85" s="312"/>
      <c r="Y85" s="312"/>
      <c r="Z85" s="312"/>
      <c r="AA85" s="312"/>
      <c r="AB85" s="312"/>
      <c r="AC85" s="312"/>
      <c r="AD85" s="312"/>
      <c r="AE85" s="312"/>
      <c r="AF85" s="312"/>
      <c r="AG85" s="312"/>
      <c r="AH85" s="312"/>
      <c r="AI85" s="312"/>
      <c r="AJ85" s="312"/>
      <c r="AK85" s="312"/>
      <c r="AL85" s="312"/>
      <c r="AM85" s="312"/>
      <c r="AN85" s="312"/>
      <c r="AO85" s="312"/>
      <c r="AP85" s="312"/>
      <c r="AQ85" s="312"/>
      <c r="AR85" s="312"/>
      <c r="AS85" s="312"/>
      <c r="AT85" s="313"/>
    </row>
    <row r="86" spans="2:46" ht="32.1" customHeight="1" x14ac:dyDescent="0.3">
      <c r="B86" s="445"/>
      <c r="C86" s="445"/>
      <c r="D86" s="445"/>
      <c r="E86" s="439"/>
      <c r="F86" s="459"/>
      <c r="G86" s="436"/>
      <c r="H86" s="436"/>
      <c r="I86" s="443"/>
      <c r="J86" s="436"/>
      <c r="K86" s="458"/>
      <c r="L86" s="458"/>
      <c r="M86" s="458"/>
      <c r="N86" s="439"/>
      <c r="O86" s="306" t="s">
        <v>266</v>
      </c>
      <c r="P86" s="328" cm="1">
        <f t="array" ref="P86">INDEX('생산수량Back-Data'!$B$5:$AAA$10041,
       MATCH($B85,'생산수량Back-Data'!$B$5:$B$10041,0)+1,
       MATCH(P$3,'생산수량Back-Data'!$B$3:$AAA$3,0))</f>
        <v>0</v>
      </c>
      <c r="Q86" s="328" cm="1">
        <f t="array" ref="Q86">INDEX('생산수량Back-Data'!$B$5:$AAA$10041,
       MATCH($B85,'생산수량Back-Data'!$B$5:$B$10041,0)+1,
       MATCH(Q$3,'생산수량Back-Data'!$B$3:$AAA$3,0))</f>
        <v>0</v>
      </c>
      <c r="R86" s="328" cm="1">
        <f t="array" ref="R86">INDEX('생산수량Back-Data'!$B$5:$AAA$10041,
       MATCH($B85,'생산수량Back-Data'!$B$5:$B$10041,0)+1,
       MATCH(R$3,'생산수량Back-Data'!$B$3:$AAA$3,0))</f>
        <v>0</v>
      </c>
      <c r="S86" s="328" cm="1">
        <f t="array" ref="S86">INDEX('생산수량Back-Data'!$B$5:$AAA$10041,
       MATCH($B85,'생산수량Back-Data'!$B$5:$B$10041,0)+1,
       MATCH(S$3,'생산수량Back-Data'!$B$3:$AAA$3,0))</f>
        <v>0</v>
      </c>
      <c r="T86" s="328" cm="1">
        <f t="array" ref="T86">INDEX('생산수량Back-Data'!$B$5:$AAA$10041,
       MATCH($B85,'생산수량Back-Data'!$B$5:$B$10041,0)+1,
       MATCH(T$3,'생산수량Back-Data'!$B$3:$AAA$3,0))</f>
        <v>0</v>
      </c>
      <c r="U86" s="328" cm="1">
        <f t="array" ref="U86">INDEX('생산수량Back-Data'!$B$5:$AAA$10041,
       MATCH($B85,'생산수량Back-Data'!$B$5:$B$10041,0)+1,
       MATCH(U$3,'생산수량Back-Data'!$B$3:$AAA$3,0))</f>
        <v>0</v>
      </c>
      <c r="V86" s="328" cm="1">
        <f t="array" ref="V86">INDEX('생산수량Back-Data'!$B$5:$AAA$10041,
       MATCH($B85,'생산수량Back-Data'!$B$5:$B$10041,0)+1,
       MATCH(V$3,'생산수량Back-Data'!$B$3:$AAA$3,0))</f>
        <v>0</v>
      </c>
      <c r="W86" s="328" cm="1">
        <f t="array" ref="W86">INDEX('생산수량Back-Data'!$B$5:$AAA$10041,
       MATCH($B85,'생산수량Back-Data'!$B$5:$B$10041,0)+1,
       MATCH(W$3,'생산수량Back-Data'!$B$3:$AAA$3,0))</f>
        <v>0</v>
      </c>
      <c r="X86" s="328" cm="1">
        <f t="array" ref="X86">INDEX('생산수량Back-Data'!$B$5:$AAA$10041,
       MATCH($B85,'생산수량Back-Data'!$B$5:$B$10041,0)+1,
       MATCH(X$3,'생산수량Back-Data'!$B$3:$AAA$3,0))</f>
        <v>0</v>
      </c>
      <c r="Y86" s="328" cm="1">
        <f t="array" ref="Y86">INDEX('생산수량Back-Data'!$B$5:$AAA$10041,
       MATCH($B85,'생산수량Back-Data'!$B$5:$B$10041,0)+1,
       MATCH(Y$3,'생산수량Back-Data'!$B$3:$AAA$3,0))</f>
        <v>0</v>
      </c>
      <c r="Z86" s="328" cm="1">
        <f t="array" ref="Z86">INDEX('생산수량Back-Data'!$B$5:$AAA$10041,
       MATCH($B85,'생산수량Back-Data'!$B$5:$B$10041,0)+1,
       MATCH(Z$3,'생산수량Back-Data'!$B$3:$AAA$3,0))</f>
        <v>0</v>
      </c>
      <c r="AA86" s="328" cm="1">
        <f t="array" ref="AA86">INDEX('생산수량Back-Data'!$B$5:$AAA$10041,
       MATCH($B85,'생산수량Back-Data'!$B$5:$B$10041,0)+1,
       MATCH(AA$3,'생산수량Back-Data'!$B$3:$AAA$3,0))</f>
        <v>0</v>
      </c>
      <c r="AB86" s="328" cm="1">
        <f t="array" ref="AB86">INDEX('생산수량Back-Data'!$B$5:$AAA$10041,
       MATCH($B85,'생산수량Back-Data'!$B$5:$B$10041,0)+1,
       MATCH(AB$3,'생산수량Back-Data'!$B$3:$AAA$3,0))</f>
        <v>0</v>
      </c>
      <c r="AC86" s="328" cm="1">
        <f t="array" ref="AC86">INDEX('생산수량Back-Data'!$B$5:$AAA$10041,
       MATCH($B85,'생산수량Back-Data'!$B$5:$B$10041,0)+1,
       MATCH(AC$3,'생산수량Back-Data'!$B$3:$AAA$3,0))</f>
        <v>0</v>
      </c>
      <c r="AD86" s="328" cm="1">
        <f t="array" ref="AD86">INDEX('생산수량Back-Data'!$B$5:$AAA$10041,
       MATCH($B85,'생산수량Back-Data'!$B$5:$B$10041,0)+1,
       MATCH(AD$3,'생산수량Back-Data'!$B$3:$AAA$3,0))</f>
        <v>0</v>
      </c>
      <c r="AE86" s="328" cm="1">
        <f t="array" ref="AE86">INDEX('생산수량Back-Data'!$B$5:$AAA$10041,
       MATCH($B85,'생산수량Back-Data'!$B$5:$B$10041,0)+1,
       MATCH(AE$3,'생산수량Back-Data'!$B$3:$AAA$3,0))</f>
        <v>0</v>
      </c>
      <c r="AF86" s="328" cm="1">
        <f t="array" ref="AF86">INDEX('생산수량Back-Data'!$B$5:$AAA$10041,
       MATCH($B85,'생산수량Back-Data'!$B$5:$B$10041,0)+1,
       MATCH(AF$3,'생산수량Back-Data'!$B$3:$AAA$3,0))</f>
        <v>0</v>
      </c>
      <c r="AG86" s="328" cm="1">
        <f t="array" ref="AG86">INDEX('생산수량Back-Data'!$B$5:$AAA$10041,
       MATCH($B85,'생산수량Back-Data'!$B$5:$B$10041,0)+1,
       MATCH(AG$3,'생산수량Back-Data'!$B$3:$AAA$3,0))</f>
        <v>0</v>
      </c>
      <c r="AH86" s="328" cm="1">
        <f t="array" ref="AH86">INDEX('생산수량Back-Data'!$B$5:$AAA$10041,
       MATCH($B85,'생산수량Back-Data'!$B$5:$B$10041,0)+1,
       MATCH(AH$3,'생산수량Back-Data'!$B$3:$AAA$3,0))</f>
        <v>0</v>
      </c>
      <c r="AI86" s="328" cm="1">
        <f t="array" ref="AI86">INDEX('생산수량Back-Data'!$B$5:$AAA$10041,
       MATCH($B85,'생산수량Back-Data'!$B$5:$B$10041,0)+1,
       MATCH(AI$3,'생산수량Back-Data'!$B$3:$AAA$3,0))</f>
        <v>0</v>
      </c>
      <c r="AJ86" s="328" cm="1">
        <f t="array" ref="AJ86">INDEX('생산수량Back-Data'!$B$5:$AAA$10041,
       MATCH($B85,'생산수량Back-Data'!$B$5:$B$10041,0)+1,
       MATCH(AJ$3,'생산수량Back-Data'!$B$3:$AAA$3,0))</f>
        <v>0</v>
      </c>
      <c r="AK86" s="328" cm="1">
        <f t="array" ref="AK86">INDEX('생산수량Back-Data'!$B$5:$AAA$10041,
       MATCH($B85,'생산수량Back-Data'!$B$5:$B$10041,0)+1,
       MATCH(AK$3,'생산수량Back-Data'!$B$3:$AAA$3,0))</f>
        <v>0</v>
      </c>
      <c r="AL86" s="328" cm="1">
        <f t="array" ref="AL86">INDEX('생산수량Back-Data'!$B$5:$AAA$10041,
       MATCH($B85,'생산수량Back-Data'!$B$5:$B$10041,0)+1,
       MATCH(AL$3,'생산수량Back-Data'!$B$3:$AAA$3,0))</f>
        <v>0</v>
      </c>
      <c r="AM86" s="328" cm="1">
        <f t="array" ref="AM86">INDEX('생산수량Back-Data'!$B$5:$AAA$10041,
       MATCH($B85,'생산수량Back-Data'!$B$5:$B$10041,0)+1,
       MATCH(AM$3,'생산수량Back-Data'!$B$3:$AAA$3,0))</f>
        <v>0</v>
      </c>
      <c r="AN86" s="328" cm="1">
        <f t="array" ref="AN86">INDEX('생산수량Back-Data'!$B$5:$AAA$10041,
       MATCH($B85,'생산수량Back-Data'!$B$5:$B$10041,0)+1,
       MATCH(AN$3,'생산수량Back-Data'!$B$3:$AAA$3,0))</f>
        <v>0</v>
      </c>
      <c r="AO86" s="328" cm="1">
        <f t="array" ref="AO86">INDEX('생산수량Back-Data'!$B$5:$AAA$10041,
       MATCH($B85,'생산수량Back-Data'!$B$5:$B$10041,0)+1,
       MATCH(AO$3,'생산수량Back-Data'!$B$3:$AAA$3,0))</f>
        <v>0</v>
      </c>
      <c r="AP86" s="328" cm="1">
        <f t="array" ref="AP86">INDEX('생산수량Back-Data'!$B$5:$AAA$10041,
       MATCH($B85,'생산수량Back-Data'!$B$5:$B$10041,0)+1,
       MATCH(AP$3,'생산수량Back-Data'!$B$3:$AAA$3,0))</f>
        <v>0</v>
      </c>
      <c r="AQ86" s="328" cm="1">
        <f t="array" ref="AQ86">INDEX('생산수량Back-Data'!$B$5:$AAA$10041,
       MATCH($B85,'생산수량Back-Data'!$B$5:$B$10041,0)+1,
       MATCH(AQ$3,'생산수량Back-Data'!$B$3:$AAA$3,0))</f>
        <v>0</v>
      </c>
      <c r="AR86" s="328" cm="1">
        <f t="array" ref="AR86">INDEX('생산수량Back-Data'!$B$5:$AAA$10041,
       MATCH($B85,'생산수량Back-Data'!$B$5:$B$10041,0)+1,
       MATCH(AR$3,'생산수량Back-Data'!$B$3:$AAA$3,0))</f>
        <v>0</v>
      </c>
      <c r="AS86" s="328" cm="1">
        <f t="array" ref="AS86">INDEX('생산수량Back-Data'!$B$5:$AAA$10041,
       MATCH($B85,'생산수량Back-Data'!$B$5:$B$10041,0)+1,
       MATCH(AS$3,'생산수량Back-Data'!$B$3:$AAA$3,0))</f>
        <v>0</v>
      </c>
      <c r="AT86" s="329" cm="1">
        <f t="array" ref="AT86">INDEX('생산수량Back-Data'!$B$5:$AAA$10041,
       MATCH($B85,'생산수량Back-Data'!$B$5:$B$10041,0)+1,
       MATCH(AT$3,'생산수량Back-Data'!$B$3:$AAA$3,0))</f>
        <v>0</v>
      </c>
    </row>
    <row r="87" spans="2:46" ht="20.100000000000001" customHeight="1" x14ac:dyDescent="0.3">
      <c r="B87" s="317"/>
      <c r="C87" s="317"/>
      <c r="D87" s="317"/>
      <c r="E87" s="318"/>
      <c r="F87" s="318"/>
      <c r="G87" s="319"/>
      <c r="H87" s="319"/>
      <c r="I87" s="319"/>
      <c r="J87" s="319"/>
      <c r="K87" s="318"/>
      <c r="L87" s="318"/>
      <c r="M87" s="318"/>
      <c r="O87" s="318"/>
      <c r="P87" s="320"/>
      <c r="Q87" s="320"/>
      <c r="R87" s="320"/>
      <c r="S87" s="320"/>
      <c r="T87" s="320"/>
      <c r="U87" s="320"/>
      <c r="V87" s="320"/>
      <c r="W87" s="320"/>
      <c r="X87" s="320"/>
      <c r="Y87" s="320"/>
      <c r="Z87" s="320"/>
      <c r="AA87" s="320"/>
      <c r="AB87" s="320"/>
      <c r="AC87" s="320"/>
      <c r="AD87" s="320"/>
      <c r="AE87" s="320"/>
      <c r="AF87" s="320"/>
      <c r="AG87" s="320"/>
      <c r="AH87" s="320"/>
      <c r="AI87" s="320"/>
      <c r="AJ87" s="320"/>
      <c r="AK87" s="320"/>
      <c r="AL87" s="320"/>
      <c r="AM87" s="320"/>
      <c r="AN87" s="320"/>
      <c r="AO87" s="320"/>
      <c r="AP87" s="320"/>
      <c r="AQ87" s="320"/>
      <c r="AR87" s="320"/>
      <c r="AS87" s="320"/>
      <c r="AT87" s="320"/>
    </row>
    <row r="88" spans="2:46" ht="20.100000000000001" customHeight="1" x14ac:dyDescent="0.3">
      <c r="B88" s="317"/>
      <c r="C88" s="317"/>
      <c r="D88" s="317"/>
      <c r="E88" s="318"/>
      <c r="F88" s="318"/>
      <c r="G88" s="319"/>
      <c r="H88" s="319"/>
      <c r="I88" s="319"/>
      <c r="J88" s="319"/>
      <c r="K88" s="318"/>
      <c r="L88" s="318"/>
      <c r="M88" s="318"/>
      <c r="O88" s="318"/>
      <c r="P88" s="320"/>
      <c r="Q88" s="320"/>
      <c r="R88" s="320"/>
      <c r="S88" s="320"/>
      <c r="T88" s="320"/>
      <c r="U88" s="320"/>
      <c r="V88" s="320"/>
      <c r="W88" s="320"/>
      <c r="X88" s="320"/>
      <c r="Y88" s="320"/>
      <c r="Z88" s="320"/>
      <c r="AA88" s="320"/>
      <c r="AB88" s="320"/>
      <c r="AC88" s="320"/>
      <c r="AD88" s="320"/>
      <c r="AE88" s="320"/>
      <c r="AF88" s="320"/>
      <c r="AG88" s="320"/>
      <c r="AH88" s="320"/>
      <c r="AI88" s="320"/>
      <c r="AJ88" s="320"/>
      <c r="AK88" s="320"/>
      <c r="AL88" s="320"/>
      <c r="AM88" s="320"/>
      <c r="AN88" s="320"/>
      <c r="AO88" s="320"/>
      <c r="AP88" s="320"/>
      <c r="AQ88" s="320"/>
      <c r="AR88" s="320"/>
      <c r="AS88" s="320"/>
      <c r="AT88" s="320"/>
    </row>
  </sheetData>
  <autoFilter ref="B4:AT86" xr:uid="{6AE1D452-7451-4FE9-B9D5-849CABFAA101}"/>
  <mergeCells count="533">
    <mergeCell ref="N5:N6"/>
    <mergeCell ref="B7:B8"/>
    <mergeCell ref="C7:C8"/>
    <mergeCell ref="D7:D8"/>
    <mergeCell ref="E7:E8"/>
    <mergeCell ref="F7:F8"/>
    <mergeCell ref="G7:G8"/>
    <mergeCell ref="H7:H8"/>
    <mergeCell ref="I7:I8"/>
    <mergeCell ref="J7:J8"/>
    <mergeCell ref="H5:H6"/>
    <mergeCell ref="I5:I6"/>
    <mergeCell ref="J5:J6"/>
    <mergeCell ref="K5:K6"/>
    <mergeCell ref="L5:L6"/>
    <mergeCell ref="M5:M6"/>
    <mergeCell ref="B5:B6"/>
    <mergeCell ref="C5:C6"/>
    <mergeCell ref="D5:D6"/>
    <mergeCell ref="E5:E6"/>
    <mergeCell ref="F5:F6"/>
    <mergeCell ref="G5:G6"/>
    <mergeCell ref="K7:K8"/>
    <mergeCell ref="L7:L8"/>
    <mergeCell ref="I11:I12"/>
    <mergeCell ref="J11:J12"/>
    <mergeCell ref="M7:M8"/>
    <mergeCell ref="N7:N8"/>
    <mergeCell ref="B9:B10"/>
    <mergeCell ref="C9:C10"/>
    <mergeCell ref="D9:D10"/>
    <mergeCell ref="E9:E10"/>
    <mergeCell ref="F9:F10"/>
    <mergeCell ref="G9:G10"/>
    <mergeCell ref="N9:N10"/>
    <mergeCell ref="H9:H10"/>
    <mergeCell ref="I9:I10"/>
    <mergeCell ref="J9:J10"/>
    <mergeCell ref="K9:K10"/>
    <mergeCell ref="L9:L10"/>
    <mergeCell ref="M9:M10"/>
    <mergeCell ref="K11:K12"/>
    <mergeCell ref="L11:L12"/>
    <mergeCell ref="M11:M12"/>
    <mergeCell ref="N11:N12"/>
    <mergeCell ref="B11:B12"/>
    <mergeCell ref="C11:C12"/>
    <mergeCell ref="D11:D12"/>
    <mergeCell ref="B13:B14"/>
    <mergeCell ref="C13:C14"/>
    <mergeCell ref="D13:D14"/>
    <mergeCell ref="E13:E14"/>
    <mergeCell ref="F13:F14"/>
    <mergeCell ref="G13:G14"/>
    <mergeCell ref="N13:N14"/>
    <mergeCell ref="H13:H14"/>
    <mergeCell ref="I13:I14"/>
    <mergeCell ref="J13:J14"/>
    <mergeCell ref="K13:K14"/>
    <mergeCell ref="L13:L14"/>
    <mergeCell ref="M13:M14"/>
    <mergeCell ref="E11:E12"/>
    <mergeCell ref="F11:F12"/>
    <mergeCell ref="G11:G12"/>
    <mergeCell ref="H11:H12"/>
    <mergeCell ref="N15:N16"/>
    <mergeCell ref="B17:B18"/>
    <mergeCell ref="C17:C18"/>
    <mergeCell ref="D17:D18"/>
    <mergeCell ref="E17:E18"/>
    <mergeCell ref="F17:F18"/>
    <mergeCell ref="G17:G18"/>
    <mergeCell ref="N17:N18"/>
    <mergeCell ref="H17:H18"/>
    <mergeCell ref="I17:I18"/>
    <mergeCell ref="J17:J18"/>
    <mergeCell ref="K17:K18"/>
    <mergeCell ref="L17:L18"/>
    <mergeCell ref="M17:M18"/>
    <mergeCell ref="B15:B16"/>
    <mergeCell ref="C15:C16"/>
    <mergeCell ref="D15:D16"/>
    <mergeCell ref="E15:E16"/>
    <mergeCell ref="F15:F16"/>
    <mergeCell ref="G15:G16"/>
    <mergeCell ref="K15:K16"/>
    <mergeCell ref="L15:L16"/>
    <mergeCell ref="M15:M16"/>
    <mergeCell ref="G23:G24"/>
    <mergeCell ref="H23:H24"/>
    <mergeCell ref="I23:I24"/>
    <mergeCell ref="J23:J24"/>
    <mergeCell ref="K19:K20"/>
    <mergeCell ref="L19:L20"/>
    <mergeCell ref="M19:M20"/>
    <mergeCell ref="H15:H16"/>
    <mergeCell ref="I15:I16"/>
    <mergeCell ref="J15:J16"/>
    <mergeCell ref="G19:G20"/>
    <mergeCell ref="H19:H20"/>
    <mergeCell ref="I19:I20"/>
    <mergeCell ref="J19:J20"/>
    <mergeCell ref="N19:N20"/>
    <mergeCell ref="B21:B22"/>
    <mergeCell ref="C21:C22"/>
    <mergeCell ref="D21:D22"/>
    <mergeCell ref="E21:E22"/>
    <mergeCell ref="F21:F22"/>
    <mergeCell ref="G21:G22"/>
    <mergeCell ref="N21:N22"/>
    <mergeCell ref="H21:H22"/>
    <mergeCell ref="I21:I22"/>
    <mergeCell ref="J21:J22"/>
    <mergeCell ref="K21:K22"/>
    <mergeCell ref="L21:L22"/>
    <mergeCell ref="M21:M22"/>
    <mergeCell ref="B19:B20"/>
    <mergeCell ref="C19:C20"/>
    <mergeCell ref="D19:D20"/>
    <mergeCell ref="E19:E20"/>
    <mergeCell ref="F19:F20"/>
    <mergeCell ref="I27:I28"/>
    <mergeCell ref="J27:J28"/>
    <mergeCell ref="K23:K24"/>
    <mergeCell ref="L23:L24"/>
    <mergeCell ref="M23:M24"/>
    <mergeCell ref="N23:N24"/>
    <mergeCell ref="B25:B26"/>
    <mergeCell ref="C25:C26"/>
    <mergeCell ref="D25:D26"/>
    <mergeCell ref="E25:E26"/>
    <mergeCell ref="F25:F26"/>
    <mergeCell ref="G25:G26"/>
    <mergeCell ref="N25:N26"/>
    <mergeCell ref="H25:H26"/>
    <mergeCell ref="I25:I26"/>
    <mergeCell ref="J25:J26"/>
    <mergeCell ref="K25:K26"/>
    <mergeCell ref="L25:L26"/>
    <mergeCell ref="M25:M26"/>
    <mergeCell ref="B23:B24"/>
    <mergeCell ref="C23:C24"/>
    <mergeCell ref="D23:D24"/>
    <mergeCell ref="E23:E24"/>
    <mergeCell ref="F23:F24"/>
    <mergeCell ref="K27:K28"/>
    <mergeCell ref="L27:L28"/>
    <mergeCell ref="M27:M28"/>
    <mergeCell ref="N27:N28"/>
    <mergeCell ref="B29:B30"/>
    <mergeCell ref="C29:C30"/>
    <mergeCell ref="D29:D30"/>
    <mergeCell ref="E29:E30"/>
    <mergeCell ref="F29:F30"/>
    <mergeCell ref="G29:G30"/>
    <mergeCell ref="N29:N30"/>
    <mergeCell ref="H29:H30"/>
    <mergeCell ref="I29:I30"/>
    <mergeCell ref="J29:J30"/>
    <mergeCell ref="K29:K30"/>
    <mergeCell ref="L29:L30"/>
    <mergeCell ref="M29:M30"/>
    <mergeCell ref="B27:B28"/>
    <mergeCell ref="C27:C28"/>
    <mergeCell ref="D27:D28"/>
    <mergeCell ref="E27:E28"/>
    <mergeCell ref="F27:F28"/>
    <mergeCell ref="G27:G28"/>
    <mergeCell ref="H27:H28"/>
    <mergeCell ref="N31:N32"/>
    <mergeCell ref="B33:B34"/>
    <mergeCell ref="C33:C34"/>
    <mergeCell ref="D33:D34"/>
    <mergeCell ref="E33:E34"/>
    <mergeCell ref="F33:F34"/>
    <mergeCell ref="G33:G34"/>
    <mergeCell ref="N33:N34"/>
    <mergeCell ref="H33:H34"/>
    <mergeCell ref="I33:I34"/>
    <mergeCell ref="J33:J34"/>
    <mergeCell ref="K33:K34"/>
    <mergeCell ref="L33:L34"/>
    <mergeCell ref="M33:M34"/>
    <mergeCell ref="B31:B32"/>
    <mergeCell ref="C31:C32"/>
    <mergeCell ref="D31:D32"/>
    <mergeCell ref="E31:E32"/>
    <mergeCell ref="F31:F32"/>
    <mergeCell ref="G31:G32"/>
    <mergeCell ref="H31:H32"/>
    <mergeCell ref="I31:I32"/>
    <mergeCell ref="J31:J32"/>
    <mergeCell ref="E35:E36"/>
    <mergeCell ref="F35:F36"/>
    <mergeCell ref="G35:G36"/>
    <mergeCell ref="H35:H36"/>
    <mergeCell ref="I35:I36"/>
    <mergeCell ref="J35:J36"/>
    <mergeCell ref="K31:K32"/>
    <mergeCell ref="L31:L32"/>
    <mergeCell ref="M31:M32"/>
    <mergeCell ref="G39:G40"/>
    <mergeCell ref="H39:H40"/>
    <mergeCell ref="I39:I40"/>
    <mergeCell ref="J39:J40"/>
    <mergeCell ref="K35:K36"/>
    <mergeCell ref="L35:L36"/>
    <mergeCell ref="M35:M36"/>
    <mergeCell ref="N35:N36"/>
    <mergeCell ref="B37:B38"/>
    <mergeCell ref="C37:C38"/>
    <mergeCell ref="D37:D38"/>
    <mergeCell ref="E37:E38"/>
    <mergeCell ref="F37:F38"/>
    <mergeCell ref="G37:G38"/>
    <mergeCell ref="N37:N38"/>
    <mergeCell ref="H37:H38"/>
    <mergeCell ref="I37:I38"/>
    <mergeCell ref="J37:J38"/>
    <mergeCell ref="K37:K38"/>
    <mergeCell ref="L37:L38"/>
    <mergeCell ref="M37:M38"/>
    <mergeCell ref="B35:B36"/>
    <mergeCell ref="C35:C36"/>
    <mergeCell ref="D35:D36"/>
    <mergeCell ref="I43:I44"/>
    <mergeCell ref="J43:J44"/>
    <mergeCell ref="K39:K40"/>
    <mergeCell ref="L39:L40"/>
    <mergeCell ref="M39:M40"/>
    <mergeCell ref="N39:N40"/>
    <mergeCell ref="B41:B42"/>
    <mergeCell ref="C41:C42"/>
    <mergeCell ref="D41:D42"/>
    <mergeCell ref="E41:E42"/>
    <mergeCell ref="F41:F42"/>
    <mergeCell ref="G41:G42"/>
    <mergeCell ref="N41:N42"/>
    <mergeCell ref="H41:H42"/>
    <mergeCell ref="I41:I42"/>
    <mergeCell ref="J41:J42"/>
    <mergeCell ref="K41:K42"/>
    <mergeCell ref="L41:L42"/>
    <mergeCell ref="M41:M42"/>
    <mergeCell ref="B39:B40"/>
    <mergeCell ref="C39:C40"/>
    <mergeCell ref="D39:D40"/>
    <mergeCell ref="E39:E40"/>
    <mergeCell ref="F39:F40"/>
    <mergeCell ref="K43:K44"/>
    <mergeCell ref="L43:L44"/>
    <mergeCell ref="M43:M44"/>
    <mergeCell ref="N43:N44"/>
    <mergeCell ref="B45:B46"/>
    <mergeCell ref="C45:C46"/>
    <mergeCell ref="D45:D46"/>
    <mergeCell ref="E45:E46"/>
    <mergeCell ref="F45:F46"/>
    <mergeCell ref="G45:G46"/>
    <mergeCell ref="N45:N46"/>
    <mergeCell ref="H45:H46"/>
    <mergeCell ref="I45:I46"/>
    <mergeCell ref="J45:J46"/>
    <mergeCell ref="K45:K46"/>
    <mergeCell ref="L45:L46"/>
    <mergeCell ref="M45:M46"/>
    <mergeCell ref="B43:B44"/>
    <mergeCell ref="C43:C44"/>
    <mergeCell ref="D43:D44"/>
    <mergeCell ref="E43:E44"/>
    <mergeCell ref="F43:F44"/>
    <mergeCell ref="G43:G44"/>
    <mergeCell ref="H43:H44"/>
    <mergeCell ref="N47:N48"/>
    <mergeCell ref="B49:B50"/>
    <mergeCell ref="C49:C50"/>
    <mergeCell ref="D49:D50"/>
    <mergeCell ref="E49:E50"/>
    <mergeCell ref="F49:F50"/>
    <mergeCell ref="G49:G50"/>
    <mergeCell ref="N49:N50"/>
    <mergeCell ref="H49:H50"/>
    <mergeCell ref="I49:I50"/>
    <mergeCell ref="J49:J50"/>
    <mergeCell ref="K49:K50"/>
    <mergeCell ref="L49:L50"/>
    <mergeCell ref="M49:M50"/>
    <mergeCell ref="B47:B48"/>
    <mergeCell ref="C47:C48"/>
    <mergeCell ref="D47:D48"/>
    <mergeCell ref="E47:E48"/>
    <mergeCell ref="F47:F48"/>
    <mergeCell ref="G47:G48"/>
    <mergeCell ref="H47:H48"/>
    <mergeCell ref="I47:I48"/>
    <mergeCell ref="J47:J48"/>
    <mergeCell ref="E51:E52"/>
    <mergeCell ref="F51:F52"/>
    <mergeCell ref="G51:G52"/>
    <mergeCell ref="H51:H52"/>
    <mergeCell ref="I51:I52"/>
    <mergeCell ref="J51:J52"/>
    <mergeCell ref="K47:K48"/>
    <mergeCell ref="L47:L48"/>
    <mergeCell ref="M47:M48"/>
    <mergeCell ref="G55:G56"/>
    <mergeCell ref="H55:H56"/>
    <mergeCell ref="I55:I56"/>
    <mergeCell ref="J55:J56"/>
    <mergeCell ref="K51:K52"/>
    <mergeCell ref="L51:L52"/>
    <mergeCell ref="M51:M52"/>
    <mergeCell ref="N51:N52"/>
    <mergeCell ref="B53:B54"/>
    <mergeCell ref="C53:C54"/>
    <mergeCell ref="D53:D54"/>
    <mergeCell ref="E53:E54"/>
    <mergeCell ref="F53:F54"/>
    <mergeCell ref="G53:G54"/>
    <mergeCell ref="N53:N54"/>
    <mergeCell ref="H53:H54"/>
    <mergeCell ref="I53:I54"/>
    <mergeCell ref="J53:J54"/>
    <mergeCell ref="K53:K54"/>
    <mergeCell ref="L53:L54"/>
    <mergeCell ref="M53:M54"/>
    <mergeCell ref="B51:B52"/>
    <mergeCell ref="C51:C52"/>
    <mergeCell ref="D51:D52"/>
    <mergeCell ref="I59:I60"/>
    <mergeCell ref="J59:J60"/>
    <mergeCell ref="K55:K56"/>
    <mergeCell ref="L55:L56"/>
    <mergeCell ref="M55:M56"/>
    <mergeCell ref="N55:N56"/>
    <mergeCell ref="B57:B58"/>
    <mergeCell ref="C57:C58"/>
    <mergeCell ref="D57:D58"/>
    <mergeCell ref="E57:E58"/>
    <mergeCell ref="F57:F58"/>
    <mergeCell ref="G57:G58"/>
    <mergeCell ref="N57:N58"/>
    <mergeCell ref="H57:H58"/>
    <mergeCell ref="I57:I58"/>
    <mergeCell ref="J57:J58"/>
    <mergeCell ref="K57:K58"/>
    <mergeCell ref="L57:L58"/>
    <mergeCell ref="M57:M58"/>
    <mergeCell ref="B55:B56"/>
    <mergeCell ref="C55:C56"/>
    <mergeCell ref="D55:D56"/>
    <mergeCell ref="E55:E56"/>
    <mergeCell ref="F55:F56"/>
    <mergeCell ref="K59:K60"/>
    <mergeCell ref="L59:L60"/>
    <mergeCell ref="M59:M60"/>
    <mergeCell ref="N59:N60"/>
    <mergeCell ref="B61:B62"/>
    <mergeCell ref="C61:C62"/>
    <mergeCell ref="D61:D62"/>
    <mergeCell ref="E61:E62"/>
    <mergeCell ref="F61:F62"/>
    <mergeCell ref="G61:G62"/>
    <mergeCell ref="N61:N62"/>
    <mergeCell ref="H61:H62"/>
    <mergeCell ref="I61:I62"/>
    <mergeCell ref="J61:J62"/>
    <mergeCell ref="K61:K62"/>
    <mergeCell ref="L61:L62"/>
    <mergeCell ref="M61:M62"/>
    <mergeCell ref="B59:B60"/>
    <mergeCell ref="C59:C60"/>
    <mergeCell ref="D59:D60"/>
    <mergeCell ref="E59:E60"/>
    <mergeCell ref="F59:F60"/>
    <mergeCell ref="G59:G60"/>
    <mergeCell ref="H59:H60"/>
    <mergeCell ref="N63:N64"/>
    <mergeCell ref="B65:B66"/>
    <mergeCell ref="C65:C66"/>
    <mergeCell ref="D65:D66"/>
    <mergeCell ref="E65:E66"/>
    <mergeCell ref="F65:F66"/>
    <mergeCell ref="G65:G66"/>
    <mergeCell ref="N65:N66"/>
    <mergeCell ref="H65:H66"/>
    <mergeCell ref="I65:I66"/>
    <mergeCell ref="J65:J66"/>
    <mergeCell ref="K65:K66"/>
    <mergeCell ref="L65:L66"/>
    <mergeCell ref="M65:M66"/>
    <mergeCell ref="B63:B64"/>
    <mergeCell ref="C63:C64"/>
    <mergeCell ref="D63:D64"/>
    <mergeCell ref="E63:E64"/>
    <mergeCell ref="F63:F64"/>
    <mergeCell ref="G63:G64"/>
    <mergeCell ref="H63:H64"/>
    <mergeCell ref="I63:I64"/>
    <mergeCell ref="J63:J64"/>
    <mergeCell ref="E67:E68"/>
    <mergeCell ref="F67:F68"/>
    <mergeCell ref="G67:G68"/>
    <mergeCell ref="H67:H68"/>
    <mergeCell ref="I67:I68"/>
    <mergeCell ref="J67:J68"/>
    <mergeCell ref="K63:K64"/>
    <mergeCell ref="L63:L64"/>
    <mergeCell ref="M63:M64"/>
    <mergeCell ref="G71:G72"/>
    <mergeCell ref="H71:H72"/>
    <mergeCell ref="I71:I72"/>
    <mergeCell ref="J71:J72"/>
    <mergeCell ref="K67:K68"/>
    <mergeCell ref="L67:L68"/>
    <mergeCell ref="M67:M68"/>
    <mergeCell ref="N67:N68"/>
    <mergeCell ref="B69:B70"/>
    <mergeCell ref="C69:C70"/>
    <mergeCell ref="D69:D70"/>
    <mergeCell ref="E69:E70"/>
    <mergeCell ref="F69:F70"/>
    <mergeCell ref="G69:G70"/>
    <mergeCell ref="N69:N70"/>
    <mergeCell ref="H69:H70"/>
    <mergeCell ref="I69:I70"/>
    <mergeCell ref="J69:J70"/>
    <mergeCell ref="K69:K70"/>
    <mergeCell ref="L69:L70"/>
    <mergeCell ref="M69:M70"/>
    <mergeCell ref="B67:B68"/>
    <mergeCell ref="C67:C68"/>
    <mergeCell ref="D67:D68"/>
    <mergeCell ref="I75:I76"/>
    <mergeCell ref="J75:J76"/>
    <mergeCell ref="K71:K72"/>
    <mergeCell ref="L71:L72"/>
    <mergeCell ref="M71:M72"/>
    <mergeCell ref="N71:N72"/>
    <mergeCell ref="B73:B74"/>
    <mergeCell ref="C73:C74"/>
    <mergeCell ref="D73:D74"/>
    <mergeCell ref="E73:E74"/>
    <mergeCell ref="F73:F74"/>
    <mergeCell ref="G73:G74"/>
    <mergeCell ref="N73:N74"/>
    <mergeCell ref="H73:H74"/>
    <mergeCell ref="I73:I74"/>
    <mergeCell ref="J73:J74"/>
    <mergeCell ref="K73:K74"/>
    <mergeCell ref="L73:L74"/>
    <mergeCell ref="M73:M74"/>
    <mergeCell ref="B71:B72"/>
    <mergeCell ref="C71:C72"/>
    <mergeCell ref="D71:D72"/>
    <mergeCell ref="E71:E72"/>
    <mergeCell ref="F71:F72"/>
    <mergeCell ref="K75:K76"/>
    <mergeCell ref="L75:L76"/>
    <mergeCell ref="M75:M76"/>
    <mergeCell ref="N75:N76"/>
    <mergeCell ref="B77:B78"/>
    <mergeCell ref="C77:C78"/>
    <mergeCell ref="D77:D78"/>
    <mergeCell ref="E77:E78"/>
    <mergeCell ref="F77:F78"/>
    <mergeCell ref="G77:G78"/>
    <mergeCell ref="N77:N78"/>
    <mergeCell ref="H77:H78"/>
    <mergeCell ref="I77:I78"/>
    <mergeCell ref="J77:J78"/>
    <mergeCell ref="K77:K78"/>
    <mergeCell ref="L77:L78"/>
    <mergeCell ref="M77:M78"/>
    <mergeCell ref="B75:B76"/>
    <mergeCell ref="C75:C76"/>
    <mergeCell ref="D75:D76"/>
    <mergeCell ref="E75:E76"/>
    <mergeCell ref="F75:F76"/>
    <mergeCell ref="G75:G76"/>
    <mergeCell ref="H75:H76"/>
    <mergeCell ref="K79:K80"/>
    <mergeCell ref="L79:L80"/>
    <mergeCell ref="M79:M80"/>
    <mergeCell ref="N79:N80"/>
    <mergeCell ref="B81:B82"/>
    <mergeCell ref="C81:C82"/>
    <mergeCell ref="D81:D82"/>
    <mergeCell ref="E81:E82"/>
    <mergeCell ref="F81:F82"/>
    <mergeCell ref="G81:G82"/>
    <mergeCell ref="B79:B80"/>
    <mergeCell ref="C79:C80"/>
    <mergeCell ref="D79:D80"/>
    <mergeCell ref="E79:E80"/>
    <mergeCell ref="F79:F80"/>
    <mergeCell ref="G79:G80"/>
    <mergeCell ref="H79:H80"/>
    <mergeCell ref="I79:I80"/>
    <mergeCell ref="J79:J80"/>
    <mergeCell ref="B85:B86"/>
    <mergeCell ref="C85:C86"/>
    <mergeCell ref="D85:D86"/>
    <mergeCell ref="E85:E86"/>
    <mergeCell ref="F85:F86"/>
    <mergeCell ref="G85:G86"/>
    <mergeCell ref="N81:N82"/>
    <mergeCell ref="B83:B84"/>
    <mergeCell ref="C83:C84"/>
    <mergeCell ref="D83:D84"/>
    <mergeCell ref="E83:E84"/>
    <mergeCell ref="F83:F84"/>
    <mergeCell ref="G83:G84"/>
    <mergeCell ref="H83:H84"/>
    <mergeCell ref="I83:I84"/>
    <mergeCell ref="J83:J84"/>
    <mergeCell ref="H81:H82"/>
    <mergeCell ref="I81:I82"/>
    <mergeCell ref="J81:J82"/>
    <mergeCell ref="K81:K82"/>
    <mergeCell ref="L81:L82"/>
    <mergeCell ref="M81:M82"/>
    <mergeCell ref="N85:N86"/>
    <mergeCell ref="H85:H86"/>
    <mergeCell ref="I85:I86"/>
    <mergeCell ref="J85:J86"/>
    <mergeCell ref="K85:K86"/>
    <mergeCell ref="L85:L86"/>
    <mergeCell ref="M85:M86"/>
    <mergeCell ref="K83:K84"/>
    <mergeCell ref="L83:L84"/>
    <mergeCell ref="M83:M84"/>
    <mergeCell ref="N83:N84"/>
  </mergeCells>
  <phoneticPr fontId="2" type="noConversion"/>
  <conditionalFormatting sqref="B85 B5 B7 B9 B11 B13 B15 B17 B19 B21 B23 B25 B27 B29 B31 B33 B35 B37 B39 B41 B43 B45 B47 B49 B51 B53 B55 B57 B59 B61 B63 B65 B67 B69 B71 B73 B75 B77 B79 B81 B83">
    <cfRule type="duplicateValues" dxfId="85" priority="1"/>
  </conditionalFormatting>
  <conditionalFormatting sqref="B87:B1048576 B1:B4">
    <cfRule type="duplicateValues" dxfId="84" priority="28"/>
  </conditionalFormatting>
  <conditionalFormatting sqref="C2">
    <cfRule type="duplicateValues" dxfId="83" priority="26"/>
  </conditionalFormatting>
  <conditionalFormatting sqref="F1:F1048576">
    <cfRule type="cellIs" dxfId="82" priority="2" operator="lessThan">
      <formula>0</formula>
    </cfRule>
  </conditionalFormatting>
  <conditionalFormatting sqref="F4:F5">
    <cfRule type="cellIs" dxfId="81" priority="22" operator="lessThan">
      <formula>0</formula>
    </cfRule>
  </conditionalFormatting>
  <conditionalFormatting sqref="F7">
    <cfRule type="cellIs" dxfId="80" priority="21" operator="lessThan">
      <formula>0</formula>
    </cfRule>
  </conditionalFormatting>
  <conditionalFormatting sqref="F9">
    <cfRule type="cellIs" dxfId="79" priority="20" operator="lessThan">
      <formula>0</formula>
    </cfRule>
  </conditionalFormatting>
  <conditionalFormatting sqref="F11">
    <cfRule type="cellIs" dxfId="78" priority="19" operator="lessThan">
      <formula>0</formula>
    </cfRule>
  </conditionalFormatting>
  <conditionalFormatting sqref="F13">
    <cfRule type="cellIs" dxfId="77" priority="18" operator="lessThan">
      <formula>0</formula>
    </cfRule>
  </conditionalFormatting>
  <conditionalFormatting sqref="F15">
    <cfRule type="cellIs" dxfId="76" priority="17" operator="lessThan">
      <formula>0</formula>
    </cfRule>
  </conditionalFormatting>
  <conditionalFormatting sqref="F17">
    <cfRule type="cellIs" dxfId="75" priority="16" operator="lessThan">
      <formula>0</formula>
    </cfRule>
  </conditionalFormatting>
  <conditionalFormatting sqref="F19">
    <cfRule type="cellIs" dxfId="74" priority="15" operator="lessThan">
      <formula>0</formula>
    </cfRule>
  </conditionalFormatting>
  <conditionalFormatting sqref="F21">
    <cfRule type="cellIs" dxfId="73" priority="14" operator="lessThan">
      <formula>0</formula>
    </cfRule>
  </conditionalFormatting>
  <conditionalFormatting sqref="F23">
    <cfRule type="cellIs" dxfId="72" priority="13" operator="lessThan">
      <formula>0</formula>
    </cfRule>
  </conditionalFormatting>
  <conditionalFormatting sqref="F25">
    <cfRule type="cellIs" dxfId="71" priority="12" operator="lessThan">
      <formula>0</formula>
    </cfRule>
  </conditionalFormatting>
  <conditionalFormatting sqref="F27">
    <cfRule type="cellIs" dxfId="70" priority="11" operator="lessThan">
      <formula>0</formula>
    </cfRule>
  </conditionalFormatting>
  <conditionalFormatting sqref="F29">
    <cfRule type="cellIs" dxfId="69" priority="10" operator="lessThan">
      <formula>0</formula>
    </cfRule>
  </conditionalFormatting>
  <conditionalFormatting sqref="F31">
    <cfRule type="cellIs" dxfId="68" priority="9" operator="lessThan">
      <formula>0</formula>
    </cfRule>
  </conditionalFormatting>
  <conditionalFormatting sqref="F33">
    <cfRule type="cellIs" dxfId="67" priority="8" operator="lessThan">
      <formula>0</formula>
    </cfRule>
  </conditionalFormatting>
  <conditionalFormatting sqref="F35">
    <cfRule type="cellIs" dxfId="66" priority="7" operator="lessThan">
      <formula>0</formula>
    </cfRule>
  </conditionalFormatting>
  <conditionalFormatting sqref="F37">
    <cfRule type="cellIs" dxfId="65" priority="6" operator="lessThan">
      <formula>0</formula>
    </cfRule>
  </conditionalFormatting>
  <conditionalFormatting sqref="F39">
    <cfRule type="cellIs" dxfId="64" priority="5" operator="lessThan">
      <formula>0</formula>
    </cfRule>
  </conditionalFormatting>
  <conditionalFormatting sqref="F41">
    <cfRule type="cellIs" dxfId="63" priority="4" operator="lessThan">
      <formula>0</formula>
    </cfRule>
  </conditionalFormatting>
  <conditionalFormatting sqref="F43">
    <cfRule type="cellIs" dxfId="62" priority="3" operator="lessThan">
      <formula>0</formula>
    </cfRule>
  </conditionalFormatting>
  <conditionalFormatting sqref="J1:J5 J7 J9 J11 J13 J15 J17 J19 J21 J23 J25 J27 J29 J31 J33 J35 J37 J39 J41 J43 J45 J47 J49 J51 J53 J55 J57 J59 J61 J63 J65 J67 J69 J71 J73 J75 J77 J79 J81 J83 J85 J87:J1048576">
    <cfRule type="cellIs" dxfId="61" priority="25" operator="lessThan">
      <formula>0</formula>
    </cfRule>
  </conditionalFormatting>
  <conditionalFormatting sqref="M1:M5 M7 M9 M11 M13 M15 M17 M19 M21 M23 M25 M27 M29 M31 M33 M35 M37 M39 M41 M43 M45 M87:M1048576 M47 M49 M51 M53 M55 M57 M59 M61 M63 M65 M67 M69 M71 M73 M75 M77 M79 M81 M83 M85">
    <cfRule type="top10" dxfId="60" priority="27" rank="3"/>
  </conditionalFormatting>
  <conditionalFormatting sqref="P4:AT4">
    <cfRule type="expression" dxfId="59" priority="23">
      <formula>WEEKDAY(P4)=7</formula>
    </cfRule>
    <cfRule type="expression" dxfId="58" priority="24">
      <formula>WEEKDAY(P4)=1</formula>
    </cfRule>
  </conditionalFormatting>
  <pageMargins left="0.75" right="0.75" top="1" bottom="1" header="0.5" footer="0.5"/>
  <pageSetup paperSize="8" scale="20"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1D452-7451-4FE9-B9D5-849CABFAA101}">
  <sheetPr>
    <pageSetUpPr fitToPage="1"/>
  </sheetPr>
  <dimension ref="B1:AT88"/>
  <sheetViews>
    <sheetView showGridLines="0" zoomScale="55" zoomScaleNormal="55" workbookViewId="0">
      <pane ySplit="4" topLeftCell="A64" activePane="bottomLeft" state="frozen"/>
      <selection activeCell="R14" sqref="R14"/>
      <selection pane="bottomLeft" activeCell="R14" sqref="R14"/>
    </sheetView>
  </sheetViews>
  <sheetFormatPr defaultRowHeight="17.25" x14ac:dyDescent="0.3"/>
  <cols>
    <col min="1" max="1" width="1.625" style="291" customWidth="1"/>
    <col min="2" max="3" width="17" style="291" bestFit="1" customWidth="1"/>
    <col min="4" max="4" width="19.625" style="291" customWidth="1"/>
    <col min="5" max="5" width="19.625" style="291" bestFit="1" customWidth="1"/>
    <col min="6" max="6" width="17.125" style="291" customWidth="1"/>
    <col min="7" max="7" width="13.125" style="291" bestFit="1" customWidth="1"/>
    <col min="8" max="9" width="13" style="291" customWidth="1"/>
    <col min="10" max="10" width="19" style="291" bestFit="1" customWidth="1"/>
    <col min="11" max="11" width="9" style="291" customWidth="1"/>
    <col min="12" max="13" width="9" style="291" hidden="1" customWidth="1"/>
    <col min="14" max="14" width="11.125" style="292" hidden="1" customWidth="1"/>
    <col min="15" max="15" width="11" style="291" customWidth="1"/>
    <col min="16" max="46" width="9.625" style="291" customWidth="1"/>
    <col min="47" max="16384" width="9" style="291"/>
  </cols>
  <sheetData>
    <row r="1" spans="2:46" ht="11.25" customHeight="1" x14ac:dyDescent="0.3"/>
    <row r="2" spans="2:46" ht="29.25" customHeight="1" x14ac:dyDescent="0.3">
      <c r="B2" s="293" t="s">
        <v>178</v>
      </c>
      <c r="C2" s="294">
        <v>46143</v>
      </c>
      <c r="D2" s="295" t="s">
        <v>179</v>
      </c>
      <c r="E2" s="296">
        <v>46108</v>
      </c>
      <c r="F2" s="297">
        <v>0.48472222222222222</v>
      </c>
      <c r="G2" s="298"/>
      <c r="H2" s="298"/>
      <c r="I2" s="298"/>
      <c r="N2" s="291"/>
    </row>
    <row r="3" spans="2:46" ht="28.5" customHeight="1" x14ac:dyDescent="0.3">
      <c r="B3" s="299" t="s">
        <v>260</v>
      </c>
      <c r="C3" s="299"/>
      <c r="D3" s="299"/>
      <c r="E3" s="299"/>
      <c r="F3" s="299"/>
      <c r="G3" s="299"/>
      <c r="H3" s="299"/>
      <c r="I3" s="299"/>
      <c r="J3" s="299"/>
      <c r="K3" s="299"/>
      <c r="L3" s="299"/>
      <c r="M3" s="299"/>
      <c r="N3" s="299"/>
      <c r="O3" s="299"/>
      <c r="P3" s="300">
        <f>C2</f>
        <v>46143</v>
      </c>
      <c r="Q3" s="300">
        <f t="shared" ref="Q3:AT3" si="0">P3+1</f>
        <v>46144</v>
      </c>
      <c r="R3" s="300">
        <f t="shared" si="0"/>
        <v>46145</v>
      </c>
      <c r="S3" s="300">
        <f t="shared" si="0"/>
        <v>46146</v>
      </c>
      <c r="T3" s="300">
        <f t="shared" si="0"/>
        <v>46147</v>
      </c>
      <c r="U3" s="300">
        <f t="shared" si="0"/>
        <v>46148</v>
      </c>
      <c r="V3" s="300">
        <f t="shared" si="0"/>
        <v>46149</v>
      </c>
      <c r="W3" s="300">
        <f t="shared" si="0"/>
        <v>46150</v>
      </c>
      <c r="X3" s="300">
        <f t="shared" si="0"/>
        <v>46151</v>
      </c>
      <c r="Y3" s="300">
        <f t="shared" si="0"/>
        <v>46152</v>
      </c>
      <c r="Z3" s="300">
        <f t="shared" si="0"/>
        <v>46153</v>
      </c>
      <c r="AA3" s="300">
        <f t="shared" si="0"/>
        <v>46154</v>
      </c>
      <c r="AB3" s="300">
        <f t="shared" si="0"/>
        <v>46155</v>
      </c>
      <c r="AC3" s="300">
        <f t="shared" si="0"/>
        <v>46156</v>
      </c>
      <c r="AD3" s="300">
        <f t="shared" si="0"/>
        <v>46157</v>
      </c>
      <c r="AE3" s="300">
        <f t="shared" si="0"/>
        <v>46158</v>
      </c>
      <c r="AF3" s="300">
        <f t="shared" si="0"/>
        <v>46159</v>
      </c>
      <c r="AG3" s="300">
        <f t="shared" si="0"/>
        <v>46160</v>
      </c>
      <c r="AH3" s="300">
        <f t="shared" si="0"/>
        <v>46161</v>
      </c>
      <c r="AI3" s="300">
        <f t="shared" si="0"/>
        <v>46162</v>
      </c>
      <c r="AJ3" s="300">
        <f t="shared" si="0"/>
        <v>46163</v>
      </c>
      <c r="AK3" s="300">
        <f t="shared" si="0"/>
        <v>46164</v>
      </c>
      <c r="AL3" s="300">
        <f t="shared" si="0"/>
        <v>46165</v>
      </c>
      <c r="AM3" s="300">
        <f t="shared" si="0"/>
        <v>46166</v>
      </c>
      <c r="AN3" s="300">
        <f t="shared" si="0"/>
        <v>46167</v>
      </c>
      <c r="AO3" s="300">
        <f t="shared" si="0"/>
        <v>46168</v>
      </c>
      <c r="AP3" s="300">
        <f t="shared" si="0"/>
        <v>46169</v>
      </c>
      <c r="AQ3" s="300">
        <f t="shared" si="0"/>
        <v>46170</v>
      </c>
      <c r="AR3" s="300">
        <f t="shared" si="0"/>
        <v>46171</v>
      </c>
      <c r="AS3" s="300">
        <f t="shared" si="0"/>
        <v>46172</v>
      </c>
      <c r="AT3" s="300">
        <f t="shared" si="0"/>
        <v>46173</v>
      </c>
    </row>
    <row r="4" spans="2:46" ht="36" customHeight="1" x14ac:dyDescent="0.3">
      <c r="B4" s="301" t="s">
        <v>173</v>
      </c>
      <c r="C4" s="301" t="s">
        <v>181</v>
      </c>
      <c r="D4" s="301" t="s">
        <v>182</v>
      </c>
      <c r="E4" s="302" t="s">
        <v>261</v>
      </c>
      <c r="F4" s="301" t="s">
        <v>269</v>
      </c>
      <c r="G4" s="301" t="s">
        <v>259</v>
      </c>
      <c r="H4" s="301" t="s">
        <v>267</v>
      </c>
      <c r="I4" s="301" t="s">
        <v>318</v>
      </c>
      <c r="J4" s="302" t="s">
        <v>322</v>
      </c>
      <c r="K4" s="301" t="s">
        <v>258</v>
      </c>
      <c r="L4" s="301" t="s">
        <v>256</v>
      </c>
      <c r="M4" s="301" t="s">
        <v>255</v>
      </c>
      <c r="N4" s="301" t="s">
        <v>263</v>
      </c>
      <c r="O4" s="301" t="s">
        <v>268</v>
      </c>
      <c r="P4" s="304">
        <f t="shared" ref="P4:AT4" si="1">P3</f>
        <v>46143</v>
      </c>
      <c r="Q4" s="304">
        <f t="shared" si="1"/>
        <v>46144</v>
      </c>
      <c r="R4" s="304">
        <f t="shared" si="1"/>
        <v>46145</v>
      </c>
      <c r="S4" s="304">
        <f t="shared" si="1"/>
        <v>46146</v>
      </c>
      <c r="T4" s="304">
        <f t="shared" si="1"/>
        <v>46147</v>
      </c>
      <c r="U4" s="304">
        <f t="shared" si="1"/>
        <v>46148</v>
      </c>
      <c r="V4" s="304">
        <f t="shared" si="1"/>
        <v>46149</v>
      </c>
      <c r="W4" s="304">
        <f t="shared" si="1"/>
        <v>46150</v>
      </c>
      <c r="X4" s="304">
        <f t="shared" si="1"/>
        <v>46151</v>
      </c>
      <c r="Y4" s="304">
        <f t="shared" si="1"/>
        <v>46152</v>
      </c>
      <c r="Z4" s="304">
        <f t="shared" si="1"/>
        <v>46153</v>
      </c>
      <c r="AA4" s="304">
        <f t="shared" si="1"/>
        <v>46154</v>
      </c>
      <c r="AB4" s="304">
        <f t="shared" si="1"/>
        <v>46155</v>
      </c>
      <c r="AC4" s="304">
        <f t="shared" si="1"/>
        <v>46156</v>
      </c>
      <c r="AD4" s="304">
        <f t="shared" si="1"/>
        <v>46157</v>
      </c>
      <c r="AE4" s="304">
        <f t="shared" si="1"/>
        <v>46158</v>
      </c>
      <c r="AF4" s="304">
        <f t="shared" si="1"/>
        <v>46159</v>
      </c>
      <c r="AG4" s="304">
        <f t="shared" si="1"/>
        <v>46160</v>
      </c>
      <c r="AH4" s="304">
        <f t="shared" si="1"/>
        <v>46161</v>
      </c>
      <c r="AI4" s="304">
        <f t="shared" si="1"/>
        <v>46162</v>
      </c>
      <c r="AJ4" s="304">
        <f t="shared" si="1"/>
        <v>46163</v>
      </c>
      <c r="AK4" s="304">
        <f t="shared" si="1"/>
        <v>46164</v>
      </c>
      <c r="AL4" s="304">
        <f t="shared" si="1"/>
        <v>46165</v>
      </c>
      <c r="AM4" s="304">
        <f t="shared" si="1"/>
        <v>46166</v>
      </c>
      <c r="AN4" s="304">
        <f t="shared" si="1"/>
        <v>46167</v>
      </c>
      <c r="AO4" s="304">
        <f t="shared" si="1"/>
        <v>46168</v>
      </c>
      <c r="AP4" s="304">
        <f t="shared" si="1"/>
        <v>46169</v>
      </c>
      <c r="AQ4" s="304">
        <f t="shared" si="1"/>
        <v>46170</v>
      </c>
      <c r="AR4" s="304">
        <f t="shared" si="1"/>
        <v>46171</v>
      </c>
      <c r="AS4" s="304">
        <f t="shared" si="1"/>
        <v>46172</v>
      </c>
      <c r="AT4" s="304">
        <f t="shared" si="1"/>
        <v>46173</v>
      </c>
    </row>
    <row r="5" spans="2:46" ht="32.1" customHeight="1" x14ac:dyDescent="0.3">
      <c r="B5" s="444" t="s">
        <v>33</v>
      </c>
      <c r="C5" s="444" t="s">
        <v>185</v>
      </c>
      <c r="D5" s="444" t="s">
        <v>250</v>
      </c>
      <c r="E5" s="438">
        <f>ABS(SUMIFS('Fixture 총 발주수량'!Z:Z,'Fixture 총 발주수량'!B:B,'후공정(애칭)생산계획'!B5,'Fixture 총 발주수량'!Z:Z,"&lt;0"))</f>
        <v>534</v>
      </c>
      <c r="F5" s="437">
        <f>G5-E5</f>
        <v>-534</v>
      </c>
      <c r="G5" s="437">
        <f>SUMIF(P5:AT5, "&gt;0")</f>
        <v>0</v>
      </c>
      <c r="H5" s="437">
        <f>SUMIF(P6:AT6, "&gt;0")</f>
        <v>0</v>
      </c>
      <c r="I5" s="442">
        <f>IFERROR(H5/G5,)</f>
        <v>0</v>
      </c>
      <c r="J5" s="437">
        <f ca="1">IFERROR(SUMIF('Fixture 총 발주수량'!B:AG,'후공정(애칭)생산계획'!B5,'Fixture 총 발주수량'!AA:AA),)</f>
        <v>0</v>
      </c>
      <c r="K5" s="438">
        <f>ROUNDUP(E5/2000,)</f>
        <v>1</v>
      </c>
      <c r="L5" s="438">
        <f>N5</f>
        <v>1</v>
      </c>
      <c r="M5" s="438">
        <f>L5+K5</f>
        <v>2</v>
      </c>
      <c r="N5" s="438">
        <f>K5</f>
        <v>1</v>
      </c>
      <c r="O5" s="306" t="s">
        <v>265</v>
      </c>
      <c r="P5" s="322"/>
      <c r="Q5" s="308"/>
      <c r="R5" s="308"/>
      <c r="S5" s="308"/>
      <c r="T5" s="308"/>
      <c r="U5" s="308"/>
      <c r="V5" s="308"/>
      <c r="W5" s="308"/>
      <c r="X5" s="308"/>
      <c r="Y5" s="308"/>
      <c r="Z5" s="308"/>
      <c r="AA5" s="308"/>
      <c r="AB5" s="308"/>
      <c r="AC5" s="308"/>
      <c r="AD5" s="308"/>
      <c r="AE5" s="308"/>
      <c r="AF5" s="308"/>
      <c r="AG5" s="308"/>
      <c r="AH5" s="308"/>
      <c r="AI5" s="308"/>
      <c r="AJ5" s="308"/>
      <c r="AK5" s="308"/>
      <c r="AL5" s="308"/>
      <c r="AM5" s="308"/>
      <c r="AN5" s="308"/>
      <c r="AO5" s="308"/>
      <c r="AP5" s="308"/>
      <c r="AQ5" s="308"/>
      <c r="AR5" s="308"/>
      <c r="AS5" s="308"/>
      <c r="AT5" s="309"/>
    </row>
    <row r="6" spans="2:46" ht="32.1" customHeight="1" x14ac:dyDescent="0.3">
      <c r="B6" s="445"/>
      <c r="C6" s="445"/>
      <c r="D6" s="445"/>
      <c r="E6" s="439"/>
      <c r="F6" s="436"/>
      <c r="G6" s="436"/>
      <c r="H6" s="436"/>
      <c r="I6" s="443"/>
      <c r="J6" s="436"/>
      <c r="K6" s="439"/>
      <c r="L6" s="439"/>
      <c r="M6" s="439"/>
      <c r="N6" s="439"/>
      <c r="O6" s="306" t="s">
        <v>267</v>
      </c>
      <c r="P6" s="323" cm="1">
        <f t="array" ref="P6">INDEX('생산수량Back-Data'!$B$5:$AAA$10041,
       MATCH($B5,'생산수량Back-Data'!$B$5:$B$10041,0)+2,
       MATCH(P$3,'생산수량Back-Data'!$B$3:$AAA$3,0))</f>
        <v>0</v>
      </c>
      <c r="Q6" s="310" cm="1">
        <f t="array" ref="Q6">INDEX('생산수량Back-Data'!$B$5:$AAA$10041,
       MATCH($B5,'생산수량Back-Data'!$B$5:$B$10041,0)+2,
       MATCH(Q$3,'생산수량Back-Data'!$B$3:$AAA$3,0))</f>
        <v>0</v>
      </c>
      <c r="R6" s="310" cm="1">
        <f t="array" ref="R6">INDEX('생산수량Back-Data'!$B$5:$AAA$10041,
       MATCH($B5,'생산수량Back-Data'!$B$5:$B$10041,0)+2,
       MATCH(R$3,'생산수량Back-Data'!$B$3:$AAA$3,0))</f>
        <v>0</v>
      </c>
      <c r="S6" s="310" cm="1">
        <f t="array" ref="S6">INDEX('생산수량Back-Data'!$B$5:$AAA$10041,
       MATCH($B5,'생산수량Back-Data'!$B$5:$B$10041,0)+2,
       MATCH(S$3,'생산수량Back-Data'!$B$3:$AAA$3,0))</f>
        <v>0</v>
      </c>
      <c r="T6" s="310" cm="1">
        <f t="array" ref="T6">INDEX('생산수량Back-Data'!$B$5:$AAA$10041,
       MATCH($B5,'생산수량Back-Data'!$B$5:$B$10041,0)+2,
       MATCH(T$3,'생산수량Back-Data'!$B$3:$AAA$3,0))</f>
        <v>0</v>
      </c>
      <c r="U6" s="310" cm="1">
        <f t="array" ref="U6">INDEX('생산수량Back-Data'!$B$5:$AAA$10041,
       MATCH($B5,'생산수량Back-Data'!$B$5:$B$10041,0)+2,
       MATCH(U$3,'생산수량Back-Data'!$B$3:$AAA$3,0))</f>
        <v>0</v>
      </c>
      <c r="V6" s="310" cm="1">
        <f t="array" ref="V6">INDEX('생산수량Back-Data'!$B$5:$AAA$10041,
       MATCH($B5,'생산수량Back-Data'!$B$5:$B$10041,0)+2,
       MATCH(V$3,'생산수량Back-Data'!$B$3:$AAA$3,0))</f>
        <v>0</v>
      </c>
      <c r="W6" s="310" cm="1">
        <f t="array" ref="W6">INDEX('생산수량Back-Data'!$B$5:$AAA$10041,
       MATCH($B5,'생산수량Back-Data'!$B$5:$B$10041,0)+2,
       MATCH(W$3,'생산수량Back-Data'!$B$3:$AAA$3,0))</f>
        <v>0</v>
      </c>
      <c r="X6" s="310" cm="1">
        <f t="array" ref="X6">INDEX('생산수량Back-Data'!$B$5:$AAA$10041,
       MATCH($B5,'생산수량Back-Data'!$B$5:$B$10041,0)+2,
       MATCH(X$3,'생산수량Back-Data'!$B$3:$AAA$3,0))</f>
        <v>0</v>
      </c>
      <c r="Y6" s="310" cm="1">
        <f t="array" ref="Y6">INDEX('생산수량Back-Data'!$B$5:$AAA$10041,
       MATCH($B5,'생산수량Back-Data'!$B$5:$B$10041,0)+2,
       MATCH(Y$3,'생산수량Back-Data'!$B$3:$AAA$3,0))</f>
        <v>0</v>
      </c>
      <c r="Z6" s="310" cm="1">
        <f t="array" ref="Z6">INDEX('생산수량Back-Data'!$B$5:$AAA$10041,
       MATCH($B5,'생산수량Back-Data'!$B$5:$B$10041,0)+2,
       MATCH(Z$3,'생산수량Back-Data'!$B$3:$AAA$3,0))</f>
        <v>0</v>
      </c>
      <c r="AA6" s="310" cm="1">
        <f t="array" ref="AA6">INDEX('생산수량Back-Data'!$B$5:$AAA$10041,
       MATCH($B5,'생산수량Back-Data'!$B$5:$B$10041,0)+2,
       MATCH(AA$3,'생산수량Back-Data'!$B$3:$AAA$3,0))</f>
        <v>0</v>
      </c>
      <c r="AB6" s="310" cm="1">
        <f t="array" ref="AB6">INDEX('생산수량Back-Data'!$B$5:$AAA$10041,
       MATCH($B5,'생산수량Back-Data'!$B$5:$B$10041,0)+2,
       MATCH(AB$3,'생산수량Back-Data'!$B$3:$AAA$3,0))</f>
        <v>0</v>
      </c>
      <c r="AC6" s="310" cm="1">
        <f t="array" ref="AC6">INDEX('생산수량Back-Data'!$B$5:$AAA$10041,
       MATCH($B5,'생산수량Back-Data'!$B$5:$B$10041,0)+2,
       MATCH(AC$3,'생산수량Back-Data'!$B$3:$AAA$3,0))</f>
        <v>0</v>
      </c>
      <c r="AD6" s="310" cm="1">
        <f t="array" ref="AD6">INDEX('생산수량Back-Data'!$B$5:$AAA$10041,
       MATCH($B5,'생산수량Back-Data'!$B$5:$B$10041,0)+2,
       MATCH(AD$3,'생산수량Back-Data'!$B$3:$AAA$3,0))</f>
        <v>0</v>
      </c>
      <c r="AE6" s="310" cm="1">
        <f t="array" ref="AE6">INDEX('생산수량Back-Data'!$B$5:$AAA$10041,
       MATCH($B5,'생산수량Back-Data'!$B$5:$B$10041,0)+2,
       MATCH(AE$3,'생산수량Back-Data'!$B$3:$AAA$3,0))</f>
        <v>0</v>
      </c>
      <c r="AF6" s="310" cm="1">
        <f t="array" ref="AF6">INDEX('생산수량Back-Data'!$B$5:$AAA$10041,
       MATCH($B5,'생산수량Back-Data'!$B$5:$B$10041,0)+2,
       MATCH(AF$3,'생산수량Back-Data'!$B$3:$AAA$3,0))</f>
        <v>0</v>
      </c>
      <c r="AG6" s="310" cm="1">
        <f t="array" ref="AG6">INDEX('생산수량Back-Data'!$B$5:$AAA$10041,
       MATCH($B5,'생산수량Back-Data'!$B$5:$B$10041,0)+2,
       MATCH(AG$3,'생산수량Back-Data'!$B$3:$AAA$3,0))</f>
        <v>0</v>
      </c>
      <c r="AH6" s="310" cm="1">
        <f t="array" ref="AH6">INDEX('생산수량Back-Data'!$B$5:$AAA$10041,
       MATCH($B5,'생산수량Back-Data'!$B$5:$B$10041,0)+2,
       MATCH(AH$3,'생산수량Back-Data'!$B$3:$AAA$3,0))</f>
        <v>0</v>
      </c>
      <c r="AI6" s="310" cm="1">
        <f t="array" ref="AI6">INDEX('생산수량Back-Data'!$B$5:$AAA$10041,
       MATCH($B5,'생산수량Back-Data'!$B$5:$B$10041,0)+2,
       MATCH(AI$3,'생산수량Back-Data'!$B$3:$AAA$3,0))</f>
        <v>0</v>
      </c>
      <c r="AJ6" s="310" cm="1">
        <f t="array" ref="AJ6">INDEX('생산수량Back-Data'!$B$5:$AAA$10041,
       MATCH($B5,'생산수량Back-Data'!$B$5:$B$10041,0)+2,
       MATCH(AJ$3,'생산수량Back-Data'!$B$3:$AAA$3,0))</f>
        <v>0</v>
      </c>
      <c r="AK6" s="310" cm="1">
        <f t="array" ref="AK6">INDEX('생산수량Back-Data'!$B$5:$AAA$10041,
       MATCH($B5,'생산수량Back-Data'!$B$5:$B$10041,0)+2,
       MATCH(AK$3,'생산수량Back-Data'!$B$3:$AAA$3,0))</f>
        <v>0</v>
      </c>
      <c r="AL6" s="310" cm="1">
        <f t="array" ref="AL6">INDEX('생산수량Back-Data'!$B$5:$AAA$10041,
       MATCH($B5,'생산수량Back-Data'!$B$5:$B$10041,0)+2,
       MATCH(AL$3,'생산수량Back-Data'!$B$3:$AAA$3,0))</f>
        <v>0</v>
      </c>
      <c r="AM6" s="310" cm="1">
        <f t="array" ref="AM6">INDEX('생산수량Back-Data'!$B$5:$AAA$10041,
       MATCH($B5,'생산수량Back-Data'!$B$5:$B$10041,0)+2,
       MATCH(AM$3,'생산수량Back-Data'!$B$3:$AAA$3,0))</f>
        <v>0</v>
      </c>
      <c r="AN6" s="310" cm="1">
        <f t="array" ref="AN6">INDEX('생산수량Back-Data'!$B$5:$AAA$10041,
       MATCH($B5,'생산수량Back-Data'!$B$5:$B$10041,0)+2,
       MATCH(AN$3,'생산수량Back-Data'!$B$3:$AAA$3,0))</f>
        <v>0</v>
      </c>
      <c r="AO6" s="310" cm="1">
        <f t="array" ref="AO6">INDEX('생산수량Back-Data'!$B$5:$AAA$10041,
       MATCH($B5,'생산수량Back-Data'!$B$5:$B$10041,0)+2,
       MATCH(AO$3,'생산수량Back-Data'!$B$3:$AAA$3,0))</f>
        <v>0</v>
      </c>
      <c r="AP6" s="310" cm="1">
        <f t="array" ref="AP6">INDEX('생산수량Back-Data'!$B$5:$AAA$10041,
       MATCH($B5,'생산수량Back-Data'!$B$5:$B$10041,0)+2,
       MATCH(AP$3,'생산수량Back-Data'!$B$3:$AAA$3,0))</f>
        <v>0</v>
      </c>
      <c r="AQ6" s="310" cm="1">
        <f t="array" ref="AQ6">INDEX('생산수량Back-Data'!$B$5:$AAA$10041,
       MATCH($B5,'생산수량Back-Data'!$B$5:$B$10041,0)+2,
       MATCH(AQ$3,'생산수량Back-Data'!$B$3:$AAA$3,0))</f>
        <v>0</v>
      </c>
      <c r="AR6" s="310" cm="1">
        <f t="array" ref="AR6">INDEX('생산수량Back-Data'!$B$5:$AAA$10041,
       MATCH($B5,'생산수량Back-Data'!$B$5:$B$10041,0)+2,
       MATCH(AR$3,'생산수량Back-Data'!$B$3:$AAA$3,0))</f>
        <v>0</v>
      </c>
      <c r="AS6" s="310" cm="1">
        <f t="array" ref="AS6">INDEX('생산수량Back-Data'!$B$5:$AAA$10041,
       MATCH($B5,'생산수량Back-Data'!$B$5:$B$10041,0)+2,
       MATCH(AS$3,'생산수량Back-Data'!$B$3:$AAA$3,0))</f>
        <v>0</v>
      </c>
      <c r="AT6" s="324" cm="1">
        <f t="array" ref="AT6">INDEX('생산수량Back-Data'!$B$5:$AAA$10041,
       MATCH($B5,'생산수량Back-Data'!$B$5:$B$10041,0)+2,
       MATCH(AT$3,'생산수량Back-Data'!$B$3:$AAA$3,0))</f>
        <v>0</v>
      </c>
    </row>
    <row r="7" spans="2:46" ht="32.1" customHeight="1" x14ac:dyDescent="0.3">
      <c r="B7" s="444" t="s">
        <v>35</v>
      </c>
      <c r="C7" s="444" t="s">
        <v>185</v>
      </c>
      <c r="D7" s="444" t="s">
        <v>186</v>
      </c>
      <c r="E7" s="438">
        <f>ABS(SUMIFS('Fixture 총 발주수량'!Z:Z,'Fixture 총 발주수량'!B:B,'후공정(애칭)생산계획'!B7,'Fixture 총 발주수량'!Z:Z,"&lt;0"))</f>
        <v>2038</v>
      </c>
      <c r="F7" s="437">
        <f>G7-E7</f>
        <v>-2038</v>
      </c>
      <c r="G7" s="437">
        <f>SUMIF(P7:AT7, "&gt;0")</f>
        <v>0</v>
      </c>
      <c r="H7" s="437">
        <f>SUMIF(P8:AT8, "&gt;0")</f>
        <v>0</v>
      </c>
      <c r="I7" s="442">
        <f>IFERROR(H7/G7,)</f>
        <v>0</v>
      </c>
      <c r="J7" s="437">
        <f ca="1">IFERROR(SUMIF('Fixture 총 발주수량'!B:AG,'후공정(애칭)생산계획'!B7,'Fixture 총 발주수량'!AA:AA),)</f>
        <v>1809</v>
      </c>
      <c r="K7" s="438">
        <f>ROUNDUP(E7/2000,)</f>
        <v>2</v>
      </c>
      <c r="L7" s="438">
        <f>L5+K7</f>
        <v>3</v>
      </c>
      <c r="M7" s="438">
        <f>L7+K7</f>
        <v>5</v>
      </c>
      <c r="N7" s="438">
        <f>N5+K7</f>
        <v>3</v>
      </c>
      <c r="O7" s="306" t="s">
        <v>264</v>
      </c>
      <c r="P7" s="325"/>
      <c r="Q7" s="312"/>
      <c r="R7" s="312"/>
      <c r="S7" s="312"/>
      <c r="T7" s="312"/>
      <c r="U7" s="312"/>
      <c r="V7" s="312"/>
      <c r="W7" s="312"/>
      <c r="X7" s="312"/>
      <c r="Y7" s="312"/>
      <c r="Z7" s="312"/>
      <c r="AA7" s="312"/>
      <c r="AB7" s="312"/>
      <c r="AC7" s="312"/>
      <c r="AD7" s="312"/>
      <c r="AE7" s="312"/>
      <c r="AF7" s="312"/>
      <c r="AG7" s="312"/>
      <c r="AH7" s="312"/>
      <c r="AI7" s="312"/>
      <c r="AJ7" s="312"/>
      <c r="AK7" s="312"/>
      <c r="AL7" s="312"/>
      <c r="AM7" s="312"/>
      <c r="AN7" s="312"/>
      <c r="AO7" s="312"/>
      <c r="AP7" s="312"/>
      <c r="AQ7" s="312"/>
      <c r="AR7" s="312"/>
      <c r="AS7" s="312"/>
      <c r="AT7" s="313"/>
    </row>
    <row r="8" spans="2:46" ht="32.1" customHeight="1" x14ac:dyDescent="0.3">
      <c r="B8" s="445"/>
      <c r="C8" s="445"/>
      <c r="D8" s="445"/>
      <c r="E8" s="439"/>
      <c r="F8" s="436"/>
      <c r="G8" s="436"/>
      <c r="H8" s="436"/>
      <c r="I8" s="443"/>
      <c r="J8" s="436"/>
      <c r="K8" s="439"/>
      <c r="L8" s="439"/>
      <c r="M8" s="439"/>
      <c r="N8" s="439"/>
      <c r="O8" s="306" t="s">
        <v>266</v>
      </c>
      <c r="P8" s="323" cm="1">
        <f t="array" ref="P8">INDEX('생산수량Back-Data'!$B$5:$AAA$10041,
       MATCH($B7,'생산수량Back-Data'!$B$5:$B$10041,0)+2,
       MATCH(P$3,'생산수량Back-Data'!$B$3:$AAA$3,0))</f>
        <v>0</v>
      </c>
      <c r="Q8" s="310" cm="1">
        <f t="array" ref="Q8">INDEX('생산수량Back-Data'!$B$5:$AAA$10041,
       MATCH($B7,'생산수량Back-Data'!$B$5:$B$10041,0)+2,
       MATCH(Q$3,'생산수량Back-Data'!$B$3:$AAA$3,0))</f>
        <v>0</v>
      </c>
      <c r="R8" s="310" cm="1">
        <f t="array" ref="R8">INDEX('생산수량Back-Data'!$B$5:$AAA$10041,
       MATCH($B7,'생산수량Back-Data'!$B$5:$B$10041,0)+2,
       MATCH(R$3,'생산수량Back-Data'!$B$3:$AAA$3,0))</f>
        <v>0</v>
      </c>
      <c r="S8" s="310" cm="1">
        <f t="array" ref="S8">INDEX('생산수량Back-Data'!$B$5:$AAA$10041,
       MATCH($B7,'생산수량Back-Data'!$B$5:$B$10041,0)+2,
       MATCH(S$3,'생산수량Back-Data'!$B$3:$AAA$3,0))</f>
        <v>0</v>
      </c>
      <c r="T8" s="310" cm="1">
        <f t="array" ref="T8">INDEX('생산수량Back-Data'!$B$5:$AAA$10041,
       MATCH($B7,'생산수량Back-Data'!$B$5:$B$10041,0)+2,
       MATCH(T$3,'생산수량Back-Data'!$B$3:$AAA$3,0))</f>
        <v>0</v>
      </c>
      <c r="U8" s="310" cm="1">
        <f t="array" ref="U8">INDEX('생산수량Back-Data'!$B$5:$AAA$10041,
       MATCH($B7,'생산수량Back-Data'!$B$5:$B$10041,0)+2,
       MATCH(U$3,'생산수량Back-Data'!$B$3:$AAA$3,0))</f>
        <v>0</v>
      </c>
      <c r="V8" s="310" cm="1">
        <f t="array" ref="V8">INDEX('생산수량Back-Data'!$B$5:$AAA$10041,
       MATCH($B7,'생산수량Back-Data'!$B$5:$B$10041,0)+2,
       MATCH(V$3,'생산수량Back-Data'!$B$3:$AAA$3,0))</f>
        <v>0</v>
      </c>
      <c r="W8" s="310" cm="1">
        <f t="array" ref="W8">INDEX('생산수량Back-Data'!$B$5:$AAA$10041,
       MATCH($B7,'생산수량Back-Data'!$B$5:$B$10041,0)+2,
       MATCH(W$3,'생산수량Back-Data'!$B$3:$AAA$3,0))</f>
        <v>0</v>
      </c>
      <c r="X8" s="310" cm="1">
        <f t="array" ref="X8">INDEX('생산수량Back-Data'!$B$5:$AAA$10041,
       MATCH($B7,'생산수량Back-Data'!$B$5:$B$10041,0)+2,
       MATCH(X$3,'생산수량Back-Data'!$B$3:$AAA$3,0))</f>
        <v>0</v>
      </c>
      <c r="Y8" s="310" cm="1">
        <f t="array" ref="Y8">INDEX('생산수량Back-Data'!$B$5:$AAA$10041,
       MATCH($B7,'생산수량Back-Data'!$B$5:$B$10041,0)+2,
       MATCH(Y$3,'생산수량Back-Data'!$B$3:$AAA$3,0))</f>
        <v>0</v>
      </c>
      <c r="Z8" s="310" cm="1">
        <f t="array" ref="Z8">INDEX('생산수량Back-Data'!$B$5:$AAA$10041,
       MATCH($B7,'생산수량Back-Data'!$B$5:$B$10041,0)+2,
       MATCH(Z$3,'생산수량Back-Data'!$B$3:$AAA$3,0))</f>
        <v>0</v>
      </c>
      <c r="AA8" s="310" cm="1">
        <f t="array" ref="AA8">INDEX('생산수량Back-Data'!$B$5:$AAA$10041,
       MATCH($B7,'생산수량Back-Data'!$B$5:$B$10041,0)+2,
       MATCH(AA$3,'생산수량Back-Data'!$B$3:$AAA$3,0))</f>
        <v>0</v>
      </c>
      <c r="AB8" s="310" cm="1">
        <f t="array" ref="AB8">INDEX('생산수량Back-Data'!$B$5:$AAA$10041,
       MATCH($B7,'생산수량Back-Data'!$B$5:$B$10041,0)+2,
       MATCH(AB$3,'생산수량Back-Data'!$B$3:$AAA$3,0))</f>
        <v>0</v>
      </c>
      <c r="AC8" s="310" cm="1">
        <f t="array" ref="AC8">INDEX('생산수량Back-Data'!$B$5:$AAA$10041,
       MATCH($B7,'생산수량Back-Data'!$B$5:$B$10041,0)+2,
       MATCH(AC$3,'생산수량Back-Data'!$B$3:$AAA$3,0))</f>
        <v>0</v>
      </c>
      <c r="AD8" s="310" cm="1">
        <f t="array" ref="AD8">INDEX('생산수량Back-Data'!$B$5:$AAA$10041,
       MATCH($B7,'생산수량Back-Data'!$B$5:$B$10041,0)+2,
       MATCH(AD$3,'생산수량Back-Data'!$B$3:$AAA$3,0))</f>
        <v>0</v>
      </c>
      <c r="AE8" s="310" cm="1">
        <f t="array" ref="AE8">INDEX('생산수량Back-Data'!$B$5:$AAA$10041,
       MATCH($B7,'생산수량Back-Data'!$B$5:$B$10041,0)+2,
       MATCH(AE$3,'생산수량Back-Data'!$B$3:$AAA$3,0))</f>
        <v>0</v>
      </c>
      <c r="AF8" s="310" cm="1">
        <f t="array" ref="AF8">INDEX('생산수량Back-Data'!$B$5:$AAA$10041,
       MATCH($B7,'생산수량Back-Data'!$B$5:$B$10041,0)+2,
       MATCH(AF$3,'생산수량Back-Data'!$B$3:$AAA$3,0))</f>
        <v>0</v>
      </c>
      <c r="AG8" s="310" cm="1">
        <f t="array" ref="AG8">INDEX('생산수량Back-Data'!$B$5:$AAA$10041,
       MATCH($B7,'생산수량Back-Data'!$B$5:$B$10041,0)+2,
       MATCH(AG$3,'생산수량Back-Data'!$B$3:$AAA$3,0))</f>
        <v>0</v>
      </c>
      <c r="AH8" s="310" cm="1">
        <f t="array" ref="AH8">INDEX('생산수량Back-Data'!$B$5:$AAA$10041,
       MATCH($B7,'생산수량Back-Data'!$B$5:$B$10041,0)+2,
       MATCH(AH$3,'생산수량Back-Data'!$B$3:$AAA$3,0))</f>
        <v>0</v>
      </c>
      <c r="AI8" s="310" cm="1">
        <f t="array" ref="AI8">INDEX('생산수량Back-Data'!$B$5:$AAA$10041,
       MATCH($B7,'생산수량Back-Data'!$B$5:$B$10041,0)+2,
       MATCH(AI$3,'생산수량Back-Data'!$B$3:$AAA$3,0))</f>
        <v>0</v>
      </c>
      <c r="AJ8" s="310" cm="1">
        <f t="array" ref="AJ8">INDEX('생산수량Back-Data'!$B$5:$AAA$10041,
       MATCH($B7,'생산수량Back-Data'!$B$5:$B$10041,0)+2,
       MATCH(AJ$3,'생산수량Back-Data'!$B$3:$AAA$3,0))</f>
        <v>0</v>
      </c>
      <c r="AK8" s="310" cm="1">
        <f t="array" ref="AK8">INDEX('생산수량Back-Data'!$B$5:$AAA$10041,
       MATCH($B7,'생산수량Back-Data'!$B$5:$B$10041,0)+2,
       MATCH(AK$3,'생산수량Back-Data'!$B$3:$AAA$3,0))</f>
        <v>0</v>
      </c>
      <c r="AL8" s="310" cm="1">
        <f t="array" ref="AL8">INDEX('생산수량Back-Data'!$B$5:$AAA$10041,
       MATCH($B7,'생산수량Back-Data'!$B$5:$B$10041,0)+2,
       MATCH(AL$3,'생산수량Back-Data'!$B$3:$AAA$3,0))</f>
        <v>0</v>
      </c>
      <c r="AM8" s="310" cm="1">
        <f t="array" ref="AM8">INDEX('생산수량Back-Data'!$B$5:$AAA$10041,
       MATCH($B7,'생산수량Back-Data'!$B$5:$B$10041,0)+2,
       MATCH(AM$3,'생산수량Back-Data'!$B$3:$AAA$3,0))</f>
        <v>0</v>
      </c>
      <c r="AN8" s="310" cm="1">
        <f t="array" ref="AN8">INDEX('생산수량Back-Data'!$B$5:$AAA$10041,
       MATCH($B7,'생산수량Back-Data'!$B$5:$B$10041,0)+2,
       MATCH(AN$3,'생산수량Back-Data'!$B$3:$AAA$3,0))</f>
        <v>0</v>
      </c>
      <c r="AO8" s="310" cm="1">
        <f t="array" ref="AO8">INDEX('생산수량Back-Data'!$B$5:$AAA$10041,
       MATCH($B7,'생산수량Back-Data'!$B$5:$B$10041,0)+2,
       MATCH(AO$3,'생산수량Back-Data'!$B$3:$AAA$3,0))</f>
        <v>0</v>
      </c>
      <c r="AP8" s="310" cm="1">
        <f t="array" ref="AP8">INDEX('생산수량Back-Data'!$B$5:$AAA$10041,
       MATCH($B7,'생산수량Back-Data'!$B$5:$B$10041,0)+2,
       MATCH(AP$3,'생산수량Back-Data'!$B$3:$AAA$3,0))</f>
        <v>0</v>
      </c>
      <c r="AQ8" s="310" cm="1">
        <f t="array" ref="AQ8">INDEX('생산수량Back-Data'!$B$5:$AAA$10041,
       MATCH($B7,'생산수량Back-Data'!$B$5:$B$10041,0)+2,
       MATCH(AQ$3,'생산수량Back-Data'!$B$3:$AAA$3,0))</f>
        <v>0</v>
      </c>
      <c r="AR8" s="310" cm="1">
        <f t="array" ref="AR8">INDEX('생산수량Back-Data'!$B$5:$AAA$10041,
       MATCH($B7,'생산수량Back-Data'!$B$5:$B$10041,0)+2,
       MATCH(AR$3,'생산수량Back-Data'!$B$3:$AAA$3,0))</f>
        <v>0</v>
      </c>
      <c r="AS8" s="310" cm="1">
        <f t="array" ref="AS8">INDEX('생산수량Back-Data'!$B$5:$AAA$10041,
       MATCH($B7,'생산수량Back-Data'!$B$5:$B$10041,0)+2,
       MATCH(AS$3,'생산수량Back-Data'!$B$3:$AAA$3,0))</f>
        <v>0</v>
      </c>
      <c r="AT8" s="324" cm="1">
        <f t="array" ref="AT8">INDEX('생산수량Back-Data'!$B$5:$AAA$10041,
       MATCH($B7,'생산수량Back-Data'!$B$5:$B$10041,0)+2,
       MATCH(AT$3,'생산수량Back-Data'!$B$3:$AAA$3,0))</f>
        <v>0</v>
      </c>
    </row>
    <row r="9" spans="2:46" ht="32.1" customHeight="1" x14ac:dyDescent="0.3">
      <c r="B9" s="444" t="s">
        <v>37</v>
      </c>
      <c r="C9" s="444" t="s">
        <v>185</v>
      </c>
      <c r="D9" s="444" t="s">
        <v>187</v>
      </c>
      <c r="E9" s="438">
        <f>ABS(SUMIFS('Fixture 총 발주수량'!Z:Z,'Fixture 총 발주수량'!B:B,'후공정(애칭)생산계획'!B9,'Fixture 총 발주수량'!Z:Z,"&lt;0"))</f>
        <v>843</v>
      </c>
      <c r="F9" s="437">
        <f>G9-E9</f>
        <v>-843</v>
      </c>
      <c r="G9" s="437">
        <f>SUMIF(P9:AT9, "&gt;0")</f>
        <v>0</v>
      </c>
      <c r="H9" s="437">
        <f>SUMIF(P10:AT10, "&gt;0")</f>
        <v>0</v>
      </c>
      <c r="I9" s="442">
        <f>IFERROR(H9/G9,)</f>
        <v>0</v>
      </c>
      <c r="J9" s="437">
        <f ca="1">IFERROR(SUMIF('Fixture 총 발주수량'!B:AG,'후공정(애칭)생산계획'!B9,'Fixture 총 발주수량'!AA:AA),)</f>
        <v>0</v>
      </c>
      <c r="K9" s="438">
        <f>ROUNDUP(E9/2000,)</f>
        <v>1</v>
      </c>
      <c r="L9" s="438">
        <f>L7+K9</f>
        <v>4</v>
      </c>
      <c r="M9" s="438">
        <f>L9+K9</f>
        <v>5</v>
      </c>
      <c r="N9" s="438">
        <f>N7+K9</f>
        <v>4</v>
      </c>
      <c r="O9" s="306" t="s">
        <v>264</v>
      </c>
      <c r="P9" s="325"/>
      <c r="Q9" s="312"/>
      <c r="R9" s="312"/>
      <c r="S9" s="312"/>
      <c r="T9" s="312"/>
      <c r="U9" s="312"/>
      <c r="V9" s="312"/>
      <c r="W9" s="312"/>
      <c r="X9" s="312"/>
      <c r="Y9" s="312"/>
      <c r="Z9" s="312"/>
      <c r="AA9" s="312"/>
      <c r="AB9" s="312"/>
      <c r="AC9" s="312"/>
      <c r="AD9" s="312"/>
      <c r="AE9" s="312"/>
      <c r="AF9" s="312"/>
      <c r="AG9" s="312"/>
      <c r="AH9" s="312"/>
      <c r="AI9" s="312"/>
      <c r="AJ9" s="312"/>
      <c r="AK9" s="312"/>
      <c r="AL9" s="312"/>
      <c r="AM9" s="312"/>
      <c r="AN9" s="312"/>
      <c r="AO9" s="312"/>
      <c r="AP9" s="312"/>
      <c r="AQ9" s="312"/>
      <c r="AR9" s="312"/>
      <c r="AS9" s="312"/>
      <c r="AT9" s="313"/>
    </row>
    <row r="10" spans="2:46" ht="32.1" customHeight="1" x14ac:dyDescent="0.3">
      <c r="B10" s="445"/>
      <c r="C10" s="445"/>
      <c r="D10" s="445"/>
      <c r="E10" s="439"/>
      <c r="F10" s="436"/>
      <c r="G10" s="436"/>
      <c r="H10" s="436"/>
      <c r="I10" s="443"/>
      <c r="J10" s="436"/>
      <c r="K10" s="439"/>
      <c r="L10" s="439"/>
      <c r="M10" s="439"/>
      <c r="N10" s="439"/>
      <c r="O10" s="306" t="s">
        <v>266</v>
      </c>
      <c r="P10" s="323" cm="1">
        <f t="array" ref="P10">INDEX('생산수량Back-Data'!$B$5:$AAA$10041,
       MATCH($B9,'생산수량Back-Data'!$B$5:$B$10041,0)+2,
       MATCH(P$3,'생산수량Back-Data'!$B$3:$AAA$3,0))</f>
        <v>0</v>
      </c>
      <c r="Q10" s="310" cm="1">
        <f t="array" ref="Q10">INDEX('생산수량Back-Data'!$B$5:$AAA$10041,
       MATCH($B9,'생산수량Back-Data'!$B$5:$B$10041,0)+2,
       MATCH(Q$3,'생산수량Back-Data'!$B$3:$AAA$3,0))</f>
        <v>0</v>
      </c>
      <c r="R10" s="310" cm="1">
        <f t="array" ref="R10">INDEX('생산수량Back-Data'!$B$5:$AAA$10041,
       MATCH($B9,'생산수량Back-Data'!$B$5:$B$10041,0)+2,
       MATCH(R$3,'생산수량Back-Data'!$B$3:$AAA$3,0))</f>
        <v>0</v>
      </c>
      <c r="S10" s="310" cm="1">
        <f t="array" ref="S10">INDEX('생산수량Back-Data'!$B$5:$AAA$10041,
       MATCH($B9,'생산수량Back-Data'!$B$5:$B$10041,0)+2,
       MATCH(S$3,'생산수량Back-Data'!$B$3:$AAA$3,0))</f>
        <v>0</v>
      </c>
      <c r="T10" s="310" cm="1">
        <f t="array" ref="T10">INDEX('생산수량Back-Data'!$B$5:$AAA$10041,
       MATCH($B9,'생산수량Back-Data'!$B$5:$B$10041,0)+2,
       MATCH(T$3,'생산수량Back-Data'!$B$3:$AAA$3,0))</f>
        <v>0</v>
      </c>
      <c r="U10" s="310" cm="1">
        <f t="array" ref="U10">INDEX('생산수량Back-Data'!$B$5:$AAA$10041,
       MATCH($B9,'생산수량Back-Data'!$B$5:$B$10041,0)+2,
       MATCH(U$3,'생산수량Back-Data'!$B$3:$AAA$3,0))</f>
        <v>0</v>
      </c>
      <c r="V10" s="310" cm="1">
        <f t="array" ref="V10">INDEX('생산수량Back-Data'!$B$5:$AAA$10041,
       MATCH($B9,'생산수량Back-Data'!$B$5:$B$10041,0)+2,
       MATCH(V$3,'생산수량Back-Data'!$B$3:$AAA$3,0))</f>
        <v>0</v>
      </c>
      <c r="W10" s="310" cm="1">
        <f t="array" ref="W10">INDEX('생산수량Back-Data'!$B$5:$AAA$10041,
       MATCH($B9,'생산수량Back-Data'!$B$5:$B$10041,0)+2,
       MATCH(W$3,'생산수량Back-Data'!$B$3:$AAA$3,0))</f>
        <v>0</v>
      </c>
      <c r="X10" s="310" cm="1">
        <f t="array" ref="X10">INDEX('생산수량Back-Data'!$B$5:$AAA$10041,
       MATCH($B9,'생산수량Back-Data'!$B$5:$B$10041,0)+2,
       MATCH(X$3,'생산수량Back-Data'!$B$3:$AAA$3,0))</f>
        <v>0</v>
      </c>
      <c r="Y10" s="310" cm="1">
        <f t="array" ref="Y10">INDEX('생산수량Back-Data'!$B$5:$AAA$10041,
       MATCH($B9,'생산수량Back-Data'!$B$5:$B$10041,0)+2,
       MATCH(Y$3,'생산수량Back-Data'!$B$3:$AAA$3,0))</f>
        <v>0</v>
      </c>
      <c r="Z10" s="310" cm="1">
        <f t="array" ref="Z10">INDEX('생산수량Back-Data'!$B$5:$AAA$10041,
       MATCH($B9,'생산수량Back-Data'!$B$5:$B$10041,0)+2,
       MATCH(Z$3,'생산수량Back-Data'!$B$3:$AAA$3,0))</f>
        <v>0</v>
      </c>
      <c r="AA10" s="310" cm="1">
        <f t="array" ref="AA10">INDEX('생산수량Back-Data'!$B$5:$AAA$10041,
       MATCH($B9,'생산수량Back-Data'!$B$5:$B$10041,0)+2,
       MATCH(AA$3,'생산수량Back-Data'!$B$3:$AAA$3,0))</f>
        <v>0</v>
      </c>
      <c r="AB10" s="310" cm="1">
        <f t="array" ref="AB10">INDEX('생산수량Back-Data'!$B$5:$AAA$10041,
       MATCH($B9,'생산수량Back-Data'!$B$5:$B$10041,0)+2,
       MATCH(AB$3,'생산수량Back-Data'!$B$3:$AAA$3,0))</f>
        <v>0</v>
      </c>
      <c r="AC10" s="310" cm="1">
        <f t="array" ref="AC10">INDEX('생산수량Back-Data'!$B$5:$AAA$10041,
       MATCH($B9,'생산수량Back-Data'!$B$5:$B$10041,0)+2,
       MATCH(AC$3,'생산수량Back-Data'!$B$3:$AAA$3,0))</f>
        <v>0</v>
      </c>
      <c r="AD10" s="310" cm="1">
        <f t="array" ref="AD10">INDEX('생산수량Back-Data'!$B$5:$AAA$10041,
       MATCH($B9,'생산수량Back-Data'!$B$5:$B$10041,0)+2,
       MATCH(AD$3,'생산수량Back-Data'!$B$3:$AAA$3,0))</f>
        <v>0</v>
      </c>
      <c r="AE10" s="310" cm="1">
        <f t="array" ref="AE10">INDEX('생산수량Back-Data'!$B$5:$AAA$10041,
       MATCH($B9,'생산수량Back-Data'!$B$5:$B$10041,0)+2,
       MATCH(AE$3,'생산수량Back-Data'!$B$3:$AAA$3,0))</f>
        <v>0</v>
      </c>
      <c r="AF10" s="310" cm="1">
        <f t="array" ref="AF10">INDEX('생산수량Back-Data'!$B$5:$AAA$10041,
       MATCH($B9,'생산수량Back-Data'!$B$5:$B$10041,0)+2,
       MATCH(AF$3,'생산수량Back-Data'!$B$3:$AAA$3,0))</f>
        <v>0</v>
      </c>
      <c r="AG10" s="310" cm="1">
        <f t="array" ref="AG10">INDEX('생산수량Back-Data'!$B$5:$AAA$10041,
       MATCH($B9,'생산수량Back-Data'!$B$5:$B$10041,0)+2,
       MATCH(AG$3,'생산수량Back-Data'!$B$3:$AAA$3,0))</f>
        <v>0</v>
      </c>
      <c r="AH10" s="310" cm="1">
        <f t="array" ref="AH10">INDEX('생산수량Back-Data'!$B$5:$AAA$10041,
       MATCH($B9,'생산수량Back-Data'!$B$5:$B$10041,0)+2,
       MATCH(AH$3,'생산수량Back-Data'!$B$3:$AAA$3,0))</f>
        <v>0</v>
      </c>
      <c r="AI10" s="310" cm="1">
        <f t="array" ref="AI10">INDEX('생산수량Back-Data'!$B$5:$AAA$10041,
       MATCH($B9,'생산수량Back-Data'!$B$5:$B$10041,0)+2,
       MATCH(AI$3,'생산수량Back-Data'!$B$3:$AAA$3,0))</f>
        <v>0</v>
      </c>
      <c r="AJ10" s="310" cm="1">
        <f t="array" ref="AJ10">INDEX('생산수량Back-Data'!$B$5:$AAA$10041,
       MATCH($B9,'생산수량Back-Data'!$B$5:$B$10041,0)+2,
       MATCH(AJ$3,'생산수량Back-Data'!$B$3:$AAA$3,0))</f>
        <v>0</v>
      </c>
      <c r="AK10" s="310" cm="1">
        <f t="array" ref="AK10">INDEX('생산수량Back-Data'!$B$5:$AAA$10041,
       MATCH($B9,'생산수량Back-Data'!$B$5:$B$10041,0)+2,
       MATCH(AK$3,'생산수량Back-Data'!$B$3:$AAA$3,0))</f>
        <v>0</v>
      </c>
      <c r="AL10" s="310" cm="1">
        <f t="array" ref="AL10">INDEX('생산수량Back-Data'!$B$5:$AAA$10041,
       MATCH($B9,'생산수량Back-Data'!$B$5:$B$10041,0)+2,
       MATCH(AL$3,'생산수량Back-Data'!$B$3:$AAA$3,0))</f>
        <v>0</v>
      </c>
      <c r="AM10" s="310" cm="1">
        <f t="array" ref="AM10">INDEX('생산수량Back-Data'!$B$5:$AAA$10041,
       MATCH($B9,'생산수량Back-Data'!$B$5:$B$10041,0)+2,
       MATCH(AM$3,'생산수량Back-Data'!$B$3:$AAA$3,0))</f>
        <v>0</v>
      </c>
      <c r="AN10" s="310" cm="1">
        <f t="array" ref="AN10">INDEX('생산수량Back-Data'!$B$5:$AAA$10041,
       MATCH($B9,'생산수량Back-Data'!$B$5:$B$10041,0)+2,
       MATCH(AN$3,'생산수량Back-Data'!$B$3:$AAA$3,0))</f>
        <v>0</v>
      </c>
      <c r="AO10" s="310" cm="1">
        <f t="array" ref="AO10">INDEX('생산수량Back-Data'!$B$5:$AAA$10041,
       MATCH($B9,'생산수량Back-Data'!$B$5:$B$10041,0)+2,
       MATCH(AO$3,'생산수량Back-Data'!$B$3:$AAA$3,0))</f>
        <v>0</v>
      </c>
      <c r="AP10" s="310" cm="1">
        <f t="array" ref="AP10">INDEX('생산수량Back-Data'!$B$5:$AAA$10041,
       MATCH($B9,'생산수량Back-Data'!$B$5:$B$10041,0)+2,
       MATCH(AP$3,'생산수량Back-Data'!$B$3:$AAA$3,0))</f>
        <v>0</v>
      </c>
      <c r="AQ10" s="310" cm="1">
        <f t="array" ref="AQ10">INDEX('생산수량Back-Data'!$B$5:$AAA$10041,
       MATCH($B9,'생산수량Back-Data'!$B$5:$B$10041,0)+2,
       MATCH(AQ$3,'생산수량Back-Data'!$B$3:$AAA$3,0))</f>
        <v>0</v>
      </c>
      <c r="AR10" s="310" cm="1">
        <f t="array" ref="AR10">INDEX('생산수량Back-Data'!$B$5:$AAA$10041,
       MATCH($B9,'생산수량Back-Data'!$B$5:$B$10041,0)+2,
       MATCH(AR$3,'생산수량Back-Data'!$B$3:$AAA$3,0))</f>
        <v>0</v>
      </c>
      <c r="AS10" s="310" cm="1">
        <f t="array" ref="AS10">INDEX('생산수량Back-Data'!$B$5:$AAA$10041,
       MATCH($B9,'생산수량Back-Data'!$B$5:$B$10041,0)+2,
       MATCH(AS$3,'생산수량Back-Data'!$B$3:$AAA$3,0))</f>
        <v>0</v>
      </c>
      <c r="AT10" s="324" cm="1">
        <f t="array" ref="AT10">INDEX('생산수량Back-Data'!$B$5:$AAA$10041,
       MATCH($B9,'생산수량Back-Data'!$B$5:$B$10041,0)+2,
       MATCH(AT$3,'생산수량Back-Data'!$B$3:$AAA$3,0))</f>
        <v>0</v>
      </c>
    </row>
    <row r="11" spans="2:46" ht="32.1" customHeight="1" x14ac:dyDescent="0.3">
      <c r="B11" s="444" t="s">
        <v>39</v>
      </c>
      <c r="C11" s="444" t="s">
        <v>185</v>
      </c>
      <c r="D11" s="444" t="s">
        <v>188</v>
      </c>
      <c r="E11" s="438">
        <f>ABS(SUMIFS('Fixture 총 발주수량'!Z:Z,'Fixture 총 발주수량'!B:B,'후공정(애칭)생산계획'!B11,'Fixture 총 발주수량'!Z:Z,"&lt;0"))</f>
        <v>451</v>
      </c>
      <c r="F11" s="437">
        <f>G11-E11</f>
        <v>-451</v>
      </c>
      <c r="G11" s="437">
        <f>SUMIF(P11:AT11, "&gt;0")</f>
        <v>0</v>
      </c>
      <c r="H11" s="437">
        <f>SUMIF(P12:AT12, "&gt;0")</f>
        <v>0</v>
      </c>
      <c r="I11" s="442">
        <f>IFERROR(H11/G11,)</f>
        <v>0</v>
      </c>
      <c r="J11" s="437">
        <f ca="1">IFERROR(SUMIF('Fixture 총 발주수량'!B:AG,'후공정(애칭)생산계획'!B11,'Fixture 총 발주수량'!AA:AA),)</f>
        <v>0</v>
      </c>
      <c r="K11" s="438">
        <f>ROUNDUP(E11/2000,)</f>
        <v>1</v>
      </c>
      <c r="L11" s="438">
        <f>L9+K11</f>
        <v>5</v>
      </c>
      <c r="M11" s="438">
        <f>L11+K11</f>
        <v>6</v>
      </c>
      <c r="N11" s="438">
        <f>N9+K11</f>
        <v>5</v>
      </c>
      <c r="O11" s="306" t="s">
        <v>264</v>
      </c>
      <c r="P11" s="325"/>
      <c r="Q11" s="312"/>
      <c r="R11" s="312"/>
      <c r="S11" s="312"/>
      <c r="T11" s="312"/>
      <c r="U11" s="312"/>
      <c r="V11" s="312"/>
      <c r="W11" s="312"/>
      <c r="X11" s="312"/>
      <c r="Y11" s="312"/>
      <c r="Z11" s="312"/>
      <c r="AA11" s="312"/>
      <c r="AB11" s="312"/>
      <c r="AC11" s="312"/>
      <c r="AD11" s="312"/>
      <c r="AE11" s="312"/>
      <c r="AF11" s="312"/>
      <c r="AG11" s="312"/>
      <c r="AH11" s="312"/>
      <c r="AI11" s="312"/>
      <c r="AJ11" s="312"/>
      <c r="AK11" s="312"/>
      <c r="AL11" s="312"/>
      <c r="AM11" s="312"/>
      <c r="AN11" s="312"/>
      <c r="AO11" s="312"/>
      <c r="AP11" s="312"/>
      <c r="AQ11" s="312"/>
      <c r="AR11" s="312"/>
      <c r="AS11" s="312"/>
      <c r="AT11" s="313"/>
    </row>
    <row r="12" spans="2:46" ht="32.1" customHeight="1" thickBot="1" x14ac:dyDescent="0.35">
      <c r="B12" s="454"/>
      <c r="C12" s="454"/>
      <c r="D12" s="454"/>
      <c r="E12" s="450"/>
      <c r="F12" s="452"/>
      <c r="G12" s="452"/>
      <c r="H12" s="452"/>
      <c r="I12" s="453"/>
      <c r="J12" s="452"/>
      <c r="K12" s="450"/>
      <c r="L12" s="450"/>
      <c r="M12" s="450"/>
      <c r="N12" s="450"/>
      <c r="O12" s="305" t="s">
        <v>266</v>
      </c>
      <c r="P12" s="323" cm="1">
        <f t="array" ref="P12">INDEX('생산수량Back-Data'!$B$5:$AAA$10041,
       MATCH($B11,'생산수량Back-Data'!$B$5:$B$10041,0)+2,
       MATCH(P$3,'생산수량Back-Data'!$B$3:$AAA$3,0))</f>
        <v>0</v>
      </c>
      <c r="Q12" s="310" cm="1">
        <f t="array" ref="Q12">INDEX('생산수량Back-Data'!$B$5:$AAA$10041,
       MATCH($B11,'생산수량Back-Data'!$B$5:$B$10041,0)+2,
       MATCH(Q$3,'생산수량Back-Data'!$B$3:$AAA$3,0))</f>
        <v>0</v>
      </c>
      <c r="R12" s="310" cm="1">
        <f t="array" ref="R12">INDEX('생산수량Back-Data'!$B$5:$AAA$10041,
       MATCH($B11,'생산수량Back-Data'!$B$5:$B$10041,0)+2,
       MATCH(R$3,'생산수량Back-Data'!$B$3:$AAA$3,0))</f>
        <v>0</v>
      </c>
      <c r="S12" s="310" cm="1">
        <f t="array" ref="S12">INDEX('생산수량Back-Data'!$B$5:$AAA$10041,
       MATCH($B11,'생산수량Back-Data'!$B$5:$B$10041,0)+2,
       MATCH(S$3,'생산수량Back-Data'!$B$3:$AAA$3,0))</f>
        <v>0</v>
      </c>
      <c r="T12" s="310" cm="1">
        <f t="array" ref="T12">INDEX('생산수량Back-Data'!$B$5:$AAA$10041,
       MATCH($B11,'생산수량Back-Data'!$B$5:$B$10041,0)+2,
       MATCH(T$3,'생산수량Back-Data'!$B$3:$AAA$3,0))</f>
        <v>0</v>
      </c>
      <c r="U12" s="310" cm="1">
        <f t="array" ref="U12">INDEX('생산수량Back-Data'!$B$5:$AAA$10041,
       MATCH($B11,'생산수량Back-Data'!$B$5:$B$10041,0)+2,
       MATCH(U$3,'생산수량Back-Data'!$B$3:$AAA$3,0))</f>
        <v>0</v>
      </c>
      <c r="V12" s="310" cm="1">
        <f t="array" ref="V12">INDEX('생산수량Back-Data'!$B$5:$AAA$10041,
       MATCH($B11,'생산수량Back-Data'!$B$5:$B$10041,0)+2,
       MATCH(V$3,'생산수량Back-Data'!$B$3:$AAA$3,0))</f>
        <v>0</v>
      </c>
      <c r="W12" s="310" cm="1">
        <f t="array" ref="W12">INDEX('생산수량Back-Data'!$B$5:$AAA$10041,
       MATCH($B11,'생산수량Back-Data'!$B$5:$B$10041,0)+2,
       MATCH(W$3,'생산수량Back-Data'!$B$3:$AAA$3,0))</f>
        <v>0</v>
      </c>
      <c r="X12" s="310" cm="1">
        <f t="array" ref="X12">INDEX('생산수량Back-Data'!$B$5:$AAA$10041,
       MATCH($B11,'생산수량Back-Data'!$B$5:$B$10041,0)+2,
       MATCH(X$3,'생산수량Back-Data'!$B$3:$AAA$3,0))</f>
        <v>0</v>
      </c>
      <c r="Y12" s="310" cm="1">
        <f t="array" ref="Y12">INDEX('생산수량Back-Data'!$B$5:$AAA$10041,
       MATCH($B11,'생산수량Back-Data'!$B$5:$B$10041,0)+2,
       MATCH(Y$3,'생산수량Back-Data'!$B$3:$AAA$3,0))</f>
        <v>0</v>
      </c>
      <c r="Z12" s="310" cm="1">
        <f t="array" ref="Z12">INDEX('생산수량Back-Data'!$B$5:$AAA$10041,
       MATCH($B11,'생산수량Back-Data'!$B$5:$B$10041,0)+2,
       MATCH(Z$3,'생산수량Back-Data'!$B$3:$AAA$3,0))</f>
        <v>0</v>
      </c>
      <c r="AA12" s="310" cm="1">
        <f t="array" ref="AA12">INDEX('생산수량Back-Data'!$B$5:$AAA$10041,
       MATCH($B11,'생산수량Back-Data'!$B$5:$B$10041,0)+2,
       MATCH(AA$3,'생산수량Back-Data'!$B$3:$AAA$3,0))</f>
        <v>0</v>
      </c>
      <c r="AB12" s="310" cm="1">
        <f t="array" ref="AB12">INDEX('생산수량Back-Data'!$B$5:$AAA$10041,
       MATCH($B11,'생산수량Back-Data'!$B$5:$B$10041,0)+2,
       MATCH(AB$3,'생산수량Back-Data'!$B$3:$AAA$3,0))</f>
        <v>0</v>
      </c>
      <c r="AC12" s="310" cm="1">
        <f t="array" ref="AC12">INDEX('생산수량Back-Data'!$B$5:$AAA$10041,
       MATCH($B11,'생산수량Back-Data'!$B$5:$B$10041,0)+2,
       MATCH(AC$3,'생산수량Back-Data'!$B$3:$AAA$3,0))</f>
        <v>0</v>
      </c>
      <c r="AD12" s="310" cm="1">
        <f t="array" ref="AD12">INDEX('생산수량Back-Data'!$B$5:$AAA$10041,
       MATCH($B11,'생산수량Back-Data'!$B$5:$B$10041,0)+2,
       MATCH(AD$3,'생산수량Back-Data'!$B$3:$AAA$3,0))</f>
        <v>0</v>
      </c>
      <c r="AE12" s="310" cm="1">
        <f t="array" ref="AE12">INDEX('생산수량Back-Data'!$B$5:$AAA$10041,
       MATCH($B11,'생산수량Back-Data'!$B$5:$B$10041,0)+2,
       MATCH(AE$3,'생산수량Back-Data'!$B$3:$AAA$3,0))</f>
        <v>0</v>
      </c>
      <c r="AF12" s="310" cm="1">
        <f t="array" ref="AF12">INDEX('생산수량Back-Data'!$B$5:$AAA$10041,
       MATCH($B11,'생산수량Back-Data'!$B$5:$B$10041,0)+2,
       MATCH(AF$3,'생산수량Back-Data'!$B$3:$AAA$3,0))</f>
        <v>0</v>
      </c>
      <c r="AG12" s="310" cm="1">
        <f t="array" ref="AG12">INDEX('생산수량Back-Data'!$B$5:$AAA$10041,
       MATCH($B11,'생산수량Back-Data'!$B$5:$B$10041,0)+2,
       MATCH(AG$3,'생산수량Back-Data'!$B$3:$AAA$3,0))</f>
        <v>0</v>
      </c>
      <c r="AH12" s="310" cm="1">
        <f t="array" ref="AH12">INDEX('생산수량Back-Data'!$B$5:$AAA$10041,
       MATCH($B11,'생산수량Back-Data'!$B$5:$B$10041,0)+2,
       MATCH(AH$3,'생산수량Back-Data'!$B$3:$AAA$3,0))</f>
        <v>0</v>
      </c>
      <c r="AI12" s="310" cm="1">
        <f t="array" ref="AI12">INDEX('생산수량Back-Data'!$B$5:$AAA$10041,
       MATCH($B11,'생산수량Back-Data'!$B$5:$B$10041,0)+2,
       MATCH(AI$3,'생산수량Back-Data'!$B$3:$AAA$3,0))</f>
        <v>0</v>
      </c>
      <c r="AJ12" s="310" cm="1">
        <f t="array" ref="AJ12">INDEX('생산수량Back-Data'!$B$5:$AAA$10041,
       MATCH($B11,'생산수량Back-Data'!$B$5:$B$10041,0)+2,
       MATCH(AJ$3,'생산수량Back-Data'!$B$3:$AAA$3,0))</f>
        <v>0</v>
      </c>
      <c r="AK12" s="310" cm="1">
        <f t="array" ref="AK12">INDEX('생산수량Back-Data'!$B$5:$AAA$10041,
       MATCH($B11,'생산수량Back-Data'!$B$5:$B$10041,0)+2,
       MATCH(AK$3,'생산수량Back-Data'!$B$3:$AAA$3,0))</f>
        <v>0</v>
      </c>
      <c r="AL12" s="310" cm="1">
        <f t="array" ref="AL12">INDEX('생산수량Back-Data'!$B$5:$AAA$10041,
       MATCH($B11,'생산수량Back-Data'!$B$5:$B$10041,0)+2,
       MATCH(AL$3,'생산수량Back-Data'!$B$3:$AAA$3,0))</f>
        <v>0</v>
      </c>
      <c r="AM12" s="310" cm="1">
        <f t="array" ref="AM12">INDEX('생산수량Back-Data'!$B$5:$AAA$10041,
       MATCH($B11,'생산수량Back-Data'!$B$5:$B$10041,0)+2,
       MATCH(AM$3,'생산수량Back-Data'!$B$3:$AAA$3,0))</f>
        <v>0</v>
      </c>
      <c r="AN12" s="310" cm="1">
        <f t="array" ref="AN12">INDEX('생산수량Back-Data'!$B$5:$AAA$10041,
       MATCH($B11,'생산수량Back-Data'!$B$5:$B$10041,0)+2,
       MATCH(AN$3,'생산수량Back-Data'!$B$3:$AAA$3,0))</f>
        <v>0</v>
      </c>
      <c r="AO12" s="310" cm="1">
        <f t="array" ref="AO12">INDEX('생산수량Back-Data'!$B$5:$AAA$10041,
       MATCH($B11,'생산수량Back-Data'!$B$5:$B$10041,0)+2,
       MATCH(AO$3,'생산수량Back-Data'!$B$3:$AAA$3,0))</f>
        <v>0</v>
      </c>
      <c r="AP12" s="310" cm="1">
        <f t="array" ref="AP12">INDEX('생산수량Back-Data'!$B$5:$AAA$10041,
       MATCH($B11,'생산수량Back-Data'!$B$5:$B$10041,0)+2,
       MATCH(AP$3,'생산수량Back-Data'!$B$3:$AAA$3,0))</f>
        <v>0</v>
      </c>
      <c r="AQ12" s="310" cm="1">
        <f t="array" ref="AQ12">INDEX('생산수량Back-Data'!$B$5:$AAA$10041,
       MATCH($B11,'생산수량Back-Data'!$B$5:$B$10041,0)+2,
       MATCH(AQ$3,'생산수량Back-Data'!$B$3:$AAA$3,0))</f>
        <v>0</v>
      </c>
      <c r="AR12" s="310" cm="1">
        <f t="array" ref="AR12">INDEX('생산수량Back-Data'!$B$5:$AAA$10041,
       MATCH($B11,'생산수량Back-Data'!$B$5:$B$10041,0)+2,
       MATCH(AR$3,'생산수량Back-Data'!$B$3:$AAA$3,0))</f>
        <v>0</v>
      </c>
      <c r="AS12" s="310" cm="1">
        <f t="array" ref="AS12">INDEX('생산수량Back-Data'!$B$5:$AAA$10041,
       MATCH($B11,'생산수량Back-Data'!$B$5:$B$10041,0)+2,
       MATCH(AS$3,'생산수량Back-Data'!$B$3:$AAA$3,0))</f>
        <v>0</v>
      </c>
      <c r="AT12" s="324" cm="1">
        <f t="array" ref="AT12">INDEX('생산수량Back-Data'!$B$5:$AAA$10041,
       MATCH($B11,'생산수량Back-Data'!$B$5:$B$10041,0)+2,
       MATCH(AT$3,'생산수량Back-Data'!$B$3:$AAA$3,0))</f>
        <v>0</v>
      </c>
    </row>
    <row r="13" spans="2:46" ht="32.1" customHeight="1" x14ac:dyDescent="0.3">
      <c r="B13" s="449" t="s">
        <v>44</v>
      </c>
      <c r="C13" s="449" t="s">
        <v>185</v>
      </c>
      <c r="D13" s="449" t="s">
        <v>189</v>
      </c>
      <c r="E13" s="446">
        <f>ABS(SUMIFS('Fixture 총 발주수량'!Z:Z,'Fixture 총 발주수량'!B:B,'후공정(애칭)생산계획'!B13,'Fixture 총 발주수량'!Z:Z,"&lt;0"))</f>
        <v>1025</v>
      </c>
      <c r="F13" s="435">
        <f>G13-E13</f>
        <v>-1025</v>
      </c>
      <c r="G13" s="435">
        <f>SUMIF(P13:AT13, "&gt;0")</f>
        <v>0</v>
      </c>
      <c r="H13" s="435">
        <f>SUMIF(P14:AT14, "&gt;0")</f>
        <v>0</v>
      </c>
      <c r="I13" s="448">
        <f>IFERROR(H13/G13,)</f>
        <v>0</v>
      </c>
      <c r="J13" s="435">
        <f ca="1">IFERROR(SUMIF('Fixture 총 발주수량'!B:AG,'후공정(애칭)생산계획'!B13,'Fixture 총 발주수량'!AA:AA),)</f>
        <v>0</v>
      </c>
      <c r="K13" s="446">
        <f>ROUNDUP(E13/2000,)</f>
        <v>1</v>
      </c>
      <c r="L13" s="446">
        <f>L11+K13</f>
        <v>6</v>
      </c>
      <c r="M13" s="446">
        <f>L13+K13</f>
        <v>7</v>
      </c>
      <c r="N13" s="446">
        <f>N11+K13</f>
        <v>6</v>
      </c>
      <c r="O13" s="336" t="s">
        <v>264</v>
      </c>
      <c r="P13" s="419"/>
      <c r="Q13" s="417"/>
      <c r="R13" s="417"/>
      <c r="S13" s="417"/>
      <c r="T13" s="417"/>
      <c r="U13" s="417"/>
      <c r="V13" s="417"/>
      <c r="W13" s="417"/>
      <c r="X13" s="417"/>
      <c r="Y13" s="417"/>
      <c r="Z13" s="417"/>
      <c r="AA13" s="417"/>
      <c r="AB13" s="417"/>
      <c r="AC13" s="417"/>
      <c r="AD13" s="417"/>
      <c r="AE13" s="417"/>
      <c r="AF13" s="417"/>
      <c r="AG13" s="417"/>
      <c r="AH13" s="417"/>
      <c r="AI13" s="417"/>
      <c r="AJ13" s="417"/>
      <c r="AK13" s="417"/>
      <c r="AL13" s="417"/>
      <c r="AM13" s="417"/>
      <c r="AN13" s="417"/>
      <c r="AO13" s="417"/>
      <c r="AP13" s="417"/>
      <c r="AQ13" s="417"/>
      <c r="AR13" s="417"/>
      <c r="AS13" s="417"/>
      <c r="AT13" s="418"/>
    </row>
    <row r="14" spans="2:46" ht="32.1" customHeight="1" x14ac:dyDescent="0.3">
      <c r="B14" s="445"/>
      <c r="C14" s="445"/>
      <c r="D14" s="445"/>
      <c r="E14" s="439"/>
      <c r="F14" s="436"/>
      <c r="G14" s="436"/>
      <c r="H14" s="436"/>
      <c r="I14" s="443"/>
      <c r="J14" s="436"/>
      <c r="K14" s="439"/>
      <c r="L14" s="439"/>
      <c r="M14" s="439"/>
      <c r="N14" s="439"/>
      <c r="O14" s="306" t="s">
        <v>266</v>
      </c>
      <c r="P14" s="327" cm="1">
        <f t="array" ref="P14">INDEX('생산수량Back-Data'!$B$5:$AAA$10041,
       MATCH($B13,'생산수량Back-Data'!$B$5:$B$10041,0)+2,
       MATCH(P$3,'생산수량Back-Data'!$B$3:$AAA$3,0))</f>
        <v>0</v>
      </c>
      <c r="Q14" s="328" cm="1">
        <f t="array" ref="Q14">INDEX('생산수량Back-Data'!$B$5:$AAA$10041,
       MATCH($B13,'생산수량Back-Data'!$B$5:$B$10041,0)+2,
       MATCH(Q$3,'생산수량Back-Data'!$B$3:$AAA$3,0))</f>
        <v>0</v>
      </c>
      <c r="R14" s="328" cm="1">
        <f t="array" ref="R14">INDEX('생산수량Back-Data'!$B$5:$AAA$10041,
       MATCH($B13,'생산수량Back-Data'!$B$5:$B$10041,0)+2,
       MATCH(R$3,'생산수량Back-Data'!$B$3:$AAA$3,0))</f>
        <v>0</v>
      </c>
      <c r="S14" s="328" cm="1">
        <f t="array" ref="S14">INDEX('생산수량Back-Data'!$B$5:$AAA$10041,
       MATCH($B13,'생산수량Back-Data'!$B$5:$B$10041,0)+2,
       MATCH(S$3,'생산수량Back-Data'!$B$3:$AAA$3,0))</f>
        <v>0</v>
      </c>
      <c r="T14" s="328" cm="1">
        <f t="array" ref="T14">INDEX('생산수량Back-Data'!$B$5:$AAA$10041,
       MATCH($B13,'생산수량Back-Data'!$B$5:$B$10041,0)+2,
       MATCH(T$3,'생산수량Back-Data'!$B$3:$AAA$3,0))</f>
        <v>0</v>
      </c>
      <c r="U14" s="328" cm="1">
        <f t="array" ref="U14">INDEX('생산수량Back-Data'!$B$5:$AAA$10041,
       MATCH($B13,'생산수량Back-Data'!$B$5:$B$10041,0)+2,
       MATCH(U$3,'생산수량Back-Data'!$B$3:$AAA$3,0))</f>
        <v>0</v>
      </c>
      <c r="V14" s="328" cm="1">
        <f t="array" ref="V14">INDEX('생산수량Back-Data'!$B$5:$AAA$10041,
       MATCH($B13,'생산수량Back-Data'!$B$5:$B$10041,0)+2,
       MATCH(V$3,'생산수량Back-Data'!$B$3:$AAA$3,0))</f>
        <v>0</v>
      </c>
      <c r="W14" s="328" cm="1">
        <f t="array" ref="W14">INDEX('생산수량Back-Data'!$B$5:$AAA$10041,
       MATCH($B13,'생산수량Back-Data'!$B$5:$B$10041,0)+2,
       MATCH(W$3,'생산수량Back-Data'!$B$3:$AAA$3,0))</f>
        <v>0</v>
      </c>
      <c r="X14" s="328" cm="1">
        <f t="array" ref="X14">INDEX('생산수량Back-Data'!$B$5:$AAA$10041,
       MATCH($B13,'생산수량Back-Data'!$B$5:$B$10041,0)+2,
       MATCH(X$3,'생산수량Back-Data'!$B$3:$AAA$3,0))</f>
        <v>0</v>
      </c>
      <c r="Y14" s="328" cm="1">
        <f t="array" ref="Y14">INDEX('생산수량Back-Data'!$B$5:$AAA$10041,
       MATCH($B13,'생산수량Back-Data'!$B$5:$B$10041,0)+2,
       MATCH(Y$3,'생산수량Back-Data'!$B$3:$AAA$3,0))</f>
        <v>0</v>
      </c>
      <c r="Z14" s="328" cm="1">
        <f t="array" ref="Z14">INDEX('생산수량Back-Data'!$B$5:$AAA$10041,
       MATCH($B13,'생산수량Back-Data'!$B$5:$B$10041,0)+2,
       MATCH(Z$3,'생산수량Back-Data'!$B$3:$AAA$3,0))</f>
        <v>0</v>
      </c>
      <c r="AA14" s="328" cm="1">
        <f t="array" ref="AA14">INDEX('생산수량Back-Data'!$B$5:$AAA$10041,
       MATCH($B13,'생산수량Back-Data'!$B$5:$B$10041,0)+2,
       MATCH(AA$3,'생산수량Back-Data'!$B$3:$AAA$3,0))</f>
        <v>0</v>
      </c>
      <c r="AB14" s="328" cm="1">
        <f t="array" ref="AB14">INDEX('생산수량Back-Data'!$B$5:$AAA$10041,
       MATCH($B13,'생산수량Back-Data'!$B$5:$B$10041,0)+2,
       MATCH(AB$3,'생산수량Back-Data'!$B$3:$AAA$3,0))</f>
        <v>0</v>
      </c>
      <c r="AC14" s="328" cm="1">
        <f t="array" ref="AC14">INDEX('생산수량Back-Data'!$B$5:$AAA$10041,
       MATCH($B13,'생산수량Back-Data'!$B$5:$B$10041,0)+2,
       MATCH(AC$3,'생산수량Back-Data'!$B$3:$AAA$3,0))</f>
        <v>0</v>
      </c>
      <c r="AD14" s="328" cm="1">
        <f t="array" ref="AD14">INDEX('생산수량Back-Data'!$B$5:$AAA$10041,
       MATCH($B13,'생산수량Back-Data'!$B$5:$B$10041,0)+2,
       MATCH(AD$3,'생산수량Back-Data'!$B$3:$AAA$3,0))</f>
        <v>0</v>
      </c>
      <c r="AE14" s="328" cm="1">
        <f t="array" ref="AE14">INDEX('생산수량Back-Data'!$B$5:$AAA$10041,
       MATCH($B13,'생산수량Back-Data'!$B$5:$B$10041,0)+2,
       MATCH(AE$3,'생산수량Back-Data'!$B$3:$AAA$3,0))</f>
        <v>0</v>
      </c>
      <c r="AF14" s="328" cm="1">
        <f t="array" ref="AF14">INDEX('생산수량Back-Data'!$B$5:$AAA$10041,
       MATCH($B13,'생산수량Back-Data'!$B$5:$B$10041,0)+2,
       MATCH(AF$3,'생산수량Back-Data'!$B$3:$AAA$3,0))</f>
        <v>0</v>
      </c>
      <c r="AG14" s="328" cm="1">
        <f t="array" ref="AG14">INDEX('생산수량Back-Data'!$B$5:$AAA$10041,
       MATCH($B13,'생산수량Back-Data'!$B$5:$B$10041,0)+2,
       MATCH(AG$3,'생산수량Back-Data'!$B$3:$AAA$3,0))</f>
        <v>0</v>
      </c>
      <c r="AH14" s="328" cm="1">
        <f t="array" ref="AH14">INDEX('생산수량Back-Data'!$B$5:$AAA$10041,
       MATCH($B13,'생산수량Back-Data'!$B$5:$B$10041,0)+2,
       MATCH(AH$3,'생산수량Back-Data'!$B$3:$AAA$3,0))</f>
        <v>0</v>
      </c>
      <c r="AI14" s="328" cm="1">
        <f t="array" ref="AI14">INDEX('생산수량Back-Data'!$B$5:$AAA$10041,
       MATCH($B13,'생산수량Back-Data'!$B$5:$B$10041,0)+2,
       MATCH(AI$3,'생산수량Back-Data'!$B$3:$AAA$3,0))</f>
        <v>0</v>
      </c>
      <c r="AJ14" s="328" cm="1">
        <f t="array" ref="AJ14">INDEX('생산수량Back-Data'!$B$5:$AAA$10041,
       MATCH($B13,'생산수량Back-Data'!$B$5:$B$10041,0)+2,
       MATCH(AJ$3,'생산수량Back-Data'!$B$3:$AAA$3,0))</f>
        <v>0</v>
      </c>
      <c r="AK14" s="328" cm="1">
        <f t="array" ref="AK14">INDEX('생산수량Back-Data'!$B$5:$AAA$10041,
       MATCH($B13,'생산수량Back-Data'!$B$5:$B$10041,0)+2,
       MATCH(AK$3,'생산수량Back-Data'!$B$3:$AAA$3,0))</f>
        <v>0</v>
      </c>
      <c r="AL14" s="328" cm="1">
        <f t="array" ref="AL14">INDEX('생산수량Back-Data'!$B$5:$AAA$10041,
       MATCH($B13,'생산수량Back-Data'!$B$5:$B$10041,0)+2,
       MATCH(AL$3,'생산수량Back-Data'!$B$3:$AAA$3,0))</f>
        <v>0</v>
      </c>
      <c r="AM14" s="328" cm="1">
        <f t="array" ref="AM14">INDEX('생산수량Back-Data'!$B$5:$AAA$10041,
       MATCH($B13,'생산수량Back-Data'!$B$5:$B$10041,0)+2,
       MATCH(AM$3,'생산수량Back-Data'!$B$3:$AAA$3,0))</f>
        <v>0</v>
      </c>
      <c r="AN14" s="328" cm="1">
        <f t="array" ref="AN14">INDEX('생산수량Back-Data'!$B$5:$AAA$10041,
       MATCH($B13,'생산수량Back-Data'!$B$5:$B$10041,0)+2,
       MATCH(AN$3,'생산수량Back-Data'!$B$3:$AAA$3,0))</f>
        <v>0</v>
      </c>
      <c r="AO14" s="328" cm="1">
        <f t="array" ref="AO14">INDEX('생산수량Back-Data'!$B$5:$AAA$10041,
       MATCH($B13,'생산수량Back-Data'!$B$5:$B$10041,0)+2,
       MATCH(AO$3,'생산수량Back-Data'!$B$3:$AAA$3,0))</f>
        <v>0</v>
      </c>
      <c r="AP14" s="328" cm="1">
        <f t="array" ref="AP14">INDEX('생산수량Back-Data'!$B$5:$AAA$10041,
       MATCH($B13,'생산수량Back-Data'!$B$5:$B$10041,0)+2,
       MATCH(AP$3,'생산수량Back-Data'!$B$3:$AAA$3,0))</f>
        <v>0</v>
      </c>
      <c r="AQ14" s="328" cm="1">
        <f t="array" ref="AQ14">INDEX('생산수량Back-Data'!$B$5:$AAA$10041,
       MATCH($B13,'생산수량Back-Data'!$B$5:$B$10041,0)+2,
       MATCH(AQ$3,'생산수량Back-Data'!$B$3:$AAA$3,0))</f>
        <v>0</v>
      </c>
      <c r="AR14" s="328" cm="1">
        <f t="array" ref="AR14">INDEX('생산수량Back-Data'!$B$5:$AAA$10041,
       MATCH($B13,'생산수량Back-Data'!$B$5:$B$10041,0)+2,
       MATCH(AR$3,'생산수량Back-Data'!$B$3:$AAA$3,0))</f>
        <v>0</v>
      </c>
      <c r="AS14" s="328" cm="1">
        <f t="array" ref="AS14">INDEX('생산수량Back-Data'!$B$5:$AAA$10041,
       MATCH($B13,'생산수량Back-Data'!$B$5:$B$10041,0)+2,
       MATCH(AS$3,'생산수량Back-Data'!$B$3:$AAA$3,0))</f>
        <v>0</v>
      </c>
      <c r="AT14" s="329" cm="1">
        <f t="array" ref="AT14">INDEX('생산수량Back-Data'!$B$5:$AAA$10041,
       MATCH($B13,'생산수량Back-Data'!$B$5:$B$10041,0)+2,
       MATCH(AT$3,'생산수량Back-Data'!$B$3:$AAA$3,0))</f>
        <v>0</v>
      </c>
    </row>
    <row r="15" spans="2:46" ht="32.1" customHeight="1" x14ac:dyDescent="0.3">
      <c r="B15" s="444" t="s">
        <v>45</v>
      </c>
      <c r="C15" s="444" t="s">
        <v>185</v>
      </c>
      <c r="D15" s="444" t="s">
        <v>190</v>
      </c>
      <c r="E15" s="438">
        <f>ABS(SUMIFS('Fixture 총 발주수량'!Z:Z,'Fixture 총 발주수량'!B:B,'후공정(애칭)생산계획'!B15,'Fixture 총 발주수량'!Z:Z,"&lt;0"))</f>
        <v>1846</v>
      </c>
      <c r="F15" s="437">
        <f>G15-E15</f>
        <v>-1846</v>
      </c>
      <c r="G15" s="437">
        <f>SUMIF(P15:AT15, "&gt;0")</f>
        <v>0</v>
      </c>
      <c r="H15" s="437">
        <f>SUMIF(P16:AT16, "&gt;0")</f>
        <v>0</v>
      </c>
      <c r="I15" s="442">
        <f>IFERROR(H15/G15,)</f>
        <v>0</v>
      </c>
      <c r="J15" s="437">
        <f ca="1">IFERROR(SUMIF('Fixture 총 발주수량'!B:AG,'후공정(애칭)생산계획'!B15,'Fixture 총 발주수량'!AA:AA),)</f>
        <v>0</v>
      </c>
      <c r="K15" s="438">
        <f>ROUNDUP(E15/2000,)</f>
        <v>1</v>
      </c>
      <c r="L15" s="438">
        <f>L13+K15</f>
        <v>7</v>
      </c>
      <c r="M15" s="438">
        <f>L15+K15</f>
        <v>8</v>
      </c>
      <c r="N15" s="438">
        <f>N13+K15</f>
        <v>7</v>
      </c>
      <c r="O15" s="306" t="s">
        <v>264</v>
      </c>
      <c r="P15" s="325"/>
      <c r="Q15" s="312"/>
      <c r="R15" s="312"/>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313"/>
    </row>
    <row r="16" spans="2:46" ht="32.1" customHeight="1" x14ac:dyDescent="0.3">
      <c r="B16" s="445"/>
      <c r="C16" s="445"/>
      <c r="D16" s="445"/>
      <c r="E16" s="439"/>
      <c r="F16" s="436"/>
      <c r="G16" s="436"/>
      <c r="H16" s="436"/>
      <c r="I16" s="443"/>
      <c r="J16" s="436"/>
      <c r="K16" s="439"/>
      <c r="L16" s="439"/>
      <c r="M16" s="439"/>
      <c r="N16" s="439"/>
      <c r="O16" s="306" t="s">
        <v>266</v>
      </c>
      <c r="P16" s="323" cm="1">
        <f t="array" ref="P16">INDEX('생산수량Back-Data'!$B$5:$AAA$10041,
       MATCH($B15,'생산수량Back-Data'!$B$5:$B$10041,0)+2,
       MATCH(P$3,'생산수량Back-Data'!$B$3:$AAA$3,0))</f>
        <v>0</v>
      </c>
      <c r="Q16" s="310" cm="1">
        <f t="array" ref="Q16">INDEX('생산수량Back-Data'!$B$5:$AAA$10041,
       MATCH($B15,'생산수량Back-Data'!$B$5:$B$10041,0)+2,
       MATCH(Q$3,'생산수량Back-Data'!$B$3:$AAA$3,0))</f>
        <v>0</v>
      </c>
      <c r="R16" s="310" cm="1">
        <f t="array" ref="R16">INDEX('생산수량Back-Data'!$B$5:$AAA$10041,
       MATCH($B15,'생산수량Back-Data'!$B$5:$B$10041,0)+2,
       MATCH(R$3,'생산수량Back-Data'!$B$3:$AAA$3,0))</f>
        <v>0</v>
      </c>
      <c r="S16" s="310" cm="1">
        <f t="array" ref="S16">INDEX('생산수량Back-Data'!$B$5:$AAA$10041,
       MATCH($B15,'생산수량Back-Data'!$B$5:$B$10041,0)+2,
       MATCH(S$3,'생산수량Back-Data'!$B$3:$AAA$3,0))</f>
        <v>0</v>
      </c>
      <c r="T16" s="310" cm="1">
        <f t="array" ref="T16">INDEX('생산수량Back-Data'!$B$5:$AAA$10041,
       MATCH($B15,'생산수량Back-Data'!$B$5:$B$10041,0)+2,
       MATCH(T$3,'생산수량Back-Data'!$B$3:$AAA$3,0))</f>
        <v>0</v>
      </c>
      <c r="U16" s="310" cm="1">
        <f t="array" ref="U16">INDEX('생산수량Back-Data'!$B$5:$AAA$10041,
       MATCH($B15,'생산수량Back-Data'!$B$5:$B$10041,0)+2,
       MATCH(U$3,'생산수량Back-Data'!$B$3:$AAA$3,0))</f>
        <v>0</v>
      </c>
      <c r="V16" s="310" cm="1">
        <f t="array" ref="V16">INDEX('생산수량Back-Data'!$B$5:$AAA$10041,
       MATCH($B15,'생산수량Back-Data'!$B$5:$B$10041,0)+2,
       MATCH(V$3,'생산수량Back-Data'!$B$3:$AAA$3,0))</f>
        <v>0</v>
      </c>
      <c r="W16" s="310" cm="1">
        <f t="array" ref="W16">INDEX('생산수량Back-Data'!$B$5:$AAA$10041,
       MATCH($B15,'생산수량Back-Data'!$B$5:$B$10041,0)+2,
       MATCH(W$3,'생산수량Back-Data'!$B$3:$AAA$3,0))</f>
        <v>0</v>
      </c>
      <c r="X16" s="310" cm="1">
        <f t="array" ref="X16">INDEX('생산수량Back-Data'!$B$5:$AAA$10041,
       MATCH($B15,'생산수량Back-Data'!$B$5:$B$10041,0)+2,
       MATCH(X$3,'생산수량Back-Data'!$B$3:$AAA$3,0))</f>
        <v>0</v>
      </c>
      <c r="Y16" s="310" cm="1">
        <f t="array" ref="Y16">INDEX('생산수량Back-Data'!$B$5:$AAA$10041,
       MATCH($B15,'생산수량Back-Data'!$B$5:$B$10041,0)+2,
       MATCH(Y$3,'생산수량Back-Data'!$B$3:$AAA$3,0))</f>
        <v>0</v>
      </c>
      <c r="Z16" s="310" cm="1">
        <f t="array" ref="Z16">INDEX('생산수량Back-Data'!$B$5:$AAA$10041,
       MATCH($B15,'생산수량Back-Data'!$B$5:$B$10041,0)+2,
       MATCH(Z$3,'생산수량Back-Data'!$B$3:$AAA$3,0))</f>
        <v>0</v>
      </c>
      <c r="AA16" s="310" cm="1">
        <f t="array" ref="AA16">INDEX('생산수량Back-Data'!$B$5:$AAA$10041,
       MATCH($B15,'생산수량Back-Data'!$B$5:$B$10041,0)+2,
       MATCH(AA$3,'생산수량Back-Data'!$B$3:$AAA$3,0))</f>
        <v>0</v>
      </c>
      <c r="AB16" s="310" cm="1">
        <f t="array" ref="AB16">INDEX('생산수량Back-Data'!$B$5:$AAA$10041,
       MATCH($B15,'생산수량Back-Data'!$B$5:$B$10041,0)+2,
       MATCH(AB$3,'생산수량Back-Data'!$B$3:$AAA$3,0))</f>
        <v>0</v>
      </c>
      <c r="AC16" s="310" cm="1">
        <f t="array" ref="AC16">INDEX('생산수량Back-Data'!$B$5:$AAA$10041,
       MATCH($B15,'생산수량Back-Data'!$B$5:$B$10041,0)+2,
       MATCH(AC$3,'생산수량Back-Data'!$B$3:$AAA$3,0))</f>
        <v>0</v>
      </c>
      <c r="AD16" s="310" cm="1">
        <f t="array" ref="AD16">INDEX('생산수량Back-Data'!$B$5:$AAA$10041,
       MATCH($B15,'생산수량Back-Data'!$B$5:$B$10041,0)+2,
       MATCH(AD$3,'생산수량Back-Data'!$B$3:$AAA$3,0))</f>
        <v>0</v>
      </c>
      <c r="AE16" s="310" cm="1">
        <f t="array" ref="AE16">INDEX('생산수량Back-Data'!$B$5:$AAA$10041,
       MATCH($B15,'생산수량Back-Data'!$B$5:$B$10041,0)+2,
       MATCH(AE$3,'생산수량Back-Data'!$B$3:$AAA$3,0))</f>
        <v>0</v>
      </c>
      <c r="AF16" s="310" cm="1">
        <f t="array" ref="AF16">INDEX('생산수량Back-Data'!$B$5:$AAA$10041,
       MATCH($B15,'생산수량Back-Data'!$B$5:$B$10041,0)+2,
       MATCH(AF$3,'생산수량Back-Data'!$B$3:$AAA$3,0))</f>
        <v>0</v>
      </c>
      <c r="AG16" s="310" cm="1">
        <f t="array" ref="AG16">INDEX('생산수량Back-Data'!$B$5:$AAA$10041,
       MATCH($B15,'생산수량Back-Data'!$B$5:$B$10041,0)+2,
       MATCH(AG$3,'생산수량Back-Data'!$B$3:$AAA$3,0))</f>
        <v>0</v>
      </c>
      <c r="AH16" s="310" cm="1">
        <f t="array" ref="AH16">INDEX('생산수량Back-Data'!$B$5:$AAA$10041,
       MATCH($B15,'생산수량Back-Data'!$B$5:$B$10041,0)+2,
       MATCH(AH$3,'생산수량Back-Data'!$B$3:$AAA$3,0))</f>
        <v>0</v>
      </c>
      <c r="AI16" s="310" cm="1">
        <f t="array" ref="AI16">INDEX('생산수량Back-Data'!$B$5:$AAA$10041,
       MATCH($B15,'생산수량Back-Data'!$B$5:$B$10041,0)+2,
       MATCH(AI$3,'생산수량Back-Data'!$B$3:$AAA$3,0))</f>
        <v>0</v>
      </c>
      <c r="AJ16" s="310" cm="1">
        <f t="array" ref="AJ16">INDEX('생산수량Back-Data'!$B$5:$AAA$10041,
       MATCH($B15,'생산수량Back-Data'!$B$5:$B$10041,0)+2,
       MATCH(AJ$3,'생산수량Back-Data'!$B$3:$AAA$3,0))</f>
        <v>0</v>
      </c>
      <c r="AK16" s="310" cm="1">
        <f t="array" ref="AK16">INDEX('생산수량Back-Data'!$B$5:$AAA$10041,
       MATCH($B15,'생산수량Back-Data'!$B$5:$B$10041,0)+2,
       MATCH(AK$3,'생산수량Back-Data'!$B$3:$AAA$3,0))</f>
        <v>0</v>
      </c>
      <c r="AL16" s="310" cm="1">
        <f t="array" ref="AL16">INDEX('생산수량Back-Data'!$B$5:$AAA$10041,
       MATCH($B15,'생산수량Back-Data'!$B$5:$B$10041,0)+2,
       MATCH(AL$3,'생산수량Back-Data'!$B$3:$AAA$3,0))</f>
        <v>0</v>
      </c>
      <c r="AM16" s="310" cm="1">
        <f t="array" ref="AM16">INDEX('생산수량Back-Data'!$B$5:$AAA$10041,
       MATCH($B15,'생산수량Back-Data'!$B$5:$B$10041,0)+2,
       MATCH(AM$3,'생산수량Back-Data'!$B$3:$AAA$3,0))</f>
        <v>0</v>
      </c>
      <c r="AN16" s="310" cm="1">
        <f t="array" ref="AN16">INDEX('생산수량Back-Data'!$B$5:$AAA$10041,
       MATCH($B15,'생산수량Back-Data'!$B$5:$B$10041,0)+2,
       MATCH(AN$3,'생산수량Back-Data'!$B$3:$AAA$3,0))</f>
        <v>0</v>
      </c>
      <c r="AO16" s="310" cm="1">
        <f t="array" ref="AO16">INDEX('생산수량Back-Data'!$B$5:$AAA$10041,
       MATCH($B15,'생산수량Back-Data'!$B$5:$B$10041,0)+2,
       MATCH(AO$3,'생산수량Back-Data'!$B$3:$AAA$3,0))</f>
        <v>0</v>
      </c>
      <c r="AP16" s="310" cm="1">
        <f t="array" ref="AP16">INDEX('생산수량Back-Data'!$B$5:$AAA$10041,
       MATCH($B15,'생산수량Back-Data'!$B$5:$B$10041,0)+2,
       MATCH(AP$3,'생산수량Back-Data'!$B$3:$AAA$3,0))</f>
        <v>0</v>
      </c>
      <c r="AQ16" s="310" cm="1">
        <f t="array" ref="AQ16">INDEX('생산수량Back-Data'!$B$5:$AAA$10041,
       MATCH($B15,'생산수량Back-Data'!$B$5:$B$10041,0)+2,
       MATCH(AQ$3,'생산수량Back-Data'!$B$3:$AAA$3,0))</f>
        <v>0</v>
      </c>
      <c r="AR16" s="310" cm="1">
        <f t="array" ref="AR16">INDEX('생산수량Back-Data'!$B$5:$AAA$10041,
       MATCH($B15,'생산수량Back-Data'!$B$5:$B$10041,0)+2,
       MATCH(AR$3,'생산수량Back-Data'!$B$3:$AAA$3,0))</f>
        <v>0</v>
      </c>
      <c r="AS16" s="310" cm="1">
        <f t="array" ref="AS16">INDEX('생산수량Back-Data'!$B$5:$AAA$10041,
       MATCH($B15,'생산수량Back-Data'!$B$5:$B$10041,0)+2,
       MATCH(AS$3,'생산수량Back-Data'!$B$3:$AAA$3,0))</f>
        <v>0</v>
      </c>
      <c r="AT16" s="324" cm="1">
        <f t="array" ref="AT16">INDEX('생산수량Back-Data'!$B$5:$AAA$10041,
       MATCH($B15,'생산수량Back-Data'!$B$5:$B$10041,0)+2,
       MATCH(AT$3,'생산수량Back-Data'!$B$3:$AAA$3,0))</f>
        <v>0</v>
      </c>
    </row>
    <row r="17" spans="2:46" ht="32.1" customHeight="1" x14ac:dyDescent="0.3">
      <c r="B17" s="444" t="s">
        <v>46</v>
      </c>
      <c r="C17" s="444" t="s">
        <v>185</v>
      </c>
      <c r="D17" s="444" t="s">
        <v>191</v>
      </c>
      <c r="E17" s="438">
        <f>ABS(SUMIFS('Fixture 총 발주수량'!Z:Z,'Fixture 총 발주수량'!B:B,'후공정(애칭)생산계획'!B17,'Fixture 총 발주수량'!Z:Z,"&lt;0"))</f>
        <v>1585</v>
      </c>
      <c r="F17" s="437">
        <f>G17-E17</f>
        <v>-1585</v>
      </c>
      <c r="G17" s="437">
        <f>SUMIF(P17:AT17, "&gt;0")</f>
        <v>0</v>
      </c>
      <c r="H17" s="437">
        <f>SUMIF(P18:AT18, "&gt;0")</f>
        <v>0</v>
      </c>
      <c r="I17" s="442">
        <f>IFERROR(H17/G17,)</f>
        <v>0</v>
      </c>
      <c r="J17" s="437">
        <f ca="1">IFERROR(SUMIF('Fixture 총 발주수량'!B:AG,'후공정(애칭)생산계획'!B17,'Fixture 총 발주수량'!AA:AA),)</f>
        <v>521</v>
      </c>
      <c r="K17" s="438">
        <f>ROUNDUP(E17/2000,)</f>
        <v>1</v>
      </c>
      <c r="L17" s="438">
        <f>L15+K17</f>
        <v>8</v>
      </c>
      <c r="M17" s="438">
        <f>L17+K17</f>
        <v>9</v>
      </c>
      <c r="N17" s="438">
        <f>N15+K17</f>
        <v>8</v>
      </c>
      <c r="O17" s="306" t="s">
        <v>264</v>
      </c>
      <c r="P17" s="325"/>
      <c r="Q17" s="312"/>
      <c r="R17" s="312"/>
      <c r="S17" s="312"/>
      <c r="T17" s="312"/>
      <c r="U17" s="312"/>
      <c r="V17" s="312"/>
      <c r="W17" s="312"/>
      <c r="X17" s="312"/>
      <c r="Y17" s="312"/>
      <c r="Z17" s="312"/>
      <c r="AA17" s="312"/>
      <c r="AB17" s="312"/>
      <c r="AC17" s="312"/>
      <c r="AD17" s="312"/>
      <c r="AE17" s="312"/>
      <c r="AF17" s="312"/>
      <c r="AG17" s="312"/>
      <c r="AH17" s="312"/>
      <c r="AI17" s="312"/>
      <c r="AJ17" s="312"/>
      <c r="AK17" s="312"/>
      <c r="AL17" s="312"/>
      <c r="AM17" s="312"/>
      <c r="AN17" s="312"/>
      <c r="AO17" s="312"/>
      <c r="AP17" s="312"/>
      <c r="AQ17" s="312"/>
      <c r="AR17" s="312"/>
      <c r="AS17" s="312"/>
      <c r="AT17" s="313"/>
    </row>
    <row r="18" spans="2:46" ht="32.1" customHeight="1" x14ac:dyDescent="0.3">
      <c r="B18" s="445"/>
      <c r="C18" s="445"/>
      <c r="D18" s="445"/>
      <c r="E18" s="439"/>
      <c r="F18" s="436"/>
      <c r="G18" s="436"/>
      <c r="H18" s="436"/>
      <c r="I18" s="443"/>
      <c r="J18" s="436"/>
      <c r="K18" s="439"/>
      <c r="L18" s="439"/>
      <c r="M18" s="439"/>
      <c r="N18" s="439"/>
      <c r="O18" s="306" t="s">
        <v>266</v>
      </c>
      <c r="P18" s="323" cm="1">
        <f t="array" ref="P18">INDEX('생산수량Back-Data'!$B$5:$AAA$10041,
       MATCH($B17,'생산수량Back-Data'!$B$5:$B$10041,0)+2,
       MATCH(P$3,'생산수량Back-Data'!$B$3:$AAA$3,0))</f>
        <v>0</v>
      </c>
      <c r="Q18" s="310" cm="1">
        <f t="array" ref="Q18">INDEX('생산수량Back-Data'!$B$5:$AAA$10041,
       MATCH($B17,'생산수량Back-Data'!$B$5:$B$10041,0)+2,
       MATCH(Q$3,'생산수량Back-Data'!$B$3:$AAA$3,0))</f>
        <v>0</v>
      </c>
      <c r="R18" s="310" cm="1">
        <f t="array" ref="R18">INDEX('생산수량Back-Data'!$B$5:$AAA$10041,
       MATCH($B17,'생산수량Back-Data'!$B$5:$B$10041,0)+2,
       MATCH(R$3,'생산수량Back-Data'!$B$3:$AAA$3,0))</f>
        <v>0</v>
      </c>
      <c r="S18" s="310" cm="1">
        <f t="array" ref="S18">INDEX('생산수량Back-Data'!$B$5:$AAA$10041,
       MATCH($B17,'생산수량Back-Data'!$B$5:$B$10041,0)+2,
       MATCH(S$3,'생산수량Back-Data'!$B$3:$AAA$3,0))</f>
        <v>0</v>
      </c>
      <c r="T18" s="310" cm="1">
        <f t="array" ref="T18">INDEX('생산수량Back-Data'!$B$5:$AAA$10041,
       MATCH($B17,'생산수량Back-Data'!$B$5:$B$10041,0)+2,
       MATCH(T$3,'생산수량Back-Data'!$B$3:$AAA$3,0))</f>
        <v>0</v>
      </c>
      <c r="U18" s="310" cm="1">
        <f t="array" ref="U18">INDEX('생산수량Back-Data'!$B$5:$AAA$10041,
       MATCH($B17,'생산수량Back-Data'!$B$5:$B$10041,0)+2,
       MATCH(U$3,'생산수량Back-Data'!$B$3:$AAA$3,0))</f>
        <v>0</v>
      </c>
      <c r="V18" s="310" cm="1">
        <f t="array" ref="V18">INDEX('생산수량Back-Data'!$B$5:$AAA$10041,
       MATCH($B17,'생산수량Back-Data'!$B$5:$B$10041,0)+2,
       MATCH(V$3,'생산수량Back-Data'!$B$3:$AAA$3,0))</f>
        <v>0</v>
      </c>
      <c r="W18" s="310" cm="1">
        <f t="array" ref="W18">INDEX('생산수량Back-Data'!$B$5:$AAA$10041,
       MATCH($B17,'생산수량Back-Data'!$B$5:$B$10041,0)+2,
       MATCH(W$3,'생산수량Back-Data'!$B$3:$AAA$3,0))</f>
        <v>0</v>
      </c>
      <c r="X18" s="310" cm="1">
        <f t="array" ref="X18">INDEX('생산수량Back-Data'!$B$5:$AAA$10041,
       MATCH($B17,'생산수량Back-Data'!$B$5:$B$10041,0)+2,
       MATCH(X$3,'생산수량Back-Data'!$B$3:$AAA$3,0))</f>
        <v>0</v>
      </c>
      <c r="Y18" s="310" cm="1">
        <f t="array" ref="Y18">INDEX('생산수량Back-Data'!$B$5:$AAA$10041,
       MATCH($B17,'생산수량Back-Data'!$B$5:$B$10041,0)+2,
       MATCH(Y$3,'생산수량Back-Data'!$B$3:$AAA$3,0))</f>
        <v>0</v>
      </c>
      <c r="Z18" s="310" cm="1">
        <f t="array" ref="Z18">INDEX('생산수량Back-Data'!$B$5:$AAA$10041,
       MATCH($B17,'생산수량Back-Data'!$B$5:$B$10041,0)+2,
       MATCH(Z$3,'생산수량Back-Data'!$B$3:$AAA$3,0))</f>
        <v>0</v>
      </c>
      <c r="AA18" s="310" cm="1">
        <f t="array" ref="AA18">INDEX('생산수량Back-Data'!$B$5:$AAA$10041,
       MATCH($B17,'생산수량Back-Data'!$B$5:$B$10041,0)+2,
       MATCH(AA$3,'생산수량Back-Data'!$B$3:$AAA$3,0))</f>
        <v>0</v>
      </c>
      <c r="AB18" s="310" cm="1">
        <f t="array" ref="AB18">INDEX('생산수량Back-Data'!$B$5:$AAA$10041,
       MATCH($B17,'생산수량Back-Data'!$B$5:$B$10041,0)+2,
       MATCH(AB$3,'생산수량Back-Data'!$B$3:$AAA$3,0))</f>
        <v>0</v>
      </c>
      <c r="AC18" s="310" cm="1">
        <f t="array" ref="AC18">INDEX('생산수량Back-Data'!$B$5:$AAA$10041,
       MATCH($B17,'생산수량Back-Data'!$B$5:$B$10041,0)+2,
       MATCH(AC$3,'생산수량Back-Data'!$B$3:$AAA$3,0))</f>
        <v>0</v>
      </c>
      <c r="AD18" s="310" cm="1">
        <f t="array" ref="AD18">INDEX('생산수량Back-Data'!$B$5:$AAA$10041,
       MATCH($B17,'생산수량Back-Data'!$B$5:$B$10041,0)+2,
       MATCH(AD$3,'생산수량Back-Data'!$B$3:$AAA$3,0))</f>
        <v>0</v>
      </c>
      <c r="AE18" s="310" cm="1">
        <f t="array" ref="AE18">INDEX('생산수량Back-Data'!$B$5:$AAA$10041,
       MATCH($B17,'생산수량Back-Data'!$B$5:$B$10041,0)+2,
       MATCH(AE$3,'생산수량Back-Data'!$B$3:$AAA$3,0))</f>
        <v>0</v>
      </c>
      <c r="AF18" s="310" cm="1">
        <f t="array" ref="AF18">INDEX('생산수량Back-Data'!$B$5:$AAA$10041,
       MATCH($B17,'생산수량Back-Data'!$B$5:$B$10041,0)+2,
       MATCH(AF$3,'생산수량Back-Data'!$B$3:$AAA$3,0))</f>
        <v>0</v>
      </c>
      <c r="AG18" s="310" cm="1">
        <f t="array" ref="AG18">INDEX('생산수량Back-Data'!$B$5:$AAA$10041,
       MATCH($B17,'생산수량Back-Data'!$B$5:$B$10041,0)+2,
       MATCH(AG$3,'생산수량Back-Data'!$B$3:$AAA$3,0))</f>
        <v>0</v>
      </c>
      <c r="AH18" s="310" cm="1">
        <f t="array" ref="AH18">INDEX('생산수량Back-Data'!$B$5:$AAA$10041,
       MATCH($B17,'생산수량Back-Data'!$B$5:$B$10041,0)+2,
       MATCH(AH$3,'생산수량Back-Data'!$B$3:$AAA$3,0))</f>
        <v>0</v>
      </c>
      <c r="AI18" s="310" cm="1">
        <f t="array" ref="AI18">INDEX('생산수량Back-Data'!$B$5:$AAA$10041,
       MATCH($B17,'생산수량Back-Data'!$B$5:$B$10041,0)+2,
       MATCH(AI$3,'생산수량Back-Data'!$B$3:$AAA$3,0))</f>
        <v>0</v>
      </c>
      <c r="AJ18" s="310" cm="1">
        <f t="array" ref="AJ18">INDEX('생산수량Back-Data'!$B$5:$AAA$10041,
       MATCH($B17,'생산수량Back-Data'!$B$5:$B$10041,0)+2,
       MATCH(AJ$3,'생산수량Back-Data'!$B$3:$AAA$3,0))</f>
        <v>0</v>
      </c>
      <c r="AK18" s="310" cm="1">
        <f t="array" ref="AK18">INDEX('생산수량Back-Data'!$B$5:$AAA$10041,
       MATCH($B17,'생산수량Back-Data'!$B$5:$B$10041,0)+2,
       MATCH(AK$3,'생산수량Back-Data'!$B$3:$AAA$3,0))</f>
        <v>0</v>
      </c>
      <c r="AL18" s="310" cm="1">
        <f t="array" ref="AL18">INDEX('생산수량Back-Data'!$B$5:$AAA$10041,
       MATCH($B17,'생산수량Back-Data'!$B$5:$B$10041,0)+2,
       MATCH(AL$3,'생산수량Back-Data'!$B$3:$AAA$3,0))</f>
        <v>0</v>
      </c>
      <c r="AM18" s="310" cm="1">
        <f t="array" ref="AM18">INDEX('생산수량Back-Data'!$B$5:$AAA$10041,
       MATCH($B17,'생산수량Back-Data'!$B$5:$B$10041,0)+2,
       MATCH(AM$3,'생산수량Back-Data'!$B$3:$AAA$3,0))</f>
        <v>0</v>
      </c>
      <c r="AN18" s="310" cm="1">
        <f t="array" ref="AN18">INDEX('생산수량Back-Data'!$B$5:$AAA$10041,
       MATCH($B17,'생산수량Back-Data'!$B$5:$B$10041,0)+2,
       MATCH(AN$3,'생산수량Back-Data'!$B$3:$AAA$3,0))</f>
        <v>0</v>
      </c>
      <c r="AO18" s="310" cm="1">
        <f t="array" ref="AO18">INDEX('생산수량Back-Data'!$B$5:$AAA$10041,
       MATCH($B17,'생산수량Back-Data'!$B$5:$B$10041,0)+2,
       MATCH(AO$3,'생산수량Back-Data'!$B$3:$AAA$3,0))</f>
        <v>0</v>
      </c>
      <c r="AP18" s="310" cm="1">
        <f t="array" ref="AP18">INDEX('생산수량Back-Data'!$B$5:$AAA$10041,
       MATCH($B17,'생산수량Back-Data'!$B$5:$B$10041,0)+2,
       MATCH(AP$3,'생산수량Back-Data'!$B$3:$AAA$3,0))</f>
        <v>0</v>
      </c>
      <c r="AQ18" s="310" cm="1">
        <f t="array" ref="AQ18">INDEX('생산수량Back-Data'!$B$5:$AAA$10041,
       MATCH($B17,'생산수량Back-Data'!$B$5:$B$10041,0)+2,
       MATCH(AQ$3,'생산수량Back-Data'!$B$3:$AAA$3,0))</f>
        <v>0</v>
      </c>
      <c r="AR18" s="310" cm="1">
        <f t="array" ref="AR18">INDEX('생산수량Back-Data'!$B$5:$AAA$10041,
       MATCH($B17,'생산수량Back-Data'!$B$5:$B$10041,0)+2,
       MATCH(AR$3,'생산수량Back-Data'!$B$3:$AAA$3,0))</f>
        <v>0</v>
      </c>
      <c r="AS18" s="310" cm="1">
        <f t="array" ref="AS18">INDEX('생산수량Back-Data'!$B$5:$AAA$10041,
       MATCH($B17,'생산수량Back-Data'!$B$5:$B$10041,0)+2,
       MATCH(AS$3,'생산수량Back-Data'!$B$3:$AAA$3,0))</f>
        <v>0</v>
      </c>
      <c r="AT18" s="324" cm="1">
        <f t="array" ref="AT18">INDEX('생산수량Back-Data'!$B$5:$AAA$10041,
       MATCH($B17,'생산수량Back-Data'!$B$5:$B$10041,0)+2,
       MATCH(AT$3,'생산수량Back-Data'!$B$3:$AAA$3,0))</f>
        <v>0</v>
      </c>
    </row>
    <row r="19" spans="2:46" ht="32.1" customHeight="1" x14ac:dyDescent="0.3">
      <c r="B19" s="444" t="s">
        <v>47</v>
      </c>
      <c r="C19" s="444" t="s">
        <v>185</v>
      </c>
      <c r="D19" s="444" t="s">
        <v>192</v>
      </c>
      <c r="E19" s="438">
        <f>ABS(SUMIFS('Fixture 총 발주수량'!Z:Z,'Fixture 총 발주수량'!B:B,'후공정(애칭)생산계획'!B19,'Fixture 총 발주수량'!Z:Z,"&lt;0"))</f>
        <v>0</v>
      </c>
      <c r="F19" s="437">
        <f>G19-E19</f>
        <v>0</v>
      </c>
      <c r="G19" s="437">
        <f>SUMIF(P19:AT19, "&gt;0")</f>
        <v>0</v>
      </c>
      <c r="H19" s="437">
        <f>SUMIF(P20:AT20, "&gt;0")</f>
        <v>0</v>
      </c>
      <c r="I19" s="442">
        <f>IFERROR(H19/G19,)</f>
        <v>0</v>
      </c>
      <c r="J19" s="437">
        <f ca="1">IFERROR(SUMIF('Fixture 총 발주수량'!B:AG,'후공정(애칭)생산계획'!B19,'Fixture 총 발주수량'!AA:AA),)</f>
        <v>0</v>
      </c>
      <c r="K19" s="438">
        <f>ROUNDUP(E19/2000,)</f>
        <v>0</v>
      </c>
      <c r="L19" s="438">
        <f>L17+K19</f>
        <v>8</v>
      </c>
      <c r="M19" s="438">
        <f>L19+K19</f>
        <v>8</v>
      </c>
      <c r="N19" s="438">
        <f>N17+K19</f>
        <v>8</v>
      </c>
      <c r="O19" s="306" t="s">
        <v>264</v>
      </c>
      <c r="P19" s="325"/>
      <c r="Q19" s="312"/>
      <c r="R19" s="312"/>
      <c r="S19" s="312"/>
      <c r="T19" s="312"/>
      <c r="U19" s="312"/>
      <c r="V19" s="312"/>
      <c r="W19" s="312"/>
      <c r="X19" s="312"/>
      <c r="Y19" s="312"/>
      <c r="Z19" s="312"/>
      <c r="AA19" s="312"/>
      <c r="AB19" s="312"/>
      <c r="AC19" s="312"/>
      <c r="AD19" s="312"/>
      <c r="AE19" s="312"/>
      <c r="AF19" s="312"/>
      <c r="AG19" s="312"/>
      <c r="AH19" s="312"/>
      <c r="AI19" s="312"/>
      <c r="AJ19" s="312"/>
      <c r="AK19" s="312"/>
      <c r="AL19" s="312"/>
      <c r="AM19" s="312"/>
      <c r="AN19" s="312"/>
      <c r="AO19" s="312"/>
      <c r="AP19" s="312"/>
      <c r="AQ19" s="312"/>
      <c r="AR19" s="312"/>
      <c r="AS19" s="312"/>
      <c r="AT19" s="313"/>
    </row>
    <row r="20" spans="2:46" ht="32.1" customHeight="1" thickBot="1" x14ac:dyDescent="0.35">
      <c r="B20" s="454"/>
      <c r="C20" s="454"/>
      <c r="D20" s="454"/>
      <c r="E20" s="450"/>
      <c r="F20" s="452"/>
      <c r="G20" s="452"/>
      <c r="H20" s="452"/>
      <c r="I20" s="453"/>
      <c r="J20" s="452"/>
      <c r="K20" s="450"/>
      <c r="L20" s="450"/>
      <c r="M20" s="450"/>
      <c r="N20" s="450"/>
      <c r="O20" s="305" t="s">
        <v>266</v>
      </c>
      <c r="P20" s="323" cm="1">
        <f t="array" ref="P20">INDEX('생산수량Back-Data'!$B$5:$AAA$10041,
       MATCH($B19,'생산수량Back-Data'!$B$5:$B$10041,0)+2,
       MATCH(P$3,'생산수량Back-Data'!$B$3:$AAA$3,0))</f>
        <v>0</v>
      </c>
      <c r="Q20" s="310" cm="1">
        <f t="array" ref="Q20">INDEX('생산수량Back-Data'!$B$5:$AAA$10041,
       MATCH($B19,'생산수량Back-Data'!$B$5:$B$10041,0)+2,
       MATCH(Q$3,'생산수량Back-Data'!$B$3:$AAA$3,0))</f>
        <v>0</v>
      </c>
      <c r="R20" s="310" cm="1">
        <f t="array" ref="R20">INDEX('생산수량Back-Data'!$B$5:$AAA$10041,
       MATCH($B19,'생산수량Back-Data'!$B$5:$B$10041,0)+2,
       MATCH(R$3,'생산수량Back-Data'!$B$3:$AAA$3,0))</f>
        <v>0</v>
      </c>
      <c r="S20" s="310" cm="1">
        <f t="array" ref="S20">INDEX('생산수량Back-Data'!$B$5:$AAA$10041,
       MATCH($B19,'생산수량Back-Data'!$B$5:$B$10041,0)+2,
       MATCH(S$3,'생산수량Back-Data'!$B$3:$AAA$3,0))</f>
        <v>0</v>
      </c>
      <c r="T20" s="310" cm="1">
        <f t="array" ref="T20">INDEX('생산수량Back-Data'!$B$5:$AAA$10041,
       MATCH($B19,'생산수량Back-Data'!$B$5:$B$10041,0)+2,
       MATCH(T$3,'생산수량Back-Data'!$B$3:$AAA$3,0))</f>
        <v>0</v>
      </c>
      <c r="U20" s="310" cm="1">
        <f t="array" ref="U20">INDEX('생산수량Back-Data'!$B$5:$AAA$10041,
       MATCH($B19,'생산수량Back-Data'!$B$5:$B$10041,0)+2,
       MATCH(U$3,'생산수량Back-Data'!$B$3:$AAA$3,0))</f>
        <v>0</v>
      </c>
      <c r="V20" s="310" cm="1">
        <f t="array" ref="V20">INDEX('생산수량Back-Data'!$B$5:$AAA$10041,
       MATCH($B19,'생산수량Back-Data'!$B$5:$B$10041,0)+2,
       MATCH(V$3,'생산수량Back-Data'!$B$3:$AAA$3,0))</f>
        <v>0</v>
      </c>
      <c r="W20" s="310" cm="1">
        <f t="array" ref="W20">INDEX('생산수량Back-Data'!$B$5:$AAA$10041,
       MATCH($B19,'생산수량Back-Data'!$B$5:$B$10041,0)+2,
       MATCH(W$3,'생산수량Back-Data'!$B$3:$AAA$3,0))</f>
        <v>0</v>
      </c>
      <c r="X20" s="310" cm="1">
        <f t="array" ref="X20">INDEX('생산수량Back-Data'!$B$5:$AAA$10041,
       MATCH($B19,'생산수량Back-Data'!$B$5:$B$10041,0)+2,
       MATCH(X$3,'생산수량Back-Data'!$B$3:$AAA$3,0))</f>
        <v>0</v>
      </c>
      <c r="Y20" s="310" cm="1">
        <f t="array" ref="Y20">INDEX('생산수량Back-Data'!$B$5:$AAA$10041,
       MATCH($B19,'생산수량Back-Data'!$B$5:$B$10041,0)+2,
       MATCH(Y$3,'생산수량Back-Data'!$B$3:$AAA$3,0))</f>
        <v>0</v>
      </c>
      <c r="Z20" s="310" cm="1">
        <f t="array" ref="Z20">INDEX('생산수량Back-Data'!$B$5:$AAA$10041,
       MATCH($B19,'생산수량Back-Data'!$B$5:$B$10041,0)+2,
       MATCH(Z$3,'생산수량Back-Data'!$B$3:$AAA$3,0))</f>
        <v>0</v>
      </c>
      <c r="AA20" s="310" cm="1">
        <f t="array" ref="AA20">INDEX('생산수량Back-Data'!$B$5:$AAA$10041,
       MATCH($B19,'생산수량Back-Data'!$B$5:$B$10041,0)+2,
       MATCH(AA$3,'생산수량Back-Data'!$B$3:$AAA$3,0))</f>
        <v>0</v>
      </c>
      <c r="AB20" s="310" cm="1">
        <f t="array" ref="AB20">INDEX('생산수량Back-Data'!$B$5:$AAA$10041,
       MATCH($B19,'생산수량Back-Data'!$B$5:$B$10041,0)+2,
       MATCH(AB$3,'생산수량Back-Data'!$B$3:$AAA$3,0))</f>
        <v>0</v>
      </c>
      <c r="AC20" s="310" cm="1">
        <f t="array" ref="AC20">INDEX('생산수량Back-Data'!$B$5:$AAA$10041,
       MATCH($B19,'생산수량Back-Data'!$B$5:$B$10041,0)+2,
       MATCH(AC$3,'생산수량Back-Data'!$B$3:$AAA$3,0))</f>
        <v>0</v>
      </c>
      <c r="AD20" s="310" cm="1">
        <f t="array" ref="AD20">INDEX('생산수량Back-Data'!$B$5:$AAA$10041,
       MATCH($B19,'생산수량Back-Data'!$B$5:$B$10041,0)+2,
       MATCH(AD$3,'생산수량Back-Data'!$B$3:$AAA$3,0))</f>
        <v>0</v>
      </c>
      <c r="AE20" s="310" cm="1">
        <f t="array" ref="AE20">INDEX('생산수량Back-Data'!$B$5:$AAA$10041,
       MATCH($B19,'생산수량Back-Data'!$B$5:$B$10041,0)+2,
       MATCH(AE$3,'생산수량Back-Data'!$B$3:$AAA$3,0))</f>
        <v>0</v>
      </c>
      <c r="AF20" s="310" cm="1">
        <f t="array" ref="AF20">INDEX('생산수량Back-Data'!$B$5:$AAA$10041,
       MATCH($B19,'생산수량Back-Data'!$B$5:$B$10041,0)+2,
       MATCH(AF$3,'생산수량Back-Data'!$B$3:$AAA$3,0))</f>
        <v>0</v>
      </c>
      <c r="AG20" s="310" cm="1">
        <f t="array" ref="AG20">INDEX('생산수량Back-Data'!$B$5:$AAA$10041,
       MATCH($B19,'생산수량Back-Data'!$B$5:$B$10041,0)+2,
       MATCH(AG$3,'생산수량Back-Data'!$B$3:$AAA$3,0))</f>
        <v>0</v>
      </c>
      <c r="AH20" s="310" cm="1">
        <f t="array" ref="AH20">INDEX('생산수량Back-Data'!$B$5:$AAA$10041,
       MATCH($B19,'생산수량Back-Data'!$B$5:$B$10041,0)+2,
       MATCH(AH$3,'생산수량Back-Data'!$B$3:$AAA$3,0))</f>
        <v>0</v>
      </c>
      <c r="AI20" s="310" cm="1">
        <f t="array" ref="AI20">INDEX('생산수량Back-Data'!$B$5:$AAA$10041,
       MATCH($B19,'생산수량Back-Data'!$B$5:$B$10041,0)+2,
       MATCH(AI$3,'생산수량Back-Data'!$B$3:$AAA$3,0))</f>
        <v>0</v>
      </c>
      <c r="AJ20" s="310" cm="1">
        <f t="array" ref="AJ20">INDEX('생산수량Back-Data'!$B$5:$AAA$10041,
       MATCH($B19,'생산수량Back-Data'!$B$5:$B$10041,0)+2,
       MATCH(AJ$3,'생산수량Back-Data'!$B$3:$AAA$3,0))</f>
        <v>0</v>
      </c>
      <c r="AK20" s="310" cm="1">
        <f t="array" ref="AK20">INDEX('생산수량Back-Data'!$B$5:$AAA$10041,
       MATCH($B19,'생산수량Back-Data'!$B$5:$B$10041,0)+2,
       MATCH(AK$3,'생산수량Back-Data'!$B$3:$AAA$3,0))</f>
        <v>0</v>
      </c>
      <c r="AL20" s="310" cm="1">
        <f t="array" ref="AL20">INDEX('생산수량Back-Data'!$B$5:$AAA$10041,
       MATCH($B19,'생산수량Back-Data'!$B$5:$B$10041,0)+2,
       MATCH(AL$3,'생산수량Back-Data'!$B$3:$AAA$3,0))</f>
        <v>0</v>
      </c>
      <c r="AM20" s="310" cm="1">
        <f t="array" ref="AM20">INDEX('생산수량Back-Data'!$B$5:$AAA$10041,
       MATCH($B19,'생산수량Back-Data'!$B$5:$B$10041,0)+2,
       MATCH(AM$3,'생산수량Back-Data'!$B$3:$AAA$3,0))</f>
        <v>0</v>
      </c>
      <c r="AN20" s="310" cm="1">
        <f t="array" ref="AN20">INDEX('생산수량Back-Data'!$B$5:$AAA$10041,
       MATCH($B19,'생산수량Back-Data'!$B$5:$B$10041,0)+2,
       MATCH(AN$3,'생산수량Back-Data'!$B$3:$AAA$3,0))</f>
        <v>0</v>
      </c>
      <c r="AO20" s="310" cm="1">
        <f t="array" ref="AO20">INDEX('생산수량Back-Data'!$B$5:$AAA$10041,
       MATCH($B19,'생산수량Back-Data'!$B$5:$B$10041,0)+2,
       MATCH(AO$3,'생산수량Back-Data'!$B$3:$AAA$3,0))</f>
        <v>0</v>
      </c>
      <c r="AP20" s="310" cm="1">
        <f t="array" ref="AP20">INDEX('생산수량Back-Data'!$B$5:$AAA$10041,
       MATCH($B19,'생산수량Back-Data'!$B$5:$B$10041,0)+2,
       MATCH(AP$3,'생산수량Back-Data'!$B$3:$AAA$3,0))</f>
        <v>0</v>
      </c>
      <c r="AQ20" s="310" cm="1">
        <f t="array" ref="AQ20">INDEX('생산수량Back-Data'!$B$5:$AAA$10041,
       MATCH($B19,'생산수량Back-Data'!$B$5:$B$10041,0)+2,
       MATCH(AQ$3,'생산수량Back-Data'!$B$3:$AAA$3,0))</f>
        <v>0</v>
      </c>
      <c r="AR20" s="310" cm="1">
        <f t="array" ref="AR20">INDEX('생산수량Back-Data'!$B$5:$AAA$10041,
       MATCH($B19,'생산수량Back-Data'!$B$5:$B$10041,0)+2,
       MATCH(AR$3,'생산수량Back-Data'!$B$3:$AAA$3,0))</f>
        <v>0</v>
      </c>
      <c r="AS20" s="310" cm="1">
        <f t="array" ref="AS20">INDEX('생산수량Back-Data'!$B$5:$AAA$10041,
       MATCH($B19,'생산수량Back-Data'!$B$5:$B$10041,0)+2,
       MATCH(AS$3,'생산수량Back-Data'!$B$3:$AAA$3,0))</f>
        <v>0</v>
      </c>
      <c r="AT20" s="324" cm="1">
        <f t="array" ref="AT20">INDEX('생산수량Back-Data'!$B$5:$AAA$10041,
       MATCH($B19,'생산수량Back-Data'!$B$5:$B$10041,0)+2,
       MATCH(AT$3,'생산수량Back-Data'!$B$3:$AAA$3,0))</f>
        <v>0</v>
      </c>
    </row>
    <row r="21" spans="2:46" ht="32.1" customHeight="1" x14ac:dyDescent="0.3">
      <c r="B21" s="449" t="s">
        <v>40</v>
      </c>
      <c r="C21" s="449" t="s">
        <v>185</v>
      </c>
      <c r="D21" s="449" t="s">
        <v>189</v>
      </c>
      <c r="E21" s="446">
        <f>ABS(SUMIFS('Fixture 총 발주수량'!Z:Z,'Fixture 총 발주수량'!B:B,'후공정(애칭)생산계획'!B21,'Fixture 총 발주수량'!Z:Z,"&lt;0"))</f>
        <v>1941</v>
      </c>
      <c r="F21" s="435">
        <f>G21-E21</f>
        <v>-1941</v>
      </c>
      <c r="G21" s="435">
        <f>SUMIF(P21:AT21, "&gt;0")</f>
        <v>0</v>
      </c>
      <c r="H21" s="435">
        <f>SUMIF(P22:AT22, "&gt;0")</f>
        <v>0</v>
      </c>
      <c r="I21" s="448">
        <f>IFERROR(H21/G21,)</f>
        <v>0</v>
      </c>
      <c r="J21" s="435">
        <f ca="1">IFERROR(SUMIF('Fixture 총 발주수량'!B:AG,'후공정(애칭)생산계획'!B21,'Fixture 총 발주수량'!AA:AA),)</f>
        <v>665</v>
      </c>
      <c r="K21" s="446">
        <f>ROUNDUP(E21/2000,)</f>
        <v>1</v>
      </c>
      <c r="L21" s="446">
        <f>L19+K21</f>
        <v>9</v>
      </c>
      <c r="M21" s="446">
        <f>L21+K21</f>
        <v>10</v>
      </c>
      <c r="N21" s="446">
        <f>N19+K21</f>
        <v>9</v>
      </c>
      <c r="O21" s="336" t="s">
        <v>264</v>
      </c>
      <c r="P21" s="420"/>
      <c r="Q21" s="338"/>
      <c r="R21" s="338"/>
      <c r="S21" s="338"/>
      <c r="T21" s="338"/>
      <c r="U21" s="338"/>
      <c r="V21" s="338"/>
      <c r="W21" s="338"/>
      <c r="X21" s="338"/>
      <c r="Y21" s="338"/>
      <c r="Z21" s="338"/>
      <c r="AA21" s="338"/>
      <c r="AB21" s="338"/>
      <c r="AC21" s="338"/>
      <c r="AD21" s="338"/>
      <c r="AE21" s="338"/>
      <c r="AF21" s="338"/>
      <c r="AG21" s="338"/>
      <c r="AH21" s="338"/>
      <c r="AI21" s="338"/>
      <c r="AJ21" s="338"/>
      <c r="AK21" s="338"/>
      <c r="AL21" s="338"/>
      <c r="AM21" s="338"/>
      <c r="AN21" s="338"/>
      <c r="AO21" s="338"/>
      <c r="AP21" s="338"/>
      <c r="AQ21" s="338"/>
      <c r="AR21" s="338"/>
      <c r="AS21" s="338"/>
      <c r="AT21" s="339"/>
    </row>
    <row r="22" spans="2:46" ht="32.1" customHeight="1" x14ac:dyDescent="0.3">
      <c r="B22" s="445"/>
      <c r="C22" s="445"/>
      <c r="D22" s="445"/>
      <c r="E22" s="439"/>
      <c r="F22" s="436"/>
      <c r="G22" s="436"/>
      <c r="H22" s="436"/>
      <c r="I22" s="443"/>
      <c r="J22" s="436"/>
      <c r="K22" s="439"/>
      <c r="L22" s="439"/>
      <c r="M22" s="439"/>
      <c r="N22" s="439"/>
      <c r="O22" s="306" t="s">
        <v>266</v>
      </c>
      <c r="P22" s="327" cm="1">
        <f t="array" ref="P22">INDEX('생산수량Back-Data'!$B$5:$AAA$10041,
       MATCH($B21,'생산수량Back-Data'!$B$5:$B$10041,0)+2,
       MATCH(P$3,'생산수량Back-Data'!$B$3:$AAA$3,0))</f>
        <v>0</v>
      </c>
      <c r="Q22" s="328" cm="1">
        <f t="array" ref="Q22">INDEX('생산수량Back-Data'!$B$5:$AAA$10041,
       MATCH($B21,'생산수량Back-Data'!$B$5:$B$10041,0)+2,
       MATCH(Q$3,'생산수량Back-Data'!$B$3:$AAA$3,0))</f>
        <v>0</v>
      </c>
      <c r="R22" s="328" cm="1">
        <f t="array" ref="R22">INDEX('생산수량Back-Data'!$B$5:$AAA$10041,
       MATCH($B21,'생산수량Back-Data'!$B$5:$B$10041,0)+2,
       MATCH(R$3,'생산수량Back-Data'!$B$3:$AAA$3,0))</f>
        <v>0</v>
      </c>
      <c r="S22" s="328" cm="1">
        <f t="array" ref="S22">INDEX('생산수량Back-Data'!$B$5:$AAA$10041,
       MATCH($B21,'생산수량Back-Data'!$B$5:$B$10041,0)+2,
       MATCH(S$3,'생산수량Back-Data'!$B$3:$AAA$3,0))</f>
        <v>0</v>
      </c>
      <c r="T22" s="328" cm="1">
        <f t="array" ref="T22">INDEX('생산수량Back-Data'!$B$5:$AAA$10041,
       MATCH($B21,'생산수량Back-Data'!$B$5:$B$10041,0)+2,
       MATCH(T$3,'생산수량Back-Data'!$B$3:$AAA$3,0))</f>
        <v>0</v>
      </c>
      <c r="U22" s="328" cm="1">
        <f t="array" ref="U22">INDEX('생산수량Back-Data'!$B$5:$AAA$10041,
       MATCH($B21,'생산수량Back-Data'!$B$5:$B$10041,0)+2,
       MATCH(U$3,'생산수량Back-Data'!$B$3:$AAA$3,0))</f>
        <v>0</v>
      </c>
      <c r="V22" s="328" cm="1">
        <f t="array" ref="V22">INDEX('생산수량Back-Data'!$B$5:$AAA$10041,
       MATCH($B21,'생산수량Back-Data'!$B$5:$B$10041,0)+2,
       MATCH(V$3,'생산수량Back-Data'!$B$3:$AAA$3,0))</f>
        <v>0</v>
      </c>
      <c r="W22" s="328" cm="1">
        <f t="array" ref="W22">INDEX('생산수량Back-Data'!$B$5:$AAA$10041,
       MATCH($B21,'생산수량Back-Data'!$B$5:$B$10041,0)+2,
       MATCH(W$3,'생산수량Back-Data'!$B$3:$AAA$3,0))</f>
        <v>0</v>
      </c>
      <c r="X22" s="328" cm="1">
        <f t="array" ref="X22">INDEX('생산수량Back-Data'!$B$5:$AAA$10041,
       MATCH($B21,'생산수량Back-Data'!$B$5:$B$10041,0)+2,
       MATCH(X$3,'생산수량Back-Data'!$B$3:$AAA$3,0))</f>
        <v>0</v>
      </c>
      <c r="Y22" s="328" cm="1">
        <f t="array" ref="Y22">INDEX('생산수량Back-Data'!$B$5:$AAA$10041,
       MATCH($B21,'생산수량Back-Data'!$B$5:$B$10041,0)+2,
       MATCH(Y$3,'생산수량Back-Data'!$B$3:$AAA$3,0))</f>
        <v>0</v>
      </c>
      <c r="Z22" s="328" cm="1">
        <f t="array" ref="Z22">INDEX('생산수량Back-Data'!$B$5:$AAA$10041,
       MATCH($B21,'생산수량Back-Data'!$B$5:$B$10041,0)+2,
       MATCH(Z$3,'생산수량Back-Data'!$B$3:$AAA$3,0))</f>
        <v>0</v>
      </c>
      <c r="AA22" s="328" cm="1">
        <f t="array" ref="AA22">INDEX('생산수량Back-Data'!$B$5:$AAA$10041,
       MATCH($B21,'생산수량Back-Data'!$B$5:$B$10041,0)+2,
       MATCH(AA$3,'생산수량Back-Data'!$B$3:$AAA$3,0))</f>
        <v>0</v>
      </c>
      <c r="AB22" s="328" cm="1">
        <f t="array" ref="AB22">INDEX('생산수량Back-Data'!$B$5:$AAA$10041,
       MATCH($B21,'생산수량Back-Data'!$B$5:$B$10041,0)+2,
       MATCH(AB$3,'생산수량Back-Data'!$B$3:$AAA$3,0))</f>
        <v>0</v>
      </c>
      <c r="AC22" s="328" cm="1">
        <f t="array" ref="AC22">INDEX('생산수량Back-Data'!$B$5:$AAA$10041,
       MATCH($B21,'생산수량Back-Data'!$B$5:$B$10041,0)+2,
       MATCH(AC$3,'생산수량Back-Data'!$B$3:$AAA$3,0))</f>
        <v>0</v>
      </c>
      <c r="AD22" s="328" cm="1">
        <f t="array" ref="AD22">INDEX('생산수량Back-Data'!$B$5:$AAA$10041,
       MATCH($B21,'생산수량Back-Data'!$B$5:$B$10041,0)+2,
       MATCH(AD$3,'생산수량Back-Data'!$B$3:$AAA$3,0))</f>
        <v>0</v>
      </c>
      <c r="AE22" s="328" cm="1">
        <f t="array" ref="AE22">INDEX('생산수량Back-Data'!$B$5:$AAA$10041,
       MATCH($B21,'생산수량Back-Data'!$B$5:$B$10041,0)+2,
       MATCH(AE$3,'생산수량Back-Data'!$B$3:$AAA$3,0))</f>
        <v>0</v>
      </c>
      <c r="AF22" s="328" cm="1">
        <f t="array" ref="AF22">INDEX('생산수량Back-Data'!$B$5:$AAA$10041,
       MATCH($B21,'생산수량Back-Data'!$B$5:$B$10041,0)+2,
       MATCH(AF$3,'생산수량Back-Data'!$B$3:$AAA$3,0))</f>
        <v>0</v>
      </c>
      <c r="AG22" s="328" cm="1">
        <f t="array" ref="AG22">INDEX('생산수량Back-Data'!$B$5:$AAA$10041,
       MATCH($B21,'생산수량Back-Data'!$B$5:$B$10041,0)+2,
       MATCH(AG$3,'생산수량Back-Data'!$B$3:$AAA$3,0))</f>
        <v>0</v>
      </c>
      <c r="AH22" s="328" cm="1">
        <f t="array" ref="AH22">INDEX('생산수량Back-Data'!$B$5:$AAA$10041,
       MATCH($B21,'생산수량Back-Data'!$B$5:$B$10041,0)+2,
       MATCH(AH$3,'생산수량Back-Data'!$B$3:$AAA$3,0))</f>
        <v>0</v>
      </c>
      <c r="AI22" s="328" cm="1">
        <f t="array" ref="AI22">INDEX('생산수량Back-Data'!$B$5:$AAA$10041,
       MATCH($B21,'생산수량Back-Data'!$B$5:$B$10041,0)+2,
       MATCH(AI$3,'생산수량Back-Data'!$B$3:$AAA$3,0))</f>
        <v>0</v>
      </c>
      <c r="AJ22" s="328" cm="1">
        <f t="array" ref="AJ22">INDEX('생산수량Back-Data'!$B$5:$AAA$10041,
       MATCH($B21,'생산수량Back-Data'!$B$5:$B$10041,0)+2,
       MATCH(AJ$3,'생산수량Back-Data'!$B$3:$AAA$3,0))</f>
        <v>0</v>
      </c>
      <c r="AK22" s="328" cm="1">
        <f t="array" ref="AK22">INDEX('생산수량Back-Data'!$B$5:$AAA$10041,
       MATCH($B21,'생산수량Back-Data'!$B$5:$B$10041,0)+2,
       MATCH(AK$3,'생산수량Back-Data'!$B$3:$AAA$3,0))</f>
        <v>0</v>
      </c>
      <c r="AL22" s="328" cm="1">
        <f t="array" ref="AL22">INDEX('생산수량Back-Data'!$B$5:$AAA$10041,
       MATCH($B21,'생산수량Back-Data'!$B$5:$B$10041,0)+2,
       MATCH(AL$3,'생산수량Back-Data'!$B$3:$AAA$3,0))</f>
        <v>0</v>
      </c>
      <c r="AM22" s="328" cm="1">
        <f t="array" ref="AM22">INDEX('생산수량Back-Data'!$B$5:$AAA$10041,
       MATCH($B21,'생산수량Back-Data'!$B$5:$B$10041,0)+2,
       MATCH(AM$3,'생산수량Back-Data'!$B$3:$AAA$3,0))</f>
        <v>0</v>
      </c>
      <c r="AN22" s="328" cm="1">
        <f t="array" ref="AN22">INDEX('생산수량Back-Data'!$B$5:$AAA$10041,
       MATCH($B21,'생산수량Back-Data'!$B$5:$B$10041,0)+2,
       MATCH(AN$3,'생산수량Back-Data'!$B$3:$AAA$3,0))</f>
        <v>0</v>
      </c>
      <c r="AO22" s="328" cm="1">
        <f t="array" ref="AO22">INDEX('생산수량Back-Data'!$B$5:$AAA$10041,
       MATCH($B21,'생산수량Back-Data'!$B$5:$B$10041,0)+2,
       MATCH(AO$3,'생산수량Back-Data'!$B$3:$AAA$3,0))</f>
        <v>0</v>
      </c>
      <c r="AP22" s="328" cm="1">
        <f t="array" ref="AP22">INDEX('생산수량Back-Data'!$B$5:$AAA$10041,
       MATCH($B21,'생산수량Back-Data'!$B$5:$B$10041,0)+2,
       MATCH(AP$3,'생산수량Back-Data'!$B$3:$AAA$3,0))</f>
        <v>0</v>
      </c>
      <c r="AQ22" s="328" cm="1">
        <f t="array" ref="AQ22">INDEX('생산수량Back-Data'!$B$5:$AAA$10041,
       MATCH($B21,'생산수량Back-Data'!$B$5:$B$10041,0)+2,
       MATCH(AQ$3,'생산수량Back-Data'!$B$3:$AAA$3,0))</f>
        <v>0</v>
      </c>
      <c r="AR22" s="328" cm="1">
        <f t="array" ref="AR22">INDEX('생산수량Back-Data'!$B$5:$AAA$10041,
       MATCH($B21,'생산수량Back-Data'!$B$5:$B$10041,0)+2,
       MATCH(AR$3,'생산수량Back-Data'!$B$3:$AAA$3,0))</f>
        <v>0</v>
      </c>
      <c r="AS22" s="328" cm="1">
        <f t="array" ref="AS22">INDEX('생산수량Back-Data'!$B$5:$AAA$10041,
       MATCH($B21,'생산수량Back-Data'!$B$5:$B$10041,0)+2,
       MATCH(AS$3,'생산수량Back-Data'!$B$3:$AAA$3,0))</f>
        <v>0</v>
      </c>
      <c r="AT22" s="329" cm="1">
        <f t="array" ref="AT22">INDEX('생산수량Back-Data'!$B$5:$AAA$10041,
       MATCH($B21,'생산수량Back-Data'!$B$5:$B$10041,0)+2,
       MATCH(AT$3,'생산수량Back-Data'!$B$3:$AAA$3,0))</f>
        <v>0</v>
      </c>
    </row>
    <row r="23" spans="2:46" ht="32.1" customHeight="1" x14ac:dyDescent="0.3">
      <c r="B23" s="444" t="s">
        <v>41</v>
      </c>
      <c r="C23" s="444" t="s">
        <v>185</v>
      </c>
      <c r="D23" s="444" t="s">
        <v>190</v>
      </c>
      <c r="E23" s="438">
        <f>ABS(SUMIFS('Fixture 총 발주수량'!Z:Z,'Fixture 총 발주수량'!B:B,'후공정(애칭)생산계획'!B23,'Fixture 총 발주수량'!Z:Z,"&lt;0"))</f>
        <v>2783</v>
      </c>
      <c r="F23" s="437">
        <f>G23-E23</f>
        <v>-2783</v>
      </c>
      <c r="G23" s="437">
        <f>SUMIF(P23:AT23, "&gt;0")</f>
        <v>0</v>
      </c>
      <c r="H23" s="437">
        <f>SUMIF(P24:AT24, "&gt;0")</f>
        <v>0</v>
      </c>
      <c r="I23" s="442">
        <f>IFERROR(H23/G23,)</f>
        <v>0</v>
      </c>
      <c r="J23" s="437">
        <f ca="1">IFERROR(SUMIF('Fixture 총 발주수량'!B:AG,'후공정(애칭)생산계획'!B23,'Fixture 총 발주수량'!AA:AA),)</f>
        <v>0</v>
      </c>
      <c r="K23" s="438">
        <f>ROUNDUP(E23/2000,)</f>
        <v>2</v>
      </c>
      <c r="L23" s="438">
        <f>L21+K23</f>
        <v>11</v>
      </c>
      <c r="M23" s="438">
        <f>L23+K23</f>
        <v>13</v>
      </c>
      <c r="N23" s="438">
        <f>N21+K23</f>
        <v>11</v>
      </c>
      <c r="O23" s="306" t="s">
        <v>264</v>
      </c>
      <c r="P23" s="325"/>
      <c r="Q23" s="312"/>
      <c r="R23" s="312"/>
      <c r="S23" s="312"/>
      <c r="T23" s="312"/>
      <c r="U23" s="312"/>
      <c r="V23" s="312"/>
      <c r="W23" s="312"/>
      <c r="X23" s="312"/>
      <c r="Y23" s="312"/>
      <c r="Z23" s="312"/>
      <c r="AA23" s="312"/>
      <c r="AB23" s="312"/>
      <c r="AC23" s="312"/>
      <c r="AD23" s="312"/>
      <c r="AE23" s="312"/>
      <c r="AF23" s="312"/>
      <c r="AG23" s="312"/>
      <c r="AH23" s="312"/>
      <c r="AI23" s="312"/>
      <c r="AJ23" s="312"/>
      <c r="AK23" s="312"/>
      <c r="AL23" s="312"/>
      <c r="AM23" s="312"/>
      <c r="AN23" s="312"/>
      <c r="AO23" s="312"/>
      <c r="AP23" s="312"/>
      <c r="AQ23" s="312"/>
      <c r="AR23" s="312"/>
      <c r="AS23" s="312"/>
      <c r="AT23" s="313"/>
    </row>
    <row r="24" spans="2:46" ht="32.1" customHeight="1" x14ac:dyDescent="0.3">
      <c r="B24" s="445"/>
      <c r="C24" s="445"/>
      <c r="D24" s="445"/>
      <c r="E24" s="439"/>
      <c r="F24" s="436"/>
      <c r="G24" s="436"/>
      <c r="H24" s="436"/>
      <c r="I24" s="443"/>
      <c r="J24" s="436"/>
      <c r="K24" s="439"/>
      <c r="L24" s="439"/>
      <c r="M24" s="439"/>
      <c r="N24" s="439"/>
      <c r="O24" s="306" t="s">
        <v>266</v>
      </c>
      <c r="P24" s="323" cm="1">
        <f t="array" ref="P24">INDEX('생산수량Back-Data'!$B$5:$AAA$10041,
       MATCH($B23,'생산수량Back-Data'!$B$5:$B$10041,0)+2,
       MATCH(P$3,'생산수량Back-Data'!$B$3:$AAA$3,0))</f>
        <v>0</v>
      </c>
      <c r="Q24" s="310" cm="1">
        <f t="array" ref="Q24">INDEX('생산수량Back-Data'!$B$5:$AAA$10041,
       MATCH($B23,'생산수량Back-Data'!$B$5:$B$10041,0)+2,
       MATCH(Q$3,'생산수량Back-Data'!$B$3:$AAA$3,0))</f>
        <v>0</v>
      </c>
      <c r="R24" s="310" cm="1">
        <f t="array" ref="R24">INDEX('생산수량Back-Data'!$B$5:$AAA$10041,
       MATCH($B23,'생산수량Back-Data'!$B$5:$B$10041,0)+2,
       MATCH(R$3,'생산수량Back-Data'!$B$3:$AAA$3,0))</f>
        <v>0</v>
      </c>
      <c r="S24" s="310" cm="1">
        <f t="array" ref="S24">INDEX('생산수량Back-Data'!$B$5:$AAA$10041,
       MATCH($B23,'생산수량Back-Data'!$B$5:$B$10041,0)+2,
       MATCH(S$3,'생산수량Back-Data'!$B$3:$AAA$3,0))</f>
        <v>0</v>
      </c>
      <c r="T24" s="310" cm="1">
        <f t="array" ref="T24">INDEX('생산수량Back-Data'!$B$5:$AAA$10041,
       MATCH($B23,'생산수량Back-Data'!$B$5:$B$10041,0)+2,
       MATCH(T$3,'생산수량Back-Data'!$B$3:$AAA$3,0))</f>
        <v>0</v>
      </c>
      <c r="U24" s="310" cm="1">
        <f t="array" ref="U24">INDEX('생산수량Back-Data'!$B$5:$AAA$10041,
       MATCH($B23,'생산수량Back-Data'!$B$5:$B$10041,0)+2,
       MATCH(U$3,'생산수량Back-Data'!$B$3:$AAA$3,0))</f>
        <v>0</v>
      </c>
      <c r="V24" s="310" cm="1">
        <f t="array" ref="V24">INDEX('생산수량Back-Data'!$B$5:$AAA$10041,
       MATCH($B23,'생산수량Back-Data'!$B$5:$B$10041,0)+2,
       MATCH(V$3,'생산수량Back-Data'!$B$3:$AAA$3,0))</f>
        <v>0</v>
      </c>
      <c r="W24" s="310" cm="1">
        <f t="array" ref="W24">INDEX('생산수량Back-Data'!$B$5:$AAA$10041,
       MATCH($B23,'생산수량Back-Data'!$B$5:$B$10041,0)+2,
       MATCH(W$3,'생산수량Back-Data'!$B$3:$AAA$3,0))</f>
        <v>0</v>
      </c>
      <c r="X24" s="310" cm="1">
        <f t="array" ref="X24">INDEX('생산수량Back-Data'!$B$5:$AAA$10041,
       MATCH($B23,'생산수량Back-Data'!$B$5:$B$10041,0)+2,
       MATCH(X$3,'생산수량Back-Data'!$B$3:$AAA$3,0))</f>
        <v>0</v>
      </c>
      <c r="Y24" s="310" cm="1">
        <f t="array" ref="Y24">INDEX('생산수량Back-Data'!$B$5:$AAA$10041,
       MATCH($B23,'생산수량Back-Data'!$B$5:$B$10041,0)+2,
       MATCH(Y$3,'생산수량Back-Data'!$B$3:$AAA$3,0))</f>
        <v>0</v>
      </c>
      <c r="Z24" s="310" cm="1">
        <f t="array" ref="Z24">INDEX('생산수량Back-Data'!$B$5:$AAA$10041,
       MATCH($B23,'생산수량Back-Data'!$B$5:$B$10041,0)+2,
       MATCH(Z$3,'생산수량Back-Data'!$B$3:$AAA$3,0))</f>
        <v>0</v>
      </c>
      <c r="AA24" s="310" cm="1">
        <f t="array" ref="AA24">INDEX('생산수량Back-Data'!$B$5:$AAA$10041,
       MATCH($B23,'생산수량Back-Data'!$B$5:$B$10041,0)+2,
       MATCH(AA$3,'생산수량Back-Data'!$B$3:$AAA$3,0))</f>
        <v>0</v>
      </c>
      <c r="AB24" s="310" cm="1">
        <f t="array" ref="AB24">INDEX('생산수량Back-Data'!$B$5:$AAA$10041,
       MATCH($B23,'생산수량Back-Data'!$B$5:$B$10041,0)+2,
       MATCH(AB$3,'생산수량Back-Data'!$B$3:$AAA$3,0))</f>
        <v>0</v>
      </c>
      <c r="AC24" s="310" cm="1">
        <f t="array" ref="AC24">INDEX('생산수량Back-Data'!$B$5:$AAA$10041,
       MATCH($B23,'생산수량Back-Data'!$B$5:$B$10041,0)+2,
       MATCH(AC$3,'생산수량Back-Data'!$B$3:$AAA$3,0))</f>
        <v>0</v>
      </c>
      <c r="AD24" s="310" cm="1">
        <f t="array" ref="AD24">INDEX('생산수량Back-Data'!$B$5:$AAA$10041,
       MATCH($B23,'생산수량Back-Data'!$B$5:$B$10041,0)+2,
       MATCH(AD$3,'생산수량Back-Data'!$B$3:$AAA$3,0))</f>
        <v>0</v>
      </c>
      <c r="AE24" s="310" cm="1">
        <f t="array" ref="AE24">INDEX('생산수량Back-Data'!$B$5:$AAA$10041,
       MATCH($B23,'생산수량Back-Data'!$B$5:$B$10041,0)+2,
       MATCH(AE$3,'생산수량Back-Data'!$B$3:$AAA$3,0))</f>
        <v>0</v>
      </c>
      <c r="AF24" s="310" cm="1">
        <f t="array" ref="AF24">INDEX('생산수량Back-Data'!$B$5:$AAA$10041,
       MATCH($B23,'생산수량Back-Data'!$B$5:$B$10041,0)+2,
       MATCH(AF$3,'생산수량Back-Data'!$B$3:$AAA$3,0))</f>
        <v>0</v>
      </c>
      <c r="AG24" s="310" cm="1">
        <f t="array" ref="AG24">INDEX('생산수량Back-Data'!$B$5:$AAA$10041,
       MATCH($B23,'생산수량Back-Data'!$B$5:$B$10041,0)+2,
       MATCH(AG$3,'생산수량Back-Data'!$B$3:$AAA$3,0))</f>
        <v>0</v>
      </c>
      <c r="AH24" s="310" cm="1">
        <f t="array" ref="AH24">INDEX('생산수량Back-Data'!$B$5:$AAA$10041,
       MATCH($B23,'생산수량Back-Data'!$B$5:$B$10041,0)+2,
       MATCH(AH$3,'생산수량Back-Data'!$B$3:$AAA$3,0))</f>
        <v>0</v>
      </c>
      <c r="AI24" s="310" cm="1">
        <f t="array" ref="AI24">INDEX('생산수량Back-Data'!$B$5:$AAA$10041,
       MATCH($B23,'생산수량Back-Data'!$B$5:$B$10041,0)+2,
       MATCH(AI$3,'생산수량Back-Data'!$B$3:$AAA$3,0))</f>
        <v>0</v>
      </c>
      <c r="AJ24" s="310" cm="1">
        <f t="array" ref="AJ24">INDEX('생산수량Back-Data'!$B$5:$AAA$10041,
       MATCH($B23,'생산수량Back-Data'!$B$5:$B$10041,0)+2,
       MATCH(AJ$3,'생산수량Back-Data'!$B$3:$AAA$3,0))</f>
        <v>0</v>
      </c>
      <c r="AK24" s="310" cm="1">
        <f t="array" ref="AK24">INDEX('생산수량Back-Data'!$B$5:$AAA$10041,
       MATCH($B23,'생산수량Back-Data'!$B$5:$B$10041,0)+2,
       MATCH(AK$3,'생산수량Back-Data'!$B$3:$AAA$3,0))</f>
        <v>0</v>
      </c>
      <c r="AL24" s="310" cm="1">
        <f t="array" ref="AL24">INDEX('생산수량Back-Data'!$B$5:$AAA$10041,
       MATCH($B23,'생산수량Back-Data'!$B$5:$B$10041,0)+2,
       MATCH(AL$3,'생산수량Back-Data'!$B$3:$AAA$3,0))</f>
        <v>0</v>
      </c>
      <c r="AM24" s="310" cm="1">
        <f t="array" ref="AM24">INDEX('생산수량Back-Data'!$B$5:$AAA$10041,
       MATCH($B23,'생산수량Back-Data'!$B$5:$B$10041,0)+2,
       MATCH(AM$3,'생산수량Back-Data'!$B$3:$AAA$3,0))</f>
        <v>0</v>
      </c>
      <c r="AN24" s="310" cm="1">
        <f t="array" ref="AN24">INDEX('생산수량Back-Data'!$B$5:$AAA$10041,
       MATCH($B23,'생산수량Back-Data'!$B$5:$B$10041,0)+2,
       MATCH(AN$3,'생산수량Back-Data'!$B$3:$AAA$3,0))</f>
        <v>0</v>
      </c>
      <c r="AO24" s="310" cm="1">
        <f t="array" ref="AO24">INDEX('생산수량Back-Data'!$B$5:$AAA$10041,
       MATCH($B23,'생산수량Back-Data'!$B$5:$B$10041,0)+2,
       MATCH(AO$3,'생산수량Back-Data'!$B$3:$AAA$3,0))</f>
        <v>0</v>
      </c>
      <c r="AP24" s="310" cm="1">
        <f t="array" ref="AP24">INDEX('생산수량Back-Data'!$B$5:$AAA$10041,
       MATCH($B23,'생산수량Back-Data'!$B$5:$B$10041,0)+2,
       MATCH(AP$3,'생산수량Back-Data'!$B$3:$AAA$3,0))</f>
        <v>0</v>
      </c>
      <c r="AQ24" s="310" cm="1">
        <f t="array" ref="AQ24">INDEX('생산수량Back-Data'!$B$5:$AAA$10041,
       MATCH($B23,'생산수량Back-Data'!$B$5:$B$10041,0)+2,
       MATCH(AQ$3,'생산수량Back-Data'!$B$3:$AAA$3,0))</f>
        <v>0</v>
      </c>
      <c r="AR24" s="310" cm="1">
        <f t="array" ref="AR24">INDEX('생산수량Back-Data'!$B$5:$AAA$10041,
       MATCH($B23,'생산수량Back-Data'!$B$5:$B$10041,0)+2,
       MATCH(AR$3,'생산수량Back-Data'!$B$3:$AAA$3,0))</f>
        <v>0</v>
      </c>
      <c r="AS24" s="310" cm="1">
        <f t="array" ref="AS24">INDEX('생산수량Back-Data'!$B$5:$AAA$10041,
       MATCH($B23,'생산수량Back-Data'!$B$5:$B$10041,0)+2,
       MATCH(AS$3,'생산수량Back-Data'!$B$3:$AAA$3,0))</f>
        <v>0</v>
      </c>
      <c r="AT24" s="324" cm="1">
        <f t="array" ref="AT24">INDEX('생산수량Back-Data'!$B$5:$AAA$10041,
       MATCH($B23,'생산수량Back-Data'!$B$5:$B$10041,0)+2,
       MATCH(AT$3,'생산수량Back-Data'!$B$3:$AAA$3,0))</f>
        <v>0</v>
      </c>
    </row>
    <row r="25" spans="2:46" ht="32.1" customHeight="1" x14ac:dyDescent="0.3">
      <c r="B25" s="444" t="s">
        <v>42</v>
      </c>
      <c r="C25" s="444" t="s">
        <v>185</v>
      </c>
      <c r="D25" s="444" t="s">
        <v>191</v>
      </c>
      <c r="E25" s="438">
        <f>ABS(SUMIFS('Fixture 총 발주수량'!Z:Z,'Fixture 총 발주수량'!B:B,'후공정(애칭)생산계획'!B25,'Fixture 총 발주수량'!Z:Z,"&lt;0"))</f>
        <v>2405</v>
      </c>
      <c r="F25" s="437">
        <f>G25-E25</f>
        <v>-2405</v>
      </c>
      <c r="G25" s="437">
        <f>SUMIF(P25:AT25, "&gt;0")</f>
        <v>0</v>
      </c>
      <c r="H25" s="437">
        <f>SUMIF(P26:AT26, "&gt;0")</f>
        <v>0</v>
      </c>
      <c r="I25" s="442">
        <f>IFERROR(H25/G25,)</f>
        <v>0</v>
      </c>
      <c r="J25" s="437">
        <f ca="1">IFERROR(SUMIF('Fixture 총 발주수량'!B:AG,'후공정(애칭)생산계획'!B25,'Fixture 총 발주수량'!AA:AA),)</f>
        <v>0</v>
      </c>
      <c r="K25" s="438">
        <f>ROUNDUP(E25/2000,)</f>
        <v>2</v>
      </c>
      <c r="L25" s="438">
        <f>L23+K25</f>
        <v>13</v>
      </c>
      <c r="M25" s="438">
        <f>L25+K25</f>
        <v>15</v>
      </c>
      <c r="N25" s="438">
        <f>N23+K25</f>
        <v>13</v>
      </c>
      <c r="O25" s="306" t="s">
        <v>264</v>
      </c>
      <c r="P25" s="325"/>
      <c r="Q25" s="312"/>
      <c r="R25" s="312"/>
      <c r="S25" s="312"/>
      <c r="T25" s="312"/>
      <c r="U25" s="312"/>
      <c r="V25" s="312"/>
      <c r="W25" s="312"/>
      <c r="X25" s="312"/>
      <c r="Y25" s="312"/>
      <c r="Z25" s="312"/>
      <c r="AA25" s="312"/>
      <c r="AB25" s="312"/>
      <c r="AC25" s="312"/>
      <c r="AD25" s="312"/>
      <c r="AE25" s="312"/>
      <c r="AF25" s="312"/>
      <c r="AG25" s="312"/>
      <c r="AH25" s="312"/>
      <c r="AI25" s="312"/>
      <c r="AJ25" s="312"/>
      <c r="AK25" s="312"/>
      <c r="AL25" s="312"/>
      <c r="AM25" s="312"/>
      <c r="AN25" s="312"/>
      <c r="AO25" s="312"/>
      <c r="AP25" s="312"/>
      <c r="AQ25" s="312"/>
      <c r="AR25" s="312"/>
      <c r="AS25" s="312"/>
      <c r="AT25" s="313"/>
    </row>
    <row r="26" spans="2:46" ht="32.1" customHeight="1" x14ac:dyDescent="0.3">
      <c r="B26" s="445"/>
      <c r="C26" s="445"/>
      <c r="D26" s="445"/>
      <c r="E26" s="439"/>
      <c r="F26" s="436"/>
      <c r="G26" s="436"/>
      <c r="H26" s="436"/>
      <c r="I26" s="443"/>
      <c r="J26" s="436"/>
      <c r="K26" s="439"/>
      <c r="L26" s="439"/>
      <c r="M26" s="439"/>
      <c r="N26" s="439"/>
      <c r="O26" s="306" t="s">
        <v>266</v>
      </c>
      <c r="P26" s="323" cm="1">
        <f t="array" ref="P26">INDEX('생산수량Back-Data'!$B$5:$AAA$10041,
       MATCH($B25,'생산수량Back-Data'!$B$5:$B$10041,0)+2,
       MATCH(P$3,'생산수량Back-Data'!$B$3:$AAA$3,0))</f>
        <v>0</v>
      </c>
      <c r="Q26" s="310" cm="1">
        <f t="array" ref="Q26">INDEX('생산수량Back-Data'!$B$5:$AAA$10041,
       MATCH($B25,'생산수량Back-Data'!$B$5:$B$10041,0)+2,
       MATCH(Q$3,'생산수량Back-Data'!$B$3:$AAA$3,0))</f>
        <v>0</v>
      </c>
      <c r="R26" s="310" cm="1">
        <f t="array" ref="R26">INDEX('생산수량Back-Data'!$B$5:$AAA$10041,
       MATCH($B25,'생산수량Back-Data'!$B$5:$B$10041,0)+2,
       MATCH(R$3,'생산수량Back-Data'!$B$3:$AAA$3,0))</f>
        <v>0</v>
      </c>
      <c r="S26" s="310" cm="1">
        <f t="array" ref="S26">INDEX('생산수량Back-Data'!$B$5:$AAA$10041,
       MATCH($B25,'생산수량Back-Data'!$B$5:$B$10041,0)+2,
       MATCH(S$3,'생산수량Back-Data'!$B$3:$AAA$3,0))</f>
        <v>0</v>
      </c>
      <c r="T26" s="310" cm="1">
        <f t="array" ref="T26">INDEX('생산수량Back-Data'!$B$5:$AAA$10041,
       MATCH($B25,'생산수량Back-Data'!$B$5:$B$10041,0)+2,
       MATCH(T$3,'생산수량Back-Data'!$B$3:$AAA$3,0))</f>
        <v>0</v>
      </c>
      <c r="U26" s="310" cm="1">
        <f t="array" ref="U26">INDEX('생산수량Back-Data'!$B$5:$AAA$10041,
       MATCH($B25,'생산수량Back-Data'!$B$5:$B$10041,0)+2,
       MATCH(U$3,'생산수량Back-Data'!$B$3:$AAA$3,0))</f>
        <v>0</v>
      </c>
      <c r="V26" s="310" cm="1">
        <f t="array" ref="V26">INDEX('생산수량Back-Data'!$B$5:$AAA$10041,
       MATCH($B25,'생산수량Back-Data'!$B$5:$B$10041,0)+2,
       MATCH(V$3,'생산수량Back-Data'!$B$3:$AAA$3,0))</f>
        <v>0</v>
      </c>
      <c r="W26" s="310" cm="1">
        <f t="array" ref="W26">INDEX('생산수량Back-Data'!$B$5:$AAA$10041,
       MATCH($B25,'생산수량Back-Data'!$B$5:$B$10041,0)+2,
       MATCH(W$3,'생산수량Back-Data'!$B$3:$AAA$3,0))</f>
        <v>0</v>
      </c>
      <c r="X26" s="310" cm="1">
        <f t="array" ref="X26">INDEX('생산수량Back-Data'!$B$5:$AAA$10041,
       MATCH($B25,'생산수량Back-Data'!$B$5:$B$10041,0)+2,
       MATCH(X$3,'생산수량Back-Data'!$B$3:$AAA$3,0))</f>
        <v>0</v>
      </c>
      <c r="Y26" s="310" cm="1">
        <f t="array" ref="Y26">INDEX('생산수량Back-Data'!$B$5:$AAA$10041,
       MATCH($B25,'생산수량Back-Data'!$B$5:$B$10041,0)+2,
       MATCH(Y$3,'생산수량Back-Data'!$B$3:$AAA$3,0))</f>
        <v>0</v>
      </c>
      <c r="Z26" s="310" cm="1">
        <f t="array" ref="Z26">INDEX('생산수량Back-Data'!$B$5:$AAA$10041,
       MATCH($B25,'생산수량Back-Data'!$B$5:$B$10041,0)+2,
       MATCH(Z$3,'생산수량Back-Data'!$B$3:$AAA$3,0))</f>
        <v>0</v>
      </c>
      <c r="AA26" s="310" cm="1">
        <f t="array" ref="AA26">INDEX('생산수량Back-Data'!$B$5:$AAA$10041,
       MATCH($B25,'생산수량Back-Data'!$B$5:$B$10041,0)+2,
       MATCH(AA$3,'생산수량Back-Data'!$B$3:$AAA$3,0))</f>
        <v>0</v>
      </c>
      <c r="AB26" s="310" cm="1">
        <f t="array" ref="AB26">INDEX('생산수량Back-Data'!$B$5:$AAA$10041,
       MATCH($B25,'생산수량Back-Data'!$B$5:$B$10041,0)+2,
       MATCH(AB$3,'생산수량Back-Data'!$B$3:$AAA$3,0))</f>
        <v>0</v>
      </c>
      <c r="AC26" s="310" cm="1">
        <f t="array" ref="AC26">INDEX('생산수량Back-Data'!$B$5:$AAA$10041,
       MATCH($B25,'생산수량Back-Data'!$B$5:$B$10041,0)+2,
       MATCH(AC$3,'생산수량Back-Data'!$B$3:$AAA$3,0))</f>
        <v>0</v>
      </c>
      <c r="AD26" s="310" cm="1">
        <f t="array" ref="AD26">INDEX('생산수량Back-Data'!$B$5:$AAA$10041,
       MATCH($B25,'생산수량Back-Data'!$B$5:$B$10041,0)+2,
       MATCH(AD$3,'생산수량Back-Data'!$B$3:$AAA$3,0))</f>
        <v>0</v>
      </c>
      <c r="AE26" s="310" cm="1">
        <f t="array" ref="AE26">INDEX('생산수량Back-Data'!$B$5:$AAA$10041,
       MATCH($B25,'생산수량Back-Data'!$B$5:$B$10041,0)+2,
       MATCH(AE$3,'생산수량Back-Data'!$B$3:$AAA$3,0))</f>
        <v>0</v>
      </c>
      <c r="AF26" s="310" cm="1">
        <f t="array" ref="AF26">INDEX('생산수량Back-Data'!$B$5:$AAA$10041,
       MATCH($B25,'생산수량Back-Data'!$B$5:$B$10041,0)+2,
       MATCH(AF$3,'생산수량Back-Data'!$B$3:$AAA$3,0))</f>
        <v>0</v>
      </c>
      <c r="AG26" s="310" cm="1">
        <f t="array" ref="AG26">INDEX('생산수량Back-Data'!$B$5:$AAA$10041,
       MATCH($B25,'생산수량Back-Data'!$B$5:$B$10041,0)+2,
       MATCH(AG$3,'생산수량Back-Data'!$B$3:$AAA$3,0))</f>
        <v>0</v>
      </c>
      <c r="AH26" s="310" cm="1">
        <f t="array" ref="AH26">INDEX('생산수량Back-Data'!$B$5:$AAA$10041,
       MATCH($B25,'생산수량Back-Data'!$B$5:$B$10041,0)+2,
       MATCH(AH$3,'생산수량Back-Data'!$B$3:$AAA$3,0))</f>
        <v>0</v>
      </c>
      <c r="AI26" s="310" cm="1">
        <f t="array" ref="AI26">INDEX('생산수량Back-Data'!$B$5:$AAA$10041,
       MATCH($B25,'생산수량Back-Data'!$B$5:$B$10041,0)+2,
       MATCH(AI$3,'생산수량Back-Data'!$B$3:$AAA$3,0))</f>
        <v>0</v>
      </c>
      <c r="AJ26" s="310" cm="1">
        <f t="array" ref="AJ26">INDEX('생산수량Back-Data'!$B$5:$AAA$10041,
       MATCH($B25,'생산수량Back-Data'!$B$5:$B$10041,0)+2,
       MATCH(AJ$3,'생산수량Back-Data'!$B$3:$AAA$3,0))</f>
        <v>0</v>
      </c>
      <c r="AK26" s="310" cm="1">
        <f t="array" ref="AK26">INDEX('생산수량Back-Data'!$B$5:$AAA$10041,
       MATCH($B25,'생산수량Back-Data'!$B$5:$B$10041,0)+2,
       MATCH(AK$3,'생산수량Back-Data'!$B$3:$AAA$3,0))</f>
        <v>0</v>
      </c>
      <c r="AL26" s="310" cm="1">
        <f t="array" ref="AL26">INDEX('생산수량Back-Data'!$B$5:$AAA$10041,
       MATCH($B25,'생산수량Back-Data'!$B$5:$B$10041,0)+2,
       MATCH(AL$3,'생산수량Back-Data'!$B$3:$AAA$3,0))</f>
        <v>0</v>
      </c>
      <c r="AM26" s="310" cm="1">
        <f t="array" ref="AM26">INDEX('생산수량Back-Data'!$B$5:$AAA$10041,
       MATCH($B25,'생산수량Back-Data'!$B$5:$B$10041,0)+2,
       MATCH(AM$3,'생산수량Back-Data'!$B$3:$AAA$3,0))</f>
        <v>0</v>
      </c>
      <c r="AN26" s="310" cm="1">
        <f t="array" ref="AN26">INDEX('생산수량Back-Data'!$B$5:$AAA$10041,
       MATCH($B25,'생산수량Back-Data'!$B$5:$B$10041,0)+2,
       MATCH(AN$3,'생산수량Back-Data'!$B$3:$AAA$3,0))</f>
        <v>0</v>
      </c>
      <c r="AO26" s="310" cm="1">
        <f t="array" ref="AO26">INDEX('생산수량Back-Data'!$B$5:$AAA$10041,
       MATCH($B25,'생산수량Back-Data'!$B$5:$B$10041,0)+2,
       MATCH(AO$3,'생산수량Back-Data'!$B$3:$AAA$3,0))</f>
        <v>0</v>
      </c>
      <c r="AP26" s="310" cm="1">
        <f t="array" ref="AP26">INDEX('생산수량Back-Data'!$B$5:$AAA$10041,
       MATCH($B25,'생산수량Back-Data'!$B$5:$B$10041,0)+2,
       MATCH(AP$3,'생산수량Back-Data'!$B$3:$AAA$3,0))</f>
        <v>0</v>
      </c>
      <c r="AQ26" s="310" cm="1">
        <f t="array" ref="AQ26">INDEX('생산수량Back-Data'!$B$5:$AAA$10041,
       MATCH($B25,'생산수량Back-Data'!$B$5:$B$10041,0)+2,
       MATCH(AQ$3,'생산수량Back-Data'!$B$3:$AAA$3,0))</f>
        <v>0</v>
      </c>
      <c r="AR26" s="310" cm="1">
        <f t="array" ref="AR26">INDEX('생산수량Back-Data'!$B$5:$AAA$10041,
       MATCH($B25,'생산수량Back-Data'!$B$5:$B$10041,0)+2,
       MATCH(AR$3,'생산수량Back-Data'!$B$3:$AAA$3,0))</f>
        <v>0</v>
      </c>
      <c r="AS26" s="310" cm="1">
        <f t="array" ref="AS26">INDEX('생산수량Back-Data'!$B$5:$AAA$10041,
       MATCH($B25,'생산수량Back-Data'!$B$5:$B$10041,0)+2,
       MATCH(AS$3,'생산수량Back-Data'!$B$3:$AAA$3,0))</f>
        <v>0</v>
      </c>
      <c r="AT26" s="324" cm="1">
        <f t="array" ref="AT26">INDEX('생산수량Back-Data'!$B$5:$AAA$10041,
       MATCH($B25,'생산수량Back-Data'!$B$5:$B$10041,0)+2,
       MATCH(AT$3,'생산수량Back-Data'!$B$3:$AAA$3,0))</f>
        <v>0</v>
      </c>
    </row>
    <row r="27" spans="2:46" ht="32.1" customHeight="1" x14ac:dyDescent="0.3">
      <c r="B27" s="444" t="s">
        <v>43</v>
      </c>
      <c r="C27" s="444" t="s">
        <v>185</v>
      </c>
      <c r="D27" s="444" t="s">
        <v>192</v>
      </c>
      <c r="E27" s="438">
        <f>ABS(SUMIFS('Fixture 총 발주수량'!Z:Z,'Fixture 총 발주수량'!B:B,'후공정(애칭)생산계획'!B27,'Fixture 총 발주수량'!Z:Z,"&lt;0"))</f>
        <v>580</v>
      </c>
      <c r="F27" s="437">
        <f>G27-E27</f>
        <v>-580</v>
      </c>
      <c r="G27" s="437">
        <f>SUMIF(P27:AT27, "&gt;0")</f>
        <v>0</v>
      </c>
      <c r="H27" s="437">
        <f>SUMIF(P28:AT28, "&gt;0")</f>
        <v>0</v>
      </c>
      <c r="I27" s="442">
        <f>IFERROR(H27/G27,)</f>
        <v>0</v>
      </c>
      <c r="J27" s="437">
        <f ca="1">IFERROR(SUMIF('Fixture 총 발주수량'!B:AG,'후공정(애칭)생산계획'!B27,'Fixture 총 발주수량'!AA:AA),)</f>
        <v>0</v>
      </c>
      <c r="K27" s="438">
        <f>ROUNDUP(E27/2000,)</f>
        <v>1</v>
      </c>
      <c r="L27" s="438">
        <f>L25+K27</f>
        <v>14</v>
      </c>
      <c r="M27" s="438">
        <f>L27+K27</f>
        <v>15</v>
      </c>
      <c r="N27" s="438">
        <f>N25+K27</f>
        <v>14</v>
      </c>
      <c r="O27" s="306" t="s">
        <v>264</v>
      </c>
      <c r="P27" s="326"/>
      <c r="Q27" s="315"/>
      <c r="R27" s="315"/>
      <c r="S27" s="315"/>
      <c r="T27" s="315"/>
      <c r="U27" s="315"/>
      <c r="V27" s="315"/>
      <c r="W27" s="315"/>
      <c r="X27" s="315"/>
      <c r="Y27" s="315"/>
      <c r="Z27" s="315"/>
      <c r="AA27" s="315"/>
      <c r="AB27" s="315"/>
      <c r="AC27" s="315"/>
      <c r="AD27" s="315"/>
      <c r="AE27" s="315"/>
      <c r="AF27" s="315"/>
      <c r="AG27" s="315"/>
      <c r="AH27" s="315"/>
      <c r="AI27" s="315"/>
      <c r="AJ27" s="315"/>
      <c r="AK27" s="315"/>
      <c r="AL27" s="315"/>
      <c r="AM27" s="315"/>
      <c r="AN27" s="315"/>
      <c r="AO27" s="315"/>
      <c r="AP27" s="315"/>
      <c r="AQ27" s="315"/>
      <c r="AR27" s="315"/>
      <c r="AS27" s="315"/>
      <c r="AT27" s="316"/>
    </row>
    <row r="28" spans="2:46" ht="32.1" customHeight="1" thickBot="1" x14ac:dyDescent="0.35">
      <c r="B28" s="454"/>
      <c r="C28" s="454"/>
      <c r="D28" s="454"/>
      <c r="E28" s="450"/>
      <c r="F28" s="452"/>
      <c r="G28" s="452"/>
      <c r="H28" s="452"/>
      <c r="I28" s="453"/>
      <c r="J28" s="452"/>
      <c r="K28" s="450"/>
      <c r="L28" s="450"/>
      <c r="M28" s="450"/>
      <c r="N28" s="450"/>
      <c r="O28" s="305" t="s">
        <v>266</v>
      </c>
      <c r="P28" s="323" cm="1">
        <f t="array" ref="P28">INDEX('생산수량Back-Data'!$B$5:$AAA$10041,
       MATCH($B27,'생산수량Back-Data'!$B$5:$B$10041,0)+2,
       MATCH(P$3,'생산수량Back-Data'!$B$3:$AAA$3,0))</f>
        <v>0</v>
      </c>
      <c r="Q28" s="310" cm="1">
        <f t="array" ref="Q28">INDEX('생산수량Back-Data'!$B$5:$AAA$10041,
       MATCH($B27,'생산수량Back-Data'!$B$5:$B$10041,0)+2,
       MATCH(Q$3,'생산수량Back-Data'!$B$3:$AAA$3,0))</f>
        <v>0</v>
      </c>
      <c r="R28" s="310" cm="1">
        <f t="array" ref="R28">INDEX('생산수량Back-Data'!$B$5:$AAA$10041,
       MATCH($B27,'생산수량Back-Data'!$B$5:$B$10041,0)+2,
       MATCH(R$3,'생산수량Back-Data'!$B$3:$AAA$3,0))</f>
        <v>0</v>
      </c>
      <c r="S28" s="310" cm="1">
        <f t="array" ref="S28">INDEX('생산수량Back-Data'!$B$5:$AAA$10041,
       MATCH($B27,'생산수량Back-Data'!$B$5:$B$10041,0)+2,
       MATCH(S$3,'생산수량Back-Data'!$B$3:$AAA$3,0))</f>
        <v>0</v>
      </c>
      <c r="T28" s="310" cm="1">
        <f t="array" ref="T28">INDEX('생산수량Back-Data'!$B$5:$AAA$10041,
       MATCH($B27,'생산수량Back-Data'!$B$5:$B$10041,0)+2,
       MATCH(T$3,'생산수량Back-Data'!$B$3:$AAA$3,0))</f>
        <v>0</v>
      </c>
      <c r="U28" s="310" cm="1">
        <f t="array" ref="U28">INDEX('생산수량Back-Data'!$B$5:$AAA$10041,
       MATCH($B27,'생산수량Back-Data'!$B$5:$B$10041,0)+2,
       MATCH(U$3,'생산수량Back-Data'!$B$3:$AAA$3,0))</f>
        <v>0</v>
      </c>
      <c r="V28" s="310" cm="1">
        <f t="array" ref="V28">INDEX('생산수량Back-Data'!$B$5:$AAA$10041,
       MATCH($B27,'생산수량Back-Data'!$B$5:$B$10041,0)+2,
       MATCH(V$3,'생산수량Back-Data'!$B$3:$AAA$3,0))</f>
        <v>0</v>
      </c>
      <c r="W28" s="310" cm="1">
        <f t="array" ref="W28">INDEX('생산수량Back-Data'!$B$5:$AAA$10041,
       MATCH($B27,'생산수량Back-Data'!$B$5:$B$10041,0)+2,
       MATCH(W$3,'생산수량Back-Data'!$B$3:$AAA$3,0))</f>
        <v>0</v>
      </c>
      <c r="X28" s="310" cm="1">
        <f t="array" ref="X28">INDEX('생산수량Back-Data'!$B$5:$AAA$10041,
       MATCH($B27,'생산수량Back-Data'!$B$5:$B$10041,0)+2,
       MATCH(X$3,'생산수량Back-Data'!$B$3:$AAA$3,0))</f>
        <v>0</v>
      </c>
      <c r="Y28" s="310" cm="1">
        <f t="array" ref="Y28">INDEX('생산수량Back-Data'!$B$5:$AAA$10041,
       MATCH($B27,'생산수량Back-Data'!$B$5:$B$10041,0)+2,
       MATCH(Y$3,'생산수량Back-Data'!$B$3:$AAA$3,0))</f>
        <v>0</v>
      </c>
      <c r="Z28" s="310" cm="1">
        <f t="array" ref="Z28">INDEX('생산수량Back-Data'!$B$5:$AAA$10041,
       MATCH($B27,'생산수량Back-Data'!$B$5:$B$10041,0)+2,
       MATCH(Z$3,'생산수량Back-Data'!$B$3:$AAA$3,0))</f>
        <v>0</v>
      </c>
      <c r="AA28" s="310" cm="1">
        <f t="array" ref="AA28">INDEX('생산수량Back-Data'!$B$5:$AAA$10041,
       MATCH($B27,'생산수량Back-Data'!$B$5:$B$10041,0)+2,
       MATCH(AA$3,'생산수량Back-Data'!$B$3:$AAA$3,0))</f>
        <v>0</v>
      </c>
      <c r="AB28" s="310" cm="1">
        <f t="array" ref="AB28">INDEX('생산수량Back-Data'!$B$5:$AAA$10041,
       MATCH($B27,'생산수량Back-Data'!$B$5:$B$10041,0)+2,
       MATCH(AB$3,'생산수량Back-Data'!$B$3:$AAA$3,0))</f>
        <v>0</v>
      </c>
      <c r="AC28" s="310" cm="1">
        <f t="array" ref="AC28">INDEX('생산수량Back-Data'!$B$5:$AAA$10041,
       MATCH($B27,'생산수량Back-Data'!$B$5:$B$10041,0)+2,
       MATCH(AC$3,'생산수량Back-Data'!$B$3:$AAA$3,0))</f>
        <v>0</v>
      </c>
      <c r="AD28" s="310" cm="1">
        <f t="array" ref="AD28">INDEX('생산수량Back-Data'!$B$5:$AAA$10041,
       MATCH($B27,'생산수량Back-Data'!$B$5:$B$10041,0)+2,
       MATCH(AD$3,'생산수량Back-Data'!$B$3:$AAA$3,0))</f>
        <v>0</v>
      </c>
      <c r="AE28" s="310" cm="1">
        <f t="array" ref="AE28">INDEX('생산수량Back-Data'!$B$5:$AAA$10041,
       MATCH($B27,'생산수량Back-Data'!$B$5:$B$10041,0)+2,
       MATCH(AE$3,'생산수량Back-Data'!$B$3:$AAA$3,0))</f>
        <v>0</v>
      </c>
      <c r="AF28" s="310" cm="1">
        <f t="array" ref="AF28">INDEX('생산수량Back-Data'!$B$5:$AAA$10041,
       MATCH($B27,'생산수량Back-Data'!$B$5:$B$10041,0)+2,
       MATCH(AF$3,'생산수량Back-Data'!$B$3:$AAA$3,0))</f>
        <v>0</v>
      </c>
      <c r="AG28" s="310" cm="1">
        <f t="array" ref="AG28">INDEX('생산수량Back-Data'!$B$5:$AAA$10041,
       MATCH($B27,'생산수량Back-Data'!$B$5:$B$10041,0)+2,
       MATCH(AG$3,'생산수량Back-Data'!$B$3:$AAA$3,0))</f>
        <v>0</v>
      </c>
      <c r="AH28" s="310" cm="1">
        <f t="array" ref="AH28">INDEX('생산수량Back-Data'!$B$5:$AAA$10041,
       MATCH($B27,'생산수량Back-Data'!$B$5:$B$10041,0)+2,
       MATCH(AH$3,'생산수량Back-Data'!$B$3:$AAA$3,0))</f>
        <v>0</v>
      </c>
      <c r="AI28" s="310" cm="1">
        <f t="array" ref="AI28">INDEX('생산수량Back-Data'!$B$5:$AAA$10041,
       MATCH($B27,'생산수량Back-Data'!$B$5:$B$10041,0)+2,
       MATCH(AI$3,'생산수량Back-Data'!$B$3:$AAA$3,0))</f>
        <v>0</v>
      </c>
      <c r="AJ28" s="310" cm="1">
        <f t="array" ref="AJ28">INDEX('생산수량Back-Data'!$B$5:$AAA$10041,
       MATCH($B27,'생산수량Back-Data'!$B$5:$B$10041,0)+2,
       MATCH(AJ$3,'생산수량Back-Data'!$B$3:$AAA$3,0))</f>
        <v>0</v>
      </c>
      <c r="AK28" s="310" cm="1">
        <f t="array" ref="AK28">INDEX('생산수량Back-Data'!$B$5:$AAA$10041,
       MATCH($B27,'생산수량Back-Data'!$B$5:$B$10041,0)+2,
       MATCH(AK$3,'생산수량Back-Data'!$B$3:$AAA$3,0))</f>
        <v>0</v>
      </c>
      <c r="AL28" s="310" cm="1">
        <f t="array" ref="AL28">INDEX('생산수량Back-Data'!$B$5:$AAA$10041,
       MATCH($B27,'생산수량Back-Data'!$B$5:$B$10041,0)+2,
       MATCH(AL$3,'생산수량Back-Data'!$B$3:$AAA$3,0))</f>
        <v>0</v>
      </c>
      <c r="AM28" s="310" cm="1">
        <f t="array" ref="AM28">INDEX('생산수량Back-Data'!$B$5:$AAA$10041,
       MATCH($B27,'생산수량Back-Data'!$B$5:$B$10041,0)+2,
       MATCH(AM$3,'생산수량Back-Data'!$B$3:$AAA$3,0))</f>
        <v>0</v>
      </c>
      <c r="AN28" s="310" cm="1">
        <f t="array" ref="AN28">INDEX('생산수량Back-Data'!$B$5:$AAA$10041,
       MATCH($B27,'생산수량Back-Data'!$B$5:$B$10041,0)+2,
       MATCH(AN$3,'생산수량Back-Data'!$B$3:$AAA$3,0))</f>
        <v>0</v>
      </c>
      <c r="AO28" s="310" cm="1">
        <f t="array" ref="AO28">INDEX('생산수량Back-Data'!$B$5:$AAA$10041,
       MATCH($B27,'생산수량Back-Data'!$B$5:$B$10041,0)+2,
       MATCH(AO$3,'생산수량Back-Data'!$B$3:$AAA$3,0))</f>
        <v>0</v>
      </c>
      <c r="AP28" s="310" cm="1">
        <f t="array" ref="AP28">INDEX('생산수량Back-Data'!$B$5:$AAA$10041,
       MATCH($B27,'생산수량Back-Data'!$B$5:$B$10041,0)+2,
       MATCH(AP$3,'생산수량Back-Data'!$B$3:$AAA$3,0))</f>
        <v>0</v>
      </c>
      <c r="AQ28" s="310" cm="1">
        <f t="array" ref="AQ28">INDEX('생산수량Back-Data'!$B$5:$AAA$10041,
       MATCH($B27,'생산수량Back-Data'!$B$5:$B$10041,0)+2,
       MATCH(AQ$3,'생산수량Back-Data'!$B$3:$AAA$3,0))</f>
        <v>0</v>
      </c>
      <c r="AR28" s="310" cm="1">
        <f t="array" ref="AR28">INDEX('생산수량Back-Data'!$B$5:$AAA$10041,
       MATCH($B27,'생산수량Back-Data'!$B$5:$B$10041,0)+2,
       MATCH(AR$3,'생산수량Back-Data'!$B$3:$AAA$3,0))</f>
        <v>0</v>
      </c>
      <c r="AS28" s="310" cm="1">
        <f t="array" ref="AS28">INDEX('생산수량Back-Data'!$B$5:$AAA$10041,
       MATCH($B27,'생산수량Back-Data'!$B$5:$B$10041,0)+2,
       MATCH(AS$3,'생산수량Back-Data'!$B$3:$AAA$3,0))</f>
        <v>0</v>
      </c>
      <c r="AT28" s="324" cm="1">
        <f t="array" ref="AT28">INDEX('생산수량Back-Data'!$B$5:$AAA$10041,
       MATCH($B27,'생산수량Back-Data'!$B$5:$B$10041,0)+2,
       MATCH(AT$3,'생산수량Back-Data'!$B$3:$AAA$3,0))</f>
        <v>0</v>
      </c>
    </row>
    <row r="29" spans="2:46" ht="32.1" customHeight="1" x14ac:dyDescent="0.3">
      <c r="B29" s="449" t="s">
        <v>74</v>
      </c>
      <c r="C29" s="449" t="s">
        <v>185</v>
      </c>
      <c r="D29" s="449" t="s">
        <v>208</v>
      </c>
      <c r="E29" s="446">
        <f>ABS(SUMIFS('Fixture 총 발주수량'!Z:Z,'Fixture 총 발주수량'!B:B,'후공정(애칭)생산계획'!B29,'Fixture 총 발주수량'!Z:Z,"&lt;0"))</f>
        <v>0</v>
      </c>
      <c r="F29" s="435">
        <f>G29-E29</f>
        <v>0</v>
      </c>
      <c r="G29" s="435">
        <f>SUMIF(P29:AT29, "&gt;0")</f>
        <v>0</v>
      </c>
      <c r="H29" s="435">
        <f>SUMIF(P30:AT30, "&gt;0")</f>
        <v>0</v>
      </c>
      <c r="I29" s="448">
        <f>IFERROR(H29/G29,)</f>
        <v>0</v>
      </c>
      <c r="J29" s="435">
        <f ca="1">IFERROR(SUMIF('Fixture 총 발주수량'!B:AG,'후공정(애칭)생산계획'!B29,'Fixture 총 발주수량'!AA:AA),)</f>
        <v>0</v>
      </c>
      <c r="K29" s="446">
        <f>ROUNDUP(E29/2000,)</f>
        <v>0</v>
      </c>
      <c r="L29" s="446">
        <f>L27+K29</f>
        <v>14</v>
      </c>
      <c r="M29" s="446">
        <f>L29+K29</f>
        <v>14</v>
      </c>
      <c r="N29" s="446">
        <f>N27+K29</f>
        <v>14</v>
      </c>
      <c r="O29" s="336" t="s">
        <v>264</v>
      </c>
      <c r="P29" s="420"/>
      <c r="Q29" s="338"/>
      <c r="R29" s="338"/>
      <c r="S29" s="338"/>
      <c r="T29" s="338"/>
      <c r="U29" s="338"/>
      <c r="V29" s="338"/>
      <c r="W29" s="338"/>
      <c r="X29" s="338"/>
      <c r="Y29" s="338"/>
      <c r="Z29" s="338"/>
      <c r="AA29" s="338"/>
      <c r="AB29" s="338"/>
      <c r="AC29" s="338"/>
      <c r="AD29" s="338"/>
      <c r="AE29" s="338"/>
      <c r="AF29" s="338"/>
      <c r="AG29" s="338"/>
      <c r="AH29" s="338"/>
      <c r="AI29" s="338"/>
      <c r="AJ29" s="338"/>
      <c r="AK29" s="338"/>
      <c r="AL29" s="338"/>
      <c r="AM29" s="338"/>
      <c r="AN29" s="338"/>
      <c r="AO29" s="338"/>
      <c r="AP29" s="338"/>
      <c r="AQ29" s="338"/>
      <c r="AR29" s="338"/>
      <c r="AS29" s="338"/>
      <c r="AT29" s="339"/>
    </row>
    <row r="30" spans="2:46" ht="32.1" customHeight="1" x14ac:dyDescent="0.3">
      <c r="B30" s="445"/>
      <c r="C30" s="445"/>
      <c r="D30" s="445"/>
      <c r="E30" s="439"/>
      <c r="F30" s="436"/>
      <c r="G30" s="436"/>
      <c r="H30" s="436"/>
      <c r="I30" s="443"/>
      <c r="J30" s="436"/>
      <c r="K30" s="439"/>
      <c r="L30" s="439"/>
      <c r="M30" s="439"/>
      <c r="N30" s="439"/>
      <c r="O30" s="306" t="s">
        <v>266</v>
      </c>
      <c r="P30" s="327" cm="1">
        <f t="array" ref="P30">INDEX('생산수량Back-Data'!$B$5:$AAA$10041,
       MATCH($B29,'생산수량Back-Data'!$B$5:$B$10041,0)+2,
       MATCH(P$3,'생산수량Back-Data'!$B$3:$AAA$3,0))</f>
        <v>0</v>
      </c>
      <c r="Q30" s="328" cm="1">
        <f t="array" ref="Q30">INDEX('생산수량Back-Data'!$B$5:$AAA$10041,
       MATCH($B29,'생산수량Back-Data'!$B$5:$B$10041,0)+2,
       MATCH(Q$3,'생산수량Back-Data'!$B$3:$AAA$3,0))</f>
        <v>0</v>
      </c>
      <c r="R30" s="328" cm="1">
        <f t="array" ref="R30">INDEX('생산수량Back-Data'!$B$5:$AAA$10041,
       MATCH($B29,'생산수량Back-Data'!$B$5:$B$10041,0)+2,
       MATCH(R$3,'생산수량Back-Data'!$B$3:$AAA$3,0))</f>
        <v>0</v>
      </c>
      <c r="S30" s="328" cm="1">
        <f t="array" ref="S30">INDEX('생산수량Back-Data'!$B$5:$AAA$10041,
       MATCH($B29,'생산수량Back-Data'!$B$5:$B$10041,0)+2,
       MATCH(S$3,'생산수량Back-Data'!$B$3:$AAA$3,0))</f>
        <v>0</v>
      </c>
      <c r="T30" s="328" cm="1">
        <f t="array" ref="T30">INDEX('생산수량Back-Data'!$B$5:$AAA$10041,
       MATCH($B29,'생산수량Back-Data'!$B$5:$B$10041,0)+2,
       MATCH(T$3,'생산수량Back-Data'!$B$3:$AAA$3,0))</f>
        <v>0</v>
      </c>
      <c r="U30" s="328" cm="1">
        <f t="array" ref="U30">INDEX('생산수량Back-Data'!$B$5:$AAA$10041,
       MATCH($B29,'생산수량Back-Data'!$B$5:$B$10041,0)+2,
       MATCH(U$3,'생산수량Back-Data'!$B$3:$AAA$3,0))</f>
        <v>0</v>
      </c>
      <c r="V30" s="328" cm="1">
        <f t="array" ref="V30">INDEX('생산수량Back-Data'!$B$5:$AAA$10041,
       MATCH($B29,'생산수량Back-Data'!$B$5:$B$10041,0)+2,
       MATCH(V$3,'생산수량Back-Data'!$B$3:$AAA$3,0))</f>
        <v>0</v>
      </c>
      <c r="W30" s="328" cm="1">
        <f t="array" ref="W30">INDEX('생산수량Back-Data'!$B$5:$AAA$10041,
       MATCH($B29,'생산수량Back-Data'!$B$5:$B$10041,0)+2,
       MATCH(W$3,'생산수량Back-Data'!$B$3:$AAA$3,0))</f>
        <v>0</v>
      </c>
      <c r="X30" s="328" cm="1">
        <f t="array" ref="X30">INDEX('생산수량Back-Data'!$B$5:$AAA$10041,
       MATCH($B29,'생산수량Back-Data'!$B$5:$B$10041,0)+2,
       MATCH(X$3,'생산수량Back-Data'!$B$3:$AAA$3,0))</f>
        <v>0</v>
      </c>
      <c r="Y30" s="328" cm="1">
        <f t="array" ref="Y30">INDEX('생산수량Back-Data'!$B$5:$AAA$10041,
       MATCH($B29,'생산수량Back-Data'!$B$5:$B$10041,0)+2,
       MATCH(Y$3,'생산수량Back-Data'!$B$3:$AAA$3,0))</f>
        <v>0</v>
      </c>
      <c r="Z30" s="328" cm="1">
        <f t="array" ref="Z30">INDEX('생산수량Back-Data'!$B$5:$AAA$10041,
       MATCH($B29,'생산수량Back-Data'!$B$5:$B$10041,0)+2,
       MATCH(Z$3,'생산수량Back-Data'!$B$3:$AAA$3,0))</f>
        <v>0</v>
      </c>
      <c r="AA30" s="328" cm="1">
        <f t="array" ref="AA30">INDEX('생산수량Back-Data'!$B$5:$AAA$10041,
       MATCH($B29,'생산수량Back-Data'!$B$5:$B$10041,0)+2,
       MATCH(AA$3,'생산수량Back-Data'!$B$3:$AAA$3,0))</f>
        <v>0</v>
      </c>
      <c r="AB30" s="328" cm="1">
        <f t="array" ref="AB30">INDEX('생산수량Back-Data'!$B$5:$AAA$10041,
       MATCH($B29,'생산수량Back-Data'!$B$5:$B$10041,0)+2,
       MATCH(AB$3,'생산수량Back-Data'!$B$3:$AAA$3,0))</f>
        <v>0</v>
      </c>
      <c r="AC30" s="328" cm="1">
        <f t="array" ref="AC30">INDEX('생산수량Back-Data'!$B$5:$AAA$10041,
       MATCH($B29,'생산수량Back-Data'!$B$5:$B$10041,0)+2,
       MATCH(AC$3,'생산수량Back-Data'!$B$3:$AAA$3,0))</f>
        <v>0</v>
      </c>
      <c r="AD30" s="328" cm="1">
        <f t="array" ref="AD30">INDEX('생산수량Back-Data'!$B$5:$AAA$10041,
       MATCH($B29,'생산수량Back-Data'!$B$5:$B$10041,0)+2,
       MATCH(AD$3,'생산수량Back-Data'!$B$3:$AAA$3,0))</f>
        <v>0</v>
      </c>
      <c r="AE30" s="328" cm="1">
        <f t="array" ref="AE30">INDEX('생산수량Back-Data'!$B$5:$AAA$10041,
       MATCH($B29,'생산수량Back-Data'!$B$5:$B$10041,0)+2,
       MATCH(AE$3,'생산수량Back-Data'!$B$3:$AAA$3,0))</f>
        <v>0</v>
      </c>
      <c r="AF30" s="328" cm="1">
        <f t="array" ref="AF30">INDEX('생산수량Back-Data'!$B$5:$AAA$10041,
       MATCH($B29,'생산수량Back-Data'!$B$5:$B$10041,0)+2,
       MATCH(AF$3,'생산수량Back-Data'!$B$3:$AAA$3,0))</f>
        <v>0</v>
      </c>
      <c r="AG30" s="328" cm="1">
        <f t="array" ref="AG30">INDEX('생산수량Back-Data'!$B$5:$AAA$10041,
       MATCH($B29,'생산수량Back-Data'!$B$5:$B$10041,0)+2,
       MATCH(AG$3,'생산수량Back-Data'!$B$3:$AAA$3,0))</f>
        <v>0</v>
      </c>
      <c r="AH30" s="328" cm="1">
        <f t="array" ref="AH30">INDEX('생산수량Back-Data'!$B$5:$AAA$10041,
       MATCH($B29,'생산수량Back-Data'!$B$5:$B$10041,0)+2,
       MATCH(AH$3,'생산수량Back-Data'!$B$3:$AAA$3,0))</f>
        <v>0</v>
      </c>
      <c r="AI30" s="328" cm="1">
        <f t="array" ref="AI30">INDEX('생산수량Back-Data'!$B$5:$AAA$10041,
       MATCH($B29,'생산수량Back-Data'!$B$5:$B$10041,0)+2,
       MATCH(AI$3,'생산수량Back-Data'!$B$3:$AAA$3,0))</f>
        <v>0</v>
      </c>
      <c r="AJ30" s="328" cm="1">
        <f t="array" ref="AJ30">INDEX('생산수량Back-Data'!$B$5:$AAA$10041,
       MATCH($B29,'생산수량Back-Data'!$B$5:$B$10041,0)+2,
       MATCH(AJ$3,'생산수량Back-Data'!$B$3:$AAA$3,0))</f>
        <v>0</v>
      </c>
      <c r="AK30" s="328" cm="1">
        <f t="array" ref="AK30">INDEX('생산수량Back-Data'!$B$5:$AAA$10041,
       MATCH($B29,'생산수량Back-Data'!$B$5:$B$10041,0)+2,
       MATCH(AK$3,'생산수량Back-Data'!$B$3:$AAA$3,0))</f>
        <v>0</v>
      </c>
      <c r="AL30" s="328" cm="1">
        <f t="array" ref="AL30">INDEX('생산수량Back-Data'!$B$5:$AAA$10041,
       MATCH($B29,'생산수량Back-Data'!$B$5:$B$10041,0)+2,
       MATCH(AL$3,'생산수량Back-Data'!$B$3:$AAA$3,0))</f>
        <v>0</v>
      </c>
      <c r="AM30" s="328" cm="1">
        <f t="array" ref="AM30">INDEX('생산수량Back-Data'!$B$5:$AAA$10041,
       MATCH($B29,'생산수량Back-Data'!$B$5:$B$10041,0)+2,
       MATCH(AM$3,'생산수량Back-Data'!$B$3:$AAA$3,0))</f>
        <v>0</v>
      </c>
      <c r="AN30" s="328" cm="1">
        <f t="array" ref="AN30">INDEX('생산수량Back-Data'!$B$5:$AAA$10041,
       MATCH($B29,'생산수량Back-Data'!$B$5:$B$10041,0)+2,
       MATCH(AN$3,'생산수량Back-Data'!$B$3:$AAA$3,0))</f>
        <v>0</v>
      </c>
      <c r="AO30" s="328" cm="1">
        <f t="array" ref="AO30">INDEX('생산수량Back-Data'!$B$5:$AAA$10041,
       MATCH($B29,'생산수량Back-Data'!$B$5:$B$10041,0)+2,
       MATCH(AO$3,'생산수량Back-Data'!$B$3:$AAA$3,0))</f>
        <v>0</v>
      </c>
      <c r="AP30" s="328" cm="1">
        <f t="array" ref="AP30">INDEX('생산수량Back-Data'!$B$5:$AAA$10041,
       MATCH($B29,'생산수량Back-Data'!$B$5:$B$10041,0)+2,
       MATCH(AP$3,'생산수량Back-Data'!$B$3:$AAA$3,0))</f>
        <v>0</v>
      </c>
      <c r="AQ30" s="328" cm="1">
        <f t="array" ref="AQ30">INDEX('생산수량Back-Data'!$B$5:$AAA$10041,
       MATCH($B29,'생산수량Back-Data'!$B$5:$B$10041,0)+2,
       MATCH(AQ$3,'생산수량Back-Data'!$B$3:$AAA$3,0))</f>
        <v>0</v>
      </c>
      <c r="AR30" s="328" cm="1">
        <f t="array" ref="AR30">INDEX('생산수량Back-Data'!$B$5:$AAA$10041,
       MATCH($B29,'생산수량Back-Data'!$B$5:$B$10041,0)+2,
       MATCH(AR$3,'생산수량Back-Data'!$B$3:$AAA$3,0))</f>
        <v>0</v>
      </c>
      <c r="AS30" s="328" cm="1">
        <f t="array" ref="AS30">INDEX('생산수량Back-Data'!$B$5:$AAA$10041,
       MATCH($B29,'생산수량Back-Data'!$B$5:$B$10041,0)+2,
       MATCH(AS$3,'생산수량Back-Data'!$B$3:$AAA$3,0))</f>
        <v>0</v>
      </c>
      <c r="AT30" s="329" cm="1">
        <f t="array" ref="AT30">INDEX('생산수량Back-Data'!$B$5:$AAA$10041,
       MATCH($B29,'생산수량Back-Data'!$B$5:$B$10041,0)+2,
       MATCH(AT$3,'생산수량Back-Data'!$B$3:$AAA$3,0))</f>
        <v>0</v>
      </c>
    </row>
    <row r="31" spans="2:46" ht="32.1" customHeight="1" x14ac:dyDescent="0.3">
      <c r="B31" s="444" t="s">
        <v>75</v>
      </c>
      <c r="C31" s="444" t="s">
        <v>185</v>
      </c>
      <c r="D31" s="444" t="s">
        <v>209</v>
      </c>
      <c r="E31" s="438">
        <f>ABS(SUMIFS('Fixture 총 발주수량'!Z:Z,'Fixture 총 발주수량'!B:B,'후공정(애칭)생산계획'!B31,'Fixture 총 발주수량'!Z:Z,"&lt;0"))</f>
        <v>30</v>
      </c>
      <c r="F31" s="437">
        <f>G31-E31</f>
        <v>-30</v>
      </c>
      <c r="G31" s="437">
        <f>SUMIF(P31:AT31, "&gt;0")</f>
        <v>0</v>
      </c>
      <c r="H31" s="437">
        <f>SUMIF(P32:AT32, "&gt;0")</f>
        <v>0</v>
      </c>
      <c r="I31" s="442">
        <f>IFERROR(H31/G31,)</f>
        <v>0</v>
      </c>
      <c r="J31" s="437">
        <f ca="1">IFERROR(SUMIF('Fixture 총 발주수량'!B:AG,'후공정(애칭)생산계획'!B31,'Fixture 총 발주수량'!AA:AA),)</f>
        <v>0</v>
      </c>
      <c r="K31" s="438">
        <f>ROUNDUP(E31/2000,)</f>
        <v>1</v>
      </c>
      <c r="L31" s="438">
        <f>L29+K31</f>
        <v>15</v>
      </c>
      <c r="M31" s="438">
        <f>L31+K31</f>
        <v>16</v>
      </c>
      <c r="N31" s="438">
        <f>N29+K31</f>
        <v>15</v>
      </c>
      <c r="O31" s="306" t="s">
        <v>264</v>
      </c>
      <c r="P31" s="325"/>
      <c r="Q31" s="312"/>
      <c r="R31" s="312"/>
      <c r="S31" s="312"/>
      <c r="T31" s="312"/>
      <c r="U31" s="312"/>
      <c r="V31" s="312"/>
      <c r="W31" s="312"/>
      <c r="X31" s="312"/>
      <c r="Y31" s="312"/>
      <c r="Z31" s="312"/>
      <c r="AA31" s="312"/>
      <c r="AB31" s="312"/>
      <c r="AC31" s="312"/>
      <c r="AD31" s="312"/>
      <c r="AE31" s="312"/>
      <c r="AF31" s="312"/>
      <c r="AG31" s="312"/>
      <c r="AH31" s="312"/>
      <c r="AI31" s="312"/>
      <c r="AJ31" s="312"/>
      <c r="AK31" s="312"/>
      <c r="AL31" s="312"/>
      <c r="AM31" s="312"/>
      <c r="AN31" s="312"/>
      <c r="AO31" s="312"/>
      <c r="AP31" s="312"/>
      <c r="AQ31" s="312"/>
      <c r="AR31" s="312"/>
      <c r="AS31" s="312"/>
      <c r="AT31" s="313"/>
    </row>
    <row r="32" spans="2:46" ht="32.1" customHeight="1" x14ac:dyDescent="0.3">
      <c r="B32" s="445"/>
      <c r="C32" s="445"/>
      <c r="D32" s="445"/>
      <c r="E32" s="439"/>
      <c r="F32" s="436"/>
      <c r="G32" s="436"/>
      <c r="H32" s="436"/>
      <c r="I32" s="443"/>
      <c r="J32" s="436"/>
      <c r="K32" s="439"/>
      <c r="L32" s="439"/>
      <c r="M32" s="439"/>
      <c r="N32" s="439"/>
      <c r="O32" s="306" t="s">
        <v>266</v>
      </c>
      <c r="P32" s="323" cm="1">
        <f t="array" ref="P32">INDEX('생산수량Back-Data'!$B$5:$AAA$10041,
       MATCH($B31,'생산수량Back-Data'!$B$5:$B$10041,0)+2,
       MATCH(P$3,'생산수량Back-Data'!$B$3:$AAA$3,0))</f>
        <v>0</v>
      </c>
      <c r="Q32" s="310" cm="1">
        <f t="array" ref="Q32">INDEX('생산수량Back-Data'!$B$5:$AAA$10041,
       MATCH($B31,'생산수량Back-Data'!$B$5:$B$10041,0)+2,
       MATCH(Q$3,'생산수량Back-Data'!$B$3:$AAA$3,0))</f>
        <v>0</v>
      </c>
      <c r="R32" s="310" cm="1">
        <f t="array" ref="R32">INDEX('생산수량Back-Data'!$B$5:$AAA$10041,
       MATCH($B31,'생산수량Back-Data'!$B$5:$B$10041,0)+2,
       MATCH(R$3,'생산수량Back-Data'!$B$3:$AAA$3,0))</f>
        <v>0</v>
      </c>
      <c r="S32" s="310" cm="1">
        <f t="array" ref="S32">INDEX('생산수량Back-Data'!$B$5:$AAA$10041,
       MATCH($B31,'생산수량Back-Data'!$B$5:$B$10041,0)+2,
       MATCH(S$3,'생산수량Back-Data'!$B$3:$AAA$3,0))</f>
        <v>0</v>
      </c>
      <c r="T32" s="310" cm="1">
        <f t="array" ref="T32">INDEX('생산수량Back-Data'!$B$5:$AAA$10041,
       MATCH($B31,'생산수량Back-Data'!$B$5:$B$10041,0)+2,
       MATCH(T$3,'생산수량Back-Data'!$B$3:$AAA$3,0))</f>
        <v>0</v>
      </c>
      <c r="U32" s="310" cm="1">
        <f t="array" ref="U32">INDEX('생산수량Back-Data'!$B$5:$AAA$10041,
       MATCH($B31,'생산수량Back-Data'!$B$5:$B$10041,0)+2,
       MATCH(U$3,'생산수량Back-Data'!$B$3:$AAA$3,0))</f>
        <v>0</v>
      </c>
      <c r="V32" s="310" cm="1">
        <f t="array" ref="V32">INDEX('생산수량Back-Data'!$B$5:$AAA$10041,
       MATCH($B31,'생산수량Back-Data'!$B$5:$B$10041,0)+2,
       MATCH(V$3,'생산수량Back-Data'!$B$3:$AAA$3,0))</f>
        <v>0</v>
      </c>
      <c r="W32" s="310" cm="1">
        <f t="array" ref="W32">INDEX('생산수량Back-Data'!$B$5:$AAA$10041,
       MATCH($B31,'생산수량Back-Data'!$B$5:$B$10041,0)+2,
       MATCH(W$3,'생산수량Back-Data'!$B$3:$AAA$3,0))</f>
        <v>0</v>
      </c>
      <c r="X32" s="310" cm="1">
        <f t="array" ref="X32">INDEX('생산수량Back-Data'!$B$5:$AAA$10041,
       MATCH($B31,'생산수량Back-Data'!$B$5:$B$10041,0)+2,
       MATCH(X$3,'생산수량Back-Data'!$B$3:$AAA$3,0))</f>
        <v>0</v>
      </c>
      <c r="Y32" s="310" cm="1">
        <f t="array" ref="Y32">INDEX('생산수량Back-Data'!$B$5:$AAA$10041,
       MATCH($B31,'생산수량Back-Data'!$B$5:$B$10041,0)+2,
       MATCH(Y$3,'생산수량Back-Data'!$B$3:$AAA$3,0))</f>
        <v>0</v>
      </c>
      <c r="Z32" s="310" cm="1">
        <f t="array" ref="Z32">INDEX('생산수량Back-Data'!$B$5:$AAA$10041,
       MATCH($B31,'생산수량Back-Data'!$B$5:$B$10041,0)+2,
       MATCH(Z$3,'생산수량Back-Data'!$B$3:$AAA$3,0))</f>
        <v>0</v>
      </c>
      <c r="AA32" s="310" cm="1">
        <f t="array" ref="AA32">INDEX('생산수량Back-Data'!$B$5:$AAA$10041,
       MATCH($B31,'생산수량Back-Data'!$B$5:$B$10041,0)+2,
       MATCH(AA$3,'생산수량Back-Data'!$B$3:$AAA$3,0))</f>
        <v>0</v>
      </c>
      <c r="AB32" s="310" cm="1">
        <f t="array" ref="AB32">INDEX('생산수량Back-Data'!$B$5:$AAA$10041,
       MATCH($B31,'생산수량Back-Data'!$B$5:$B$10041,0)+2,
       MATCH(AB$3,'생산수량Back-Data'!$B$3:$AAA$3,0))</f>
        <v>0</v>
      </c>
      <c r="AC32" s="310" cm="1">
        <f t="array" ref="AC32">INDEX('생산수량Back-Data'!$B$5:$AAA$10041,
       MATCH($B31,'생산수량Back-Data'!$B$5:$B$10041,0)+2,
       MATCH(AC$3,'생산수량Back-Data'!$B$3:$AAA$3,0))</f>
        <v>0</v>
      </c>
      <c r="AD32" s="310" cm="1">
        <f t="array" ref="AD32">INDEX('생산수량Back-Data'!$B$5:$AAA$10041,
       MATCH($B31,'생산수량Back-Data'!$B$5:$B$10041,0)+2,
       MATCH(AD$3,'생산수량Back-Data'!$B$3:$AAA$3,0))</f>
        <v>0</v>
      </c>
      <c r="AE32" s="310" cm="1">
        <f t="array" ref="AE32">INDEX('생산수량Back-Data'!$B$5:$AAA$10041,
       MATCH($B31,'생산수량Back-Data'!$B$5:$B$10041,0)+2,
       MATCH(AE$3,'생산수량Back-Data'!$B$3:$AAA$3,0))</f>
        <v>0</v>
      </c>
      <c r="AF32" s="310" cm="1">
        <f t="array" ref="AF32">INDEX('생산수량Back-Data'!$B$5:$AAA$10041,
       MATCH($B31,'생산수량Back-Data'!$B$5:$B$10041,0)+2,
       MATCH(AF$3,'생산수량Back-Data'!$B$3:$AAA$3,0))</f>
        <v>0</v>
      </c>
      <c r="AG32" s="310" cm="1">
        <f t="array" ref="AG32">INDEX('생산수량Back-Data'!$B$5:$AAA$10041,
       MATCH($B31,'생산수량Back-Data'!$B$5:$B$10041,0)+2,
       MATCH(AG$3,'생산수량Back-Data'!$B$3:$AAA$3,0))</f>
        <v>0</v>
      </c>
      <c r="AH32" s="310" cm="1">
        <f t="array" ref="AH32">INDEX('생산수량Back-Data'!$B$5:$AAA$10041,
       MATCH($B31,'생산수량Back-Data'!$B$5:$B$10041,0)+2,
       MATCH(AH$3,'생산수량Back-Data'!$B$3:$AAA$3,0))</f>
        <v>0</v>
      </c>
      <c r="AI32" s="310" cm="1">
        <f t="array" ref="AI32">INDEX('생산수량Back-Data'!$B$5:$AAA$10041,
       MATCH($B31,'생산수량Back-Data'!$B$5:$B$10041,0)+2,
       MATCH(AI$3,'생산수량Back-Data'!$B$3:$AAA$3,0))</f>
        <v>0</v>
      </c>
      <c r="AJ32" s="310" cm="1">
        <f t="array" ref="AJ32">INDEX('생산수량Back-Data'!$B$5:$AAA$10041,
       MATCH($B31,'생산수량Back-Data'!$B$5:$B$10041,0)+2,
       MATCH(AJ$3,'생산수량Back-Data'!$B$3:$AAA$3,0))</f>
        <v>0</v>
      </c>
      <c r="AK32" s="310" cm="1">
        <f t="array" ref="AK32">INDEX('생산수량Back-Data'!$B$5:$AAA$10041,
       MATCH($B31,'생산수량Back-Data'!$B$5:$B$10041,0)+2,
       MATCH(AK$3,'생산수량Back-Data'!$B$3:$AAA$3,0))</f>
        <v>0</v>
      </c>
      <c r="AL32" s="310" cm="1">
        <f t="array" ref="AL32">INDEX('생산수량Back-Data'!$B$5:$AAA$10041,
       MATCH($B31,'생산수량Back-Data'!$B$5:$B$10041,0)+2,
       MATCH(AL$3,'생산수량Back-Data'!$B$3:$AAA$3,0))</f>
        <v>0</v>
      </c>
      <c r="AM32" s="310" cm="1">
        <f t="array" ref="AM32">INDEX('생산수량Back-Data'!$B$5:$AAA$10041,
       MATCH($B31,'생산수량Back-Data'!$B$5:$B$10041,0)+2,
       MATCH(AM$3,'생산수량Back-Data'!$B$3:$AAA$3,0))</f>
        <v>0</v>
      </c>
      <c r="AN32" s="310" cm="1">
        <f t="array" ref="AN32">INDEX('생산수량Back-Data'!$B$5:$AAA$10041,
       MATCH($B31,'생산수량Back-Data'!$B$5:$B$10041,0)+2,
       MATCH(AN$3,'생산수량Back-Data'!$B$3:$AAA$3,0))</f>
        <v>0</v>
      </c>
      <c r="AO32" s="310" cm="1">
        <f t="array" ref="AO32">INDEX('생산수량Back-Data'!$B$5:$AAA$10041,
       MATCH($B31,'생산수량Back-Data'!$B$5:$B$10041,0)+2,
       MATCH(AO$3,'생산수량Back-Data'!$B$3:$AAA$3,0))</f>
        <v>0</v>
      </c>
      <c r="AP32" s="310" cm="1">
        <f t="array" ref="AP32">INDEX('생산수량Back-Data'!$B$5:$AAA$10041,
       MATCH($B31,'생산수량Back-Data'!$B$5:$B$10041,0)+2,
       MATCH(AP$3,'생산수량Back-Data'!$B$3:$AAA$3,0))</f>
        <v>0</v>
      </c>
      <c r="AQ32" s="310" cm="1">
        <f t="array" ref="AQ32">INDEX('생산수량Back-Data'!$B$5:$AAA$10041,
       MATCH($B31,'생산수량Back-Data'!$B$5:$B$10041,0)+2,
       MATCH(AQ$3,'생산수량Back-Data'!$B$3:$AAA$3,0))</f>
        <v>0</v>
      </c>
      <c r="AR32" s="310" cm="1">
        <f t="array" ref="AR32">INDEX('생산수량Back-Data'!$B$5:$AAA$10041,
       MATCH($B31,'생산수량Back-Data'!$B$5:$B$10041,0)+2,
       MATCH(AR$3,'생산수량Back-Data'!$B$3:$AAA$3,0))</f>
        <v>0</v>
      </c>
      <c r="AS32" s="310" cm="1">
        <f t="array" ref="AS32">INDEX('생산수량Back-Data'!$B$5:$AAA$10041,
       MATCH($B31,'생산수량Back-Data'!$B$5:$B$10041,0)+2,
       MATCH(AS$3,'생산수량Back-Data'!$B$3:$AAA$3,0))</f>
        <v>0</v>
      </c>
      <c r="AT32" s="324" cm="1">
        <f t="array" ref="AT32">INDEX('생산수량Back-Data'!$B$5:$AAA$10041,
       MATCH($B31,'생산수량Back-Data'!$B$5:$B$10041,0)+2,
       MATCH(AT$3,'생산수량Back-Data'!$B$3:$AAA$3,0))</f>
        <v>0</v>
      </c>
    </row>
    <row r="33" spans="2:46" ht="32.1" customHeight="1" x14ac:dyDescent="0.3">
      <c r="B33" s="444" t="s">
        <v>76</v>
      </c>
      <c r="C33" s="444" t="s">
        <v>185</v>
      </c>
      <c r="D33" s="444" t="s">
        <v>210</v>
      </c>
      <c r="E33" s="438">
        <f>ABS(SUMIFS('Fixture 총 발주수량'!Z:Z,'Fixture 총 발주수량'!B:B,'후공정(애칭)생산계획'!B33,'Fixture 총 발주수량'!Z:Z,"&lt;0"))</f>
        <v>100</v>
      </c>
      <c r="F33" s="437">
        <f>G33-E33</f>
        <v>-100</v>
      </c>
      <c r="G33" s="437">
        <f>SUMIF(P33:AT33, "&gt;0")</f>
        <v>0</v>
      </c>
      <c r="H33" s="437">
        <f>SUMIF(P34:AT34, "&gt;0")</f>
        <v>0</v>
      </c>
      <c r="I33" s="442">
        <f>IFERROR(H33/G33,)</f>
        <v>0</v>
      </c>
      <c r="J33" s="437">
        <f ca="1">IFERROR(SUMIF('Fixture 총 발주수량'!B:AG,'후공정(애칭)생산계획'!B33,'Fixture 총 발주수량'!AA:AA),)</f>
        <v>0</v>
      </c>
      <c r="K33" s="438">
        <f>ROUNDUP(E33/2000,)</f>
        <v>1</v>
      </c>
      <c r="L33" s="438">
        <f>L31+K33</f>
        <v>16</v>
      </c>
      <c r="M33" s="438">
        <f>L33+K33</f>
        <v>17</v>
      </c>
      <c r="N33" s="438">
        <f>N31+K33</f>
        <v>16</v>
      </c>
      <c r="O33" s="306" t="s">
        <v>264</v>
      </c>
      <c r="P33" s="325"/>
      <c r="Q33" s="312"/>
      <c r="R33" s="312"/>
      <c r="S33" s="312"/>
      <c r="T33" s="312"/>
      <c r="U33" s="312"/>
      <c r="V33" s="312"/>
      <c r="W33" s="312"/>
      <c r="X33" s="312"/>
      <c r="Y33" s="312"/>
      <c r="Z33" s="312"/>
      <c r="AA33" s="312"/>
      <c r="AB33" s="312"/>
      <c r="AC33" s="312"/>
      <c r="AD33" s="312"/>
      <c r="AE33" s="312"/>
      <c r="AF33" s="312"/>
      <c r="AG33" s="312"/>
      <c r="AH33" s="312"/>
      <c r="AI33" s="312"/>
      <c r="AJ33" s="312"/>
      <c r="AK33" s="312"/>
      <c r="AL33" s="312"/>
      <c r="AM33" s="312"/>
      <c r="AN33" s="312"/>
      <c r="AO33" s="312"/>
      <c r="AP33" s="312"/>
      <c r="AQ33" s="312"/>
      <c r="AR33" s="312"/>
      <c r="AS33" s="312"/>
      <c r="AT33" s="313"/>
    </row>
    <row r="34" spans="2:46" ht="32.1" customHeight="1" x14ac:dyDescent="0.3">
      <c r="B34" s="445"/>
      <c r="C34" s="445"/>
      <c r="D34" s="445"/>
      <c r="E34" s="439"/>
      <c r="F34" s="436"/>
      <c r="G34" s="436"/>
      <c r="H34" s="436"/>
      <c r="I34" s="443"/>
      <c r="J34" s="436"/>
      <c r="K34" s="439"/>
      <c r="L34" s="439"/>
      <c r="M34" s="439"/>
      <c r="N34" s="439"/>
      <c r="O34" s="306" t="s">
        <v>266</v>
      </c>
      <c r="P34" s="323" cm="1">
        <f t="array" ref="P34">INDEX('생산수량Back-Data'!$B$5:$AAA$10041,
       MATCH($B33,'생산수량Back-Data'!$B$5:$B$10041,0)+2,
       MATCH(P$3,'생산수량Back-Data'!$B$3:$AAA$3,0))</f>
        <v>0</v>
      </c>
      <c r="Q34" s="310" cm="1">
        <f t="array" ref="Q34">INDEX('생산수량Back-Data'!$B$5:$AAA$10041,
       MATCH($B33,'생산수량Back-Data'!$B$5:$B$10041,0)+2,
       MATCH(Q$3,'생산수량Back-Data'!$B$3:$AAA$3,0))</f>
        <v>0</v>
      </c>
      <c r="R34" s="310" cm="1">
        <f t="array" ref="R34">INDEX('생산수량Back-Data'!$B$5:$AAA$10041,
       MATCH($B33,'생산수량Back-Data'!$B$5:$B$10041,0)+2,
       MATCH(R$3,'생산수량Back-Data'!$B$3:$AAA$3,0))</f>
        <v>0</v>
      </c>
      <c r="S34" s="310" cm="1">
        <f t="array" ref="S34">INDEX('생산수량Back-Data'!$B$5:$AAA$10041,
       MATCH($B33,'생산수량Back-Data'!$B$5:$B$10041,0)+2,
       MATCH(S$3,'생산수량Back-Data'!$B$3:$AAA$3,0))</f>
        <v>0</v>
      </c>
      <c r="T34" s="310" cm="1">
        <f t="array" ref="T34">INDEX('생산수량Back-Data'!$B$5:$AAA$10041,
       MATCH($B33,'생산수량Back-Data'!$B$5:$B$10041,0)+2,
       MATCH(T$3,'생산수량Back-Data'!$B$3:$AAA$3,0))</f>
        <v>0</v>
      </c>
      <c r="U34" s="310" cm="1">
        <f t="array" ref="U34">INDEX('생산수량Back-Data'!$B$5:$AAA$10041,
       MATCH($B33,'생산수량Back-Data'!$B$5:$B$10041,0)+2,
       MATCH(U$3,'생산수량Back-Data'!$B$3:$AAA$3,0))</f>
        <v>0</v>
      </c>
      <c r="V34" s="310" cm="1">
        <f t="array" ref="V34">INDEX('생산수량Back-Data'!$B$5:$AAA$10041,
       MATCH($B33,'생산수량Back-Data'!$B$5:$B$10041,0)+2,
       MATCH(V$3,'생산수량Back-Data'!$B$3:$AAA$3,0))</f>
        <v>0</v>
      </c>
      <c r="W34" s="310" cm="1">
        <f t="array" ref="W34">INDEX('생산수량Back-Data'!$B$5:$AAA$10041,
       MATCH($B33,'생산수량Back-Data'!$B$5:$B$10041,0)+2,
       MATCH(W$3,'생산수량Back-Data'!$B$3:$AAA$3,0))</f>
        <v>0</v>
      </c>
      <c r="X34" s="310" cm="1">
        <f t="array" ref="X34">INDEX('생산수량Back-Data'!$B$5:$AAA$10041,
       MATCH($B33,'생산수량Back-Data'!$B$5:$B$10041,0)+2,
       MATCH(X$3,'생산수량Back-Data'!$B$3:$AAA$3,0))</f>
        <v>0</v>
      </c>
      <c r="Y34" s="310" cm="1">
        <f t="array" ref="Y34">INDEX('생산수량Back-Data'!$B$5:$AAA$10041,
       MATCH($B33,'생산수량Back-Data'!$B$5:$B$10041,0)+2,
       MATCH(Y$3,'생산수량Back-Data'!$B$3:$AAA$3,0))</f>
        <v>0</v>
      </c>
      <c r="Z34" s="310" cm="1">
        <f t="array" ref="Z34">INDEX('생산수량Back-Data'!$B$5:$AAA$10041,
       MATCH($B33,'생산수량Back-Data'!$B$5:$B$10041,0)+2,
       MATCH(Z$3,'생산수량Back-Data'!$B$3:$AAA$3,0))</f>
        <v>0</v>
      </c>
      <c r="AA34" s="310" cm="1">
        <f t="array" ref="AA34">INDEX('생산수량Back-Data'!$B$5:$AAA$10041,
       MATCH($B33,'생산수량Back-Data'!$B$5:$B$10041,0)+2,
       MATCH(AA$3,'생산수량Back-Data'!$B$3:$AAA$3,0))</f>
        <v>0</v>
      </c>
      <c r="AB34" s="310" cm="1">
        <f t="array" ref="AB34">INDEX('생산수량Back-Data'!$B$5:$AAA$10041,
       MATCH($B33,'생산수량Back-Data'!$B$5:$B$10041,0)+2,
       MATCH(AB$3,'생산수량Back-Data'!$B$3:$AAA$3,0))</f>
        <v>0</v>
      </c>
      <c r="AC34" s="310" cm="1">
        <f t="array" ref="AC34">INDEX('생산수량Back-Data'!$B$5:$AAA$10041,
       MATCH($B33,'생산수량Back-Data'!$B$5:$B$10041,0)+2,
       MATCH(AC$3,'생산수량Back-Data'!$B$3:$AAA$3,0))</f>
        <v>0</v>
      </c>
      <c r="AD34" s="310" cm="1">
        <f t="array" ref="AD34">INDEX('생산수량Back-Data'!$B$5:$AAA$10041,
       MATCH($B33,'생산수량Back-Data'!$B$5:$B$10041,0)+2,
       MATCH(AD$3,'생산수량Back-Data'!$B$3:$AAA$3,0))</f>
        <v>0</v>
      </c>
      <c r="AE34" s="310" cm="1">
        <f t="array" ref="AE34">INDEX('생산수량Back-Data'!$B$5:$AAA$10041,
       MATCH($B33,'생산수량Back-Data'!$B$5:$B$10041,0)+2,
       MATCH(AE$3,'생산수량Back-Data'!$B$3:$AAA$3,0))</f>
        <v>0</v>
      </c>
      <c r="AF34" s="310" cm="1">
        <f t="array" ref="AF34">INDEX('생산수량Back-Data'!$B$5:$AAA$10041,
       MATCH($B33,'생산수량Back-Data'!$B$5:$B$10041,0)+2,
       MATCH(AF$3,'생산수량Back-Data'!$B$3:$AAA$3,0))</f>
        <v>0</v>
      </c>
      <c r="AG34" s="310" cm="1">
        <f t="array" ref="AG34">INDEX('생산수량Back-Data'!$B$5:$AAA$10041,
       MATCH($B33,'생산수량Back-Data'!$B$5:$B$10041,0)+2,
       MATCH(AG$3,'생산수량Back-Data'!$B$3:$AAA$3,0))</f>
        <v>0</v>
      </c>
      <c r="AH34" s="310" cm="1">
        <f t="array" ref="AH34">INDEX('생산수량Back-Data'!$B$5:$AAA$10041,
       MATCH($B33,'생산수량Back-Data'!$B$5:$B$10041,0)+2,
       MATCH(AH$3,'생산수량Back-Data'!$B$3:$AAA$3,0))</f>
        <v>0</v>
      </c>
      <c r="AI34" s="310" cm="1">
        <f t="array" ref="AI34">INDEX('생산수량Back-Data'!$B$5:$AAA$10041,
       MATCH($B33,'생산수량Back-Data'!$B$5:$B$10041,0)+2,
       MATCH(AI$3,'생산수량Back-Data'!$B$3:$AAA$3,0))</f>
        <v>0</v>
      </c>
      <c r="AJ34" s="310" cm="1">
        <f t="array" ref="AJ34">INDEX('생산수량Back-Data'!$B$5:$AAA$10041,
       MATCH($B33,'생산수량Back-Data'!$B$5:$B$10041,0)+2,
       MATCH(AJ$3,'생산수량Back-Data'!$B$3:$AAA$3,0))</f>
        <v>0</v>
      </c>
      <c r="AK34" s="310" cm="1">
        <f t="array" ref="AK34">INDEX('생산수량Back-Data'!$B$5:$AAA$10041,
       MATCH($B33,'생산수량Back-Data'!$B$5:$B$10041,0)+2,
       MATCH(AK$3,'생산수량Back-Data'!$B$3:$AAA$3,0))</f>
        <v>0</v>
      </c>
      <c r="AL34" s="310" cm="1">
        <f t="array" ref="AL34">INDEX('생산수량Back-Data'!$B$5:$AAA$10041,
       MATCH($B33,'생산수량Back-Data'!$B$5:$B$10041,0)+2,
       MATCH(AL$3,'생산수량Back-Data'!$B$3:$AAA$3,0))</f>
        <v>0</v>
      </c>
      <c r="AM34" s="310" cm="1">
        <f t="array" ref="AM34">INDEX('생산수량Back-Data'!$B$5:$AAA$10041,
       MATCH($B33,'생산수량Back-Data'!$B$5:$B$10041,0)+2,
       MATCH(AM$3,'생산수량Back-Data'!$B$3:$AAA$3,0))</f>
        <v>0</v>
      </c>
      <c r="AN34" s="310" cm="1">
        <f t="array" ref="AN34">INDEX('생산수량Back-Data'!$B$5:$AAA$10041,
       MATCH($B33,'생산수량Back-Data'!$B$5:$B$10041,0)+2,
       MATCH(AN$3,'생산수량Back-Data'!$B$3:$AAA$3,0))</f>
        <v>0</v>
      </c>
      <c r="AO34" s="310" cm="1">
        <f t="array" ref="AO34">INDEX('생산수량Back-Data'!$B$5:$AAA$10041,
       MATCH($B33,'생산수량Back-Data'!$B$5:$B$10041,0)+2,
       MATCH(AO$3,'생산수량Back-Data'!$B$3:$AAA$3,0))</f>
        <v>0</v>
      </c>
      <c r="AP34" s="310" cm="1">
        <f t="array" ref="AP34">INDEX('생산수량Back-Data'!$B$5:$AAA$10041,
       MATCH($B33,'생산수량Back-Data'!$B$5:$B$10041,0)+2,
       MATCH(AP$3,'생산수량Back-Data'!$B$3:$AAA$3,0))</f>
        <v>0</v>
      </c>
      <c r="AQ34" s="310" cm="1">
        <f t="array" ref="AQ34">INDEX('생산수량Back-Data'!$B$5:$AAA$10041,
       MATCH($B33,'생산수량Back-Data'!$B$5:$B$10041,0)+2,
       MATCH(AQ$3,'생산수량Back-Data'!$B$3:$AAA$3,0))</f>
        <v>0</v>
      </c>
      <c r="AR34" s="310" cm="1">
        <f t="array" ref="AR34">INDEX('생산수량Back-Data'!$B$5:$AAA$10041,
       MATCH($B33,'생산수량Back-Data'!$B$5:$B$10041,0)+2,
       MATCH(AR$3,'생산수량Back-Data'!$B$3:$AAA$3,0))</f>
        <v>0</v>
      </c>
      <c r="AS34" s="310" cm="1">
        <f t="array" ref="AS34">INDEX('생산수량Back-Data'!$B$5:$AAA$10041,
       MATCH($B33,'생산수량Back-Data'!$B$5:$B$10041,0)+2,
       MATCH(AS$3,'생산수량Back-Data'!$B$3:$AAA$3,0))</f>
        <v>0</v>
      </c>
      <c r="AT34" s="324" cm="1">
        <f t="array" ref="AT34">INDEX('생산수량Back-Data'!$B$5:$AAA$10041,
       MATCH($B33,'생산수량Back-Data'!$B$5:$B$10041,0)+2,
       MATCH(AT$3,'생산수량Back-Data'!$B$3:$AAA$3,0))</f>
        <v>0</v>
      </c>
    </row>
    <row r="35" spans="2:46" ht="32.1" customHeight="1" x14ac:dyDescent="0.3">
      <c r="B35" s="444" t="s">
        <v>71</v>
      </c>
      <c r="C35" s="444" t="s">
        <v>185</v>
      </c>
      <c r="D35" s="444" t="s">
        <v>211</v>
      </c>
      <c r="E35" s="438">
        <f>ABS(SUMIFS('Fixture 총 발주수량'!Z:Z,'Fixture 총 발주수량'!B:B,'후공정(애칭)생산계획'!B35,'Fixture 총 발주수량'!Z:Z,"&lt;0"))</f>
        <v>110</v>
      </c>
      <c r="F35" s="437">
        <f>G35-E35</f>
        <v>-110</v>
      </c>
      <c r="G35" s="437">
        <f>SUMIF(P35:AT35, "&gt;0")</f>
        <v>0</v>
      </c>
      <c r="H35" s="437">
        <f>SUMIF(P36:AT36, "&gt;0")</f>
        <v>0</v>
      </c>
      <c r="I35" s="442">
        <f>IFERROR(H35/G35,)</f>
        <v>0</v>
      </c>
      <c r="J35" s="437">
        <f ca="1">IFERROR(SUMIF('Fixture 총 발주수량'!B:AG,'후공정(애칭)생산계획'!B35,'Fixture 총 발주수량'!AA:AA),)</f>
        <v>0</v>
      </c>
      <c r="K35" s="438">
        <f>ROUNDUP(E35/2000,)</f>
        <v>1</v>
      </c>
      <c r="L35" s="438">
        <f>L33+K35</f>
        <v>17</v>
      </c>
      <c r="M35" s="438">
        <f>L35+K35</f>
        <v>18</v>
      </c>
      <c r="N35" s="438">
        <f>N33+K35</f>
        <v>17</v>
      </c>
      <c r="O35" s="306" t="s">
        <v>264</v>
      </c>
      <c r="P35" s="325"/>
      <c r="Q35" s="312"/>
      <c r="R35" s="312"/>
      <c r="S35" s="312"/>
      <c r="T35" s="312"/>
      <c r="U35" s="312"/>
      <c r="V35" s="312"/>
      <c r="W35" s="312"/>
      <c r="X35" s="312"/>
      <c r="Y35" s="312"/>
      <c r="Z35" s="312"/>
      <c r="AA35" s="312"/>
      <c r="AB35" s="312"/>
      <c r="AC35" s="312"/>
      <c r="AD35" s="312"/>
      <c r="AE35" s="312"/>
      <c r="AF35" s="312"/>
      <c r="AG35" s="312"/>
      <c r="AH35" s="312"/>
      <c r="AI35" s="312"/>
      <c r="AJ35" s="312"/>
      <c r="AK35" s="312"/>
      <c r="AL35" s="312"/>
      <c r="AM35" s="312"/>
      <c r="AN35" s="312"/>
      <c r="AO35" s="312"/>
      <c r="AP35" s="312"/>
      <c r="AQ35" s="312"/>
      <c r="AR35" s="312"/>
      <c r="AS35" s="312"/>
      <c r="AT35" s="313"/>
    </row>
    <row r="36" spans="2:46" ht="32.1" customHeight="1" x14ac:dyDescent="0.3">
      <c r="B36" s="445"/>
      <c r="C36" s="445"/>
      <c r="D36" s="445"/>
      <c r="E36" s="439"/>
      <c r="F36" s="436"/>
      <c r="G36" s="436"/>
      <c r="H36" s="436"/>
      <c r="I36" s="443"/>
      <c r="J36" s="436"/>
      <c r="K36" s="439"/>
      <c r="L36" s="439"/>
      <c r="M36" s="439"/>
      <c r="N36" s="439"/>
      <c r="O36" s="306" t="s">
        <v>266</v>
      </c>
      <c r="P36" s="323" cm="1">
        <f t="array" ref="P36">INDEX('생산수량Back-Data'!$B$5:$AAA$10041,
       MATCH($B35,'생산수량Back-Data'!$B$5:$B$10041,0)+2,
       MATCH(P$3,'생산수량Back-Data'!$B$3:$AAA$3,0))</f>
        <v>0</v>
      </c>
      <c r="Q36" s="310" cm="1">
        <f t="array" ref="Q36">INDEX('생산수량Back-Data'!$B$5:$AAA$10041,
       MATCH($B35,'생산수량Back-Data'!$B$5:$B$10041,0)+2,
       MATCH(Q$3,'생산수량Back-Data'!$B$3:$AAA$3,0))</f>
        <v>0</v>
      </c>
      <c r="R36" s="310" cm="1">
        <f t="array" ref="R36">INDEX('생산수량Back-Data'!$B$5:$AAA$10041,
       MATCH($B35,'생산수량Back-Data'!$B$5:$B$10041,0)+2,
       MATCH(R$3,'생산수량Back-Data'!$B$3:$AAA$3,0))</f>
        <v>0</v>
      </c>
      <c r="S36" s="310" cm="1">
        <f t="array" ref="S36">INDEX('생산수량Back-Data'!$B$5:$AAA$10041,
       MATCH($B35,'생산수량Back-Data'!$B$5:$B$10041,0)+2,
       MATCH(S$3,'생산수량Back-Data'!$B$3:$AAA$3,0))</f>
        <v>0</v>
      </c>
      <c r="T36" s="310" cm="1">
        <f t="array" ref="T36">INDEX('생산수량Back-Data'!$B$5:$AAA$10041,
       MATCH($B35,'생산수량Back-Data'!$B$5:$B$10041,0)+2,
       MATCH(T$3,'생산수량Back-Data'!$B$3:$AAA$3,0))</f>
        <v>0</v>
      </c>
      <c r="U36" s="310" cm="1">
        <f t="array" ref="U36">INDEX('생산수량Back-Data'!$B$5:$AAA$10041,
       MATCH($B35,'생산수량Back-Data'!$B$5:$B$10041,0)+2,
       MATCH(U$3,'생산수량Back-Data'!$B$3:$AAA$3,0))</f>
        <v>0</v>
      </c>
      <c r="V36" s="310" cm="1">
        <f t="array" ref="V36">INDEX('생산수량Back-Data'!$B$5:$AAA$10041,
       MATCH($B35,'생산수량Back-Data'!$B$5:$B$10041,0)+2,
       MATCH(V$3,'생산수량Back-Data'!$B$3:$AAA$3,0))</f>
        <v>0</v>
      </c>
      <c r="W36" s="310" cm="1">
        <f t="array" ref="W36">INDEX('생산수량Back-Data'!$B$5:$AAA$10041,
       MATCH($B35,'생산수량Back-Data'!$B$5:$B$10041,0)+2,
       MATCH(W$3,'생산수량Back-Data'!$B$3:$AAA$3,0))</f>
        <v>0</v>
      </c>
      <c r="X36" s="310" cm="1">
        <f t="array" ref="X36">INDEX('생산수량Back-Data'!$B$5:$AAA$10041,
       MATCH($B35,'생산수량Back-Data'!$B$5:$B$10041,0)+2,
       MATCH(X$3,'생산수량Back-Data'!$B$3:$AAA$3,0))</f>
        <v>0</v>
      </c>
      <c r="Y36" s="310" cm="1">
        <f t="array" ref="Y36">INDEX('생산수량Back-Data'!$B$5:$AAA$10041,
       MATCH($B35,'생산수량Back-Data'!$B$5:$B$10041,0)+2,
       MATCH(Y$3,'생산수량Back-Data'!$B$3:$AAA$3,0))</f>
        <v>0</v>
      </c>
      <c r="Z36" s="310" cm="1">
        <f t="array" ref="Z36">INDEX('생산수량Back-Data'!$B$5:$AAA$10041,
       MATCH($B35,'생산수량Back-Data'!$B$5:$B$10041,0)+2,
       MATCH(Z$3,'생산수량Back-Data'!$B$3:$AAA$3,0))</f>
        <v>0</v>
      </c>
      <c r="AA36" s="310" cm="1">
        <f t="array" ref="AA36">INDEX('생산수량Back-Data'!$B$5:$AAA$10041,
       MATCH($B35,'생산수량Back-Data'!$B$5:$B$10041,0)+2,
       MATCH(AA$3,'생산수량Back-Data'!$B$3:$AAA$3,0))</f>
        <v>0</v>
      </c>
      <c r="AB36" s="310" cm="1">
        <f t="array" ref="AB36">INDEX('생산수량Back-Data'!$B$5:$AAA$10041,
       MATCH($B35,'생산수량Back-Data'!$B$5:$B$10041,0)+2,
       MATCH(AB$3,'생산수량Back-Data'!$B$3:$AAA$3,0))</f>
        <v>0</v>
      </c>
      <c r="AC36" s="310" cm="1">
        <f t="array" ref="AC36">INDEX('생산수량Back-Data'!$B$5:$AAA$10041,
       MATCH($B35,'생산수량Back-Data'!$B$5:$B$10041,0)+2,
       MATCH(AC$3,'생산수량Back-Data'!$B$3:$AAA$3,0))</f>
        <v>0</v>
      </c>
      <c r="AD36" s="310" cm="1">
        <f t="array" ref="AD36">INDEX('생산수량Back-Data'!$B$5:$AAA$10041,
       MATCH($B35,'생산수량Back-Data'!$B$5:$B$10041,0)+2,
       MATCH(AD$3,'생산수량Back-Data'!$B$3:$AAA$3,0))</f>
        <v>0</v>
      </c>
      <c r="AE36" s="310" cm="1">
        <f t="array" ref="AE36">INDEX('생산수량Back-Data'!$B$5:$AAA$10041,
       MATCH($B35,'생산수량Back-Data'!$B$5:$B$10041,0)+2,
       MATCH(AE$3,'생산수량Back-Data'!$B$3:$AAA$3,0))</f>
        <v>0</v>
      </c>
      <c r="AF36" s="310" cm="1">
        <f t="array" ref="AF36">INDEX('생산수량Back-Data'!$B$5:$AAA$10041,
       MATCH($B35,'생산수량Back-Data'!$B$5:$B$10041,0)+2,
       MATCH(AF$3,'생산수량Back-Data'!$B$3:$AAA$3,0))</f>
        <v>0</v>
      </c>
      <c r="AG36" s="310" cm="1">
        <f t="array" ref="AG36">INDEX('생산수량Back-Data'!$B$5:$AAA$10041,
       MATCH($B35,'생산수량Back-Data'!$B$5:$B$10041,0)+2,
       MATCH(AG$3,'생산수량Back-Data'!$B$3:$AAA$3,0))</f>
        <v>0</v>
      </c>
      <c r="AH36" s="310" cm="1">
        <f t="array" ref="AH36">INDEX('생산수량Back-Data'!$B$5:$AAA$10041,
       MATCH($B35,'생산수량Back-Data'!$B$5:$B$10041,0)+2,
       MATCH(AH$3,'생산수량Back-Data'!$B$3:$AAA$3,0))</f>
        <v>0</v>
      </c>
      <c r="AI36" s="310" cm="1">
        <f t="array" ref="AI36">INDEX('생산수량Back-Data'!$B$5:$AAA$10041,
       MATCH($B35,'생산수량Back-Data'!$B$5:$B$10041,0)+2,
       MATCH(AI$3,'생산수량Back-Data'!$B$3:$AAA$3,0))</f>
        <v>0</v>
      </c>
      <c r="AJ36" s="310" cm="1">
        <f t="array" ref="AJ36">INDEX('생산수량Back-Data'!$B$5:$AAA$10041,
       MATCH($B35,'생산수량Back-Data'!$B$5:$B$10041,0)+2,
       MATCH(AJ$3,'생산수량Back-Data'!$B$3:$AAA$3,0))</f>
        <v>0</v>
      </c>
      <c r="AK36" s="310" cm="1">
        <f t="array" ref="AK36">INDEX('생산수량Back-Data'!$B$5:$AAA$10041,
       MATCH($B35,'생산수량Back-Data'!$B$5:$B$10041,0)+2,
       MATCH(AK$3,'생산수량Back-Data'!$B$3:$AAA$3,0))</f>
        <v>0</v>
      </c>
      <c r="AL36" s="310" cm="1">
        <f t="array" ref="AL36">INDEX('생산수량Back-Data'!$B$5:$AAA$10041,
       MATCH($B35,'생산수량Back-Data'!$B$5:$B$10041,0)+2,
       MATCH(AL$3,'생산수량Back-Data'!$B$3:$AAA$3,0))</f>
        <v>0</v>
      </c>
      <c r="AM36" s="310" cm="1">
        <f t="array" ref="AM36">INDEX('생산수량Back-Data'!$B$5:$AAA$10041,
       MATCH($B35,'생산수량Back-Data'!$B$5:$B$10041,0)+2,
       MATCH(AM$3,'생산수량Back-Data'!$B$3:$AAA$3,0))</f>
        <v>0</v>
      </c>
      <c r="AN36" s="310" cm="1">
        <f t="array" ref="AN36">INDEX('생산수량Back-Data'!$B$5:$AAA$10041,
       MATCH($B35,'생산수량Back-Data'!$B$5:$B$10041,0)+2,
       MATCH(AN$3,'생산수량Back-Data'!$B$3:$AAA$3,0))</f>
        <v>0</v>
      </c>
      <c r="AO36" s="310" cm="1">
        <f t="array" ref="AO36">INDEX('생산수량Back-Data'!$B$5:$AAA$10041,
       MATCH($B35,'생산수량Back-Data'!$B$5:$B$10041,0)+2,
       MATCH(AO$3,'생산수량Back-Data'!$B$3:$AAA$3,0))</f>
        <v>0</v>
      </c>
      <c r="AP36" s="310" cm="1">
        <f t="array" ref="AP36">INDEX('생산수량Back-Data'!$B$5:$AAA$10041,
       MATCH($B35,'생산수량Back-Data'!$B$5:$B$10041,0)+2,
       MATCH(AP$3,'생산수량Back-Data'!$B$3:$AAA$3,0))</f>
        <v>0</v>
      </c>
      <c r="AQ36" s="310" cm="1">
        <f t="array" ref="AQ36">INDEX('생산수량Back-Data'!$B$5:$AAA$10041,
       MATCH($B35,'생산수량Back-Data'!$B$5:$B$10041,0)+2,
       MATCH(AQ$3,'생산수량Back-Data'!$B$3:$AAA$3,0))</f>
        <v>0</v>
      </c>
      <c r="AR36" s="310" cm="1">
        <f t="array" ref="AR36">INDEX('생산수량Back-Data'!$B$5:$AAA$10041,
       MATCH($B35,'생산수량Back-Data'!$B$5:$B$10041,0)+2,
       MATCH(AR$3,'생산수량Back-Data'!$B$3:$AAA$3,0))</f>
        <v>0</v>
      </c>
      <c r="AS36" s="310" cm="1">
        <f t="array" ref="AS36">INDEX('생산수량Back-Data'!$B$5:$AAA$10041,
       MATCH($B35,'생산수량Back-Data'!$B$5:$B$10041,0)+2,
       MATCH(AS$3,'생산수량Back-Data'!$B$3:$AAA$3,0))</f>
        <v>0</v>
      </c>
      <c r="AT36" s="324" cm="1">
        <f t="array" ref="AT36">INDEX('생산수량Back-Data'!$B$5:$AAA$10041,
       MATCH($B35,'생산수량Back-Data'!$B$5:$B$10041,0)+2,
       MATCH(AT$3,'생산수량Back-Data'!$B$3:$AAA$3,0))</f>
        <v>0</v>
      </c>
    </row>
    <row r="37" spans="2:46" ht="32.1" customHeight="1" x14ac:dyDescent="0.3">
      <c r="B37" s="444" t="s">
        <v>72</v>
      </c>
      <c r="C37" s="444" t="s">
        <v>185</v>
      </c>
      <c r="D37" s="444" t="s">
        <v>212</v>
      </c>
      <c r="E37" s="438">
        <f>ABS(SUMIFS('Fixture 총 발주수량'!Z:Z,'Fixture 총 발주수량'!B:B,'후공정(애칭)생산계획'!B37,'Fixture 총 발주수량'!Z:Z,"&lt;0"))</f>
        <v>286</v>
      </c>
      <c r="F37" s="437">
        <f>G37-E37</f>
        <v>-286</v>
      </c>
      <c r="G37" s="437">
        <f>SUMIF(P37:AT37, "&gt;0")</f>
        <v>0</v>
      </c>
      <c r="H37" s="437">
        <f>SUMIF(P38:AT38, "&gt;0")</f>
        <v>0</v>
      </c>
      <c r="I37" s="442">
        <f>IFERROR(H37/G37,)</f>
        <v>0</v>
      </c>
      <c r="J37" s="437">
        <f ca="1">IFERROR(SUMIF('Fixture 총 발주수량'!B:AG,'후공정(애칭)생산계획'!B37,'Fixture 총 발주수량'!AA:AA),)</f>
        <v>0</v>
      </c>
      <c r="K37" s="438">
        <f>ROUNDUP(E37/2000,)</f>
        <v>1</v>
      </c>
      <c r="L37" s="438">
        <f>L35+K37</f>
        <v>18</v>
      </c>
      <c r="M37" s="438">
        <f>L37+K37</f>
        <v>19</v>
      </c>
      <c r="N37" s="438">
        <f>N35+K37</f>
        <v>18</v>
      </c>
      <c r="O37" s="306" t="s">
        <v>264</v>
      </c>
      <c r="P37" s="325"/>
      <c r="Q37" s="312"/>
      <c r="R37" s="312"/>
      <c r="S37" s="312"/>
      <c r="T37" s="312"/>
      <c r="U37" s="312"/>
      <c r="V37" s="312"/>
      <c r="W37" s="312"/>
      <c r="X37" s="312"/>
      <c r="Y37" s="312"/>
      <c r="Z37" s="312"/>
      <c r="AA37" s="312"/>
      <c r="AB37" s="312"/>
      <c r="AC37" s="312"/>
      <c r="AD37" s="312"/>
      <c r="AE37" s="312"/>
      <c r="AF37" s="312"/>
      <c r="AG37" s="312"/>
      <c r="AH37" s="312"/>
      <c r="AI37" s="312"/>
      <c r="AJ37" s="312"/>
      <c r="AK37" s="312"/>
      <c r="AL37" s="312"/>
      <c r="AM37" s="312"/>
      <c r="AN37" s="312"/>
      <c r="AO37" s="312"/>
      <c r="AP37" s="312"/>
      <c r="AQ37" s="312"/>
      <c r="AR37" s="312"/>
      <c r="AS37" s="312"/>
      <c r="AT37" s="313"/>
    </row>
    <row r="38" spans="2:46" ht="32.1" customHeight="1" x14ac:dyDescent="0.3">
      <c r="B38" s="445"/>
      <c r="C38" s="445"/>
      <c r="D38" s="445"/>
      <c r="E38" s="439"/>
      <c r="F38" s="436"/>
      <c r="G38" s="436"/>
      <c r="H38" s="436"/>
      <c r="I38" s="443"/>
      <c r="J38" s="436"/>
      <c r="K38" s="439"/>
      <c r="L38" s="439"/>
      <c r="M38" s="439"/>
      <c r="N38" s="439"/>
      <c r="O38" s="306" t="s">
        <v>266</v>
      </c>
      <c r="P38" s="323" cm="1">
        <f t="array" ref="P38">INDEX('생산수량Back-Data'!$B$5:$AAA$10041,
       MATCH($B37,'생산수량Back-Data'!$B$5:$B$10041,0)+2,
       MATCH(P$3,'생산수량Back-Data'!$B$3:$AAA$3,0))</f>
        <v>0</v>
      </c>
      <c r="Q38" s="310" cm="1">
        <f t="array" ref="Q38">INDEX('생산수량Back-Data'!$B$5:$AAA$10041,
       MATCH($B37,'생산수량Back-Data'!$B$5:$B$10041,0)+2,
       MATCH(Q$3,'생산수량Back-Data'!$B$3:$AAA$3,0))</f>
        <v>0</v>
      </c>
      <c r="R38" s="310" cm="1">
        <f t="array" ref="R38">INDEX('생산수량Back-Data'!$B$5:$AAA$10041,
       MATCH($B37,'생산수량Back-Data'!$B$5:$B$10041,0)+2,
       MATCH(R$3,'생산수량Back-Data'!$B$3:$AAA$3,0))</f>
        <v>0</v>
      </c>
      <c r="S38" s="310" cm="1">
        <f t="array" ref="S38">INDEX('생산수량Back-Data'!$B$5:$AAA$10041,
       MATCH($B37,'생산수량Back-Data'!$B$5:$B$10041,0)+2,
       MATCH(S$3,'생산수량Back-Data'!$B$3:$AAA$3,0))</f>
        <v>0</v>
      </c>
      <c r="T38" s="310" cm="1">
        <f t="array" ref="T38">INDEX('생산수량Back-Data'!$B$5:$AAA$10041,
       MATCH($B37,'생산수량Back-Data'!$B$5:$B$10041,0)+2,
       MATCH(T$3,'생산수량Back-Data'!$B$3:$AAA$3,0))</f>
        <v>0</v>
      </c>
      <c r="U38" s="310" cm="1">
        <f t="array" ref="U38">INDEX('생산수량Back-Data'!$B$5:$AAA$10041,
       MATCH($B37,'생산수량Back-Data'!$B$5:$B$10041,0)+2,
       MATCH(U$3,'생산수량Back-Data'!$B$3:$AAA$3,0))</f>
        <v>0</v>
      </c>
      <c r="V38" s="310" cm="1">
        <f t="array" ref="V38">INDEX('생산수량Back-Data'!$B$5:$AAA$10041,
       MATCH($B37,'생산수량Back-Data'!$B$5:$B$10041,0)+2,
       MATCH(V$3,'생산수량Back-Data'!$B$3:$AAA$3,0))</f>
        <v>0</v>
      </c>
      <c r="W38" s="310" cm="1">
        <f t="array" ref="W38">INDEX('생산수량Back-Data'!$B$5:$AAA$10041,
       MATCH($B37,'생산수량Back-Data'!$B$5:$B$10041,0)+2,
       MATCH(W$3,'생산수량Back-Data'!$B$3:$AAA$3,0))</f>
        <v>0</v>
      </c>
      <c r="X38" s="310" cm="1">
        <f t="array" ref="X38">INDEX('생산수량Back-Data'!$B$5:$AAA$10041,
       MATCH($B37,'생산수량Back-Data'!$B$5:$B$10041,0)+2,
       MATCH(X$3,'생산수량Back-Data'!$B$3:$AAA$3,0))</f>
        <v>0</v>
      </c>
      <c r="Y38" s="310" cm="1">
        <f t="array" ref="Y38">INDEX('생산수량Back-Data'!$B$5:$AAA$10041,
       MATCH($B37,'생산수량Back-Data'!$B$5:$B$10041,0)+2,
       MATCH(Y$3,'생산수량Back-Data'!$B$3:$AAA$3,0))</f>
        <v>0</v>
      </c>
      <c r="Z38" s="310" cm="1">
        <f t="array" ref="Z38">INDEX('생산수량Back-Data'!$B$5:$AAA$10041,
       MATCH($B37,'생산수량Back-Data'!$B$5:$B$10041,0)+2,
       MATCH(Z$3,'생산수량Back-Data'!$B$3:$AAA$3,0))</f>
        <v>0</v>
      </c>
      <c r="AA38" s="310" cm="1">
        <f t="array" ref="AA38">INDEX('생산수량Back-Data'!$B$5:$AAA$10041,
       MATCH($B37,'생산수량Back-Data'!$B$5:$B$10041,0)+2,
       MATCH(AA$3,'생산수량Back-Data'!$B$3:$AAA$3,0))</f>
        <v>0</v>
      </c>
      <c r="AB38" s="310" cm="1">
        <f t="array" ref="AB38">INDEX('생산수량Back-Data'!$B$5:$AAA$10041,
       MATCH($B37,'생산수량Back-Data'!$B$5:$B$10041,0)+2,
       MATCH(AB$3,'생산수량Back-Data'!$B$3:$AAA$3,0))</f>
        <v>0</v>
      </c>
      <c r="AC38" s="310" cm="1">
        <f t="array" ref="AC38">INDEX('생산수량Back-Data'!$B$5:$AAA$10041,
       MATCH($B37,'생산수량Back-Data'!$B$5:$B$10041,0)+2,
       MATCH(AC$3,'생산수량Back-Data'!$B$3:$AAA$3,0))</f>
        <v>0</v>
      </c>
      <c r="AD38" s="310" cm="1">
        <f t="array" ref="AD38">INDEX('생산수량Back-Data'!$B$5:$AAA$10041,
       MATCH($B37,'생산수량Back-Data'!$B$5:$B$10041,0)+2,
       MATCH(AD$3,'생산수량Back-Data'!$B$3:$AAA$3,0))</f>
        <v>0</v>
      </c>
      <c r="AE38" s="310" cm="1">
        <f t="array" ref="AE38">INDEX('생산수량Back-Data'!$B$5:$AAA$10041,
       MATCH($B37,'생산수량Back-Data'!$B$5:$B$10041,0)+2,
       MATCH(AE$3,'생산수량Back-Data'!$B$3:$AAA$3,0))</f>
        <v>0</v>
      </c>
      <c r="AF38" s="310" cm="1">
        <f t="array" ref="AF38">INDEX('생산수량Back-Data'!$B$5:$AAA$10041,
       MATCH($B37,'생산수량Back-Data'!$B$5:$B$10041,0)+2,
       MATCH(AF$3,'생산수량Back-Data'!$B$3:$AAA$3,0))</f>
        <v>0</v>
      </c>
      <c r="AG38" s="310" cm="1">
        <f t="array" ref="AG38">INDEX('생산수량Back-Data'!$B$5:$AAA$10041,
       MATCH($B37,'생산수량Back-Data'!$B$5:$B$10041,0)+2,
       MATCH(AG$3,'생산수량Back-Data'!$B$3:$AAA$3,0))</f>
        <v>0</v>
      </c>
      <c r="AH38" s="310" cm="1">
        <f t="array" ref="AH38">INDEX('생산수량Back-Data'!$B$5:$AAA$10041,
       MATCH($B37,'생산수량Back-Data'!$B$5:$B$10041,0)+2,
       MATCH(AH$3,'생산수량Back-Data'!$B$3:$AAA$3,0))</f>
        <v>0</v>
      </c>
      <c r="AI38" s="310" cm="1">
        <f t="array" ref="AI38">INDEX('생산수량Back-Data'!$B$5:$AAA$10041,
       MATCH($B37,'생산수량Back-Data'!$B$5:$B$10041,0)+2,
       MATCH(AI$3,'생산수량Back-Data'!$B$3:$AAA$3,0))</f>
        <v>0</v>
      </c>
      <c r="AJ38" s="310" cm="1">
        <f t="array" ref="AJ38">INDEX('생산수량Back-Data'!$B$5:$AAA$10041,
       MATCH($B37,'생산수량Back-Data'!$B$5:$B$10041,0)+2,
       MATCH(AJ$3,'생산수량Back-Data'!$B$3:$AAA$3,0))</f>
        <v>0</v>
      </c>
      <c r="AK38" s="310" cm="1">
        <f t="array" ref="AK38">INDEX('생산수량Back-Data'!$B$5:$AAA$10041,
       MATCH($B37,'생산수량Back-Data'!$B$5:$B$10041,0)+2,
       MATCH(AK$3,'생산수량Back-Data'!$B$3:$AAA$3,0))</f>
        <v>0</v>
      </c>
      <c r="AL38" s="310" cm="1">
        <f t="array" ref="AL38">INDEX('생산수량Back-Data'!$B$5:$AAA$10041,
       MATCH($B37,'생산수량Back-Data'!$B$5:$B$10041,0)+2,
       MATCH(AL$3,'생산수량Back-Data'!$B$3:$AAA$3,0))</f>
        <v>0</v>
      </c>
      <c r="AM38" s="310" cm="1">
        <f t="array" ref="AM38">INDEX('생산수량Back-Data'!$B$5:$AAA$10041,
       MATCH($B37,'생산수량Back-Data'!$B$5:$B$10041,0)+2,
       MATCH(AM$3,'생산수량Back-Data'!$B$3:$AAA$3,0))</f>
        <v>0</v>
      </c>
      <c r="AN38" s="310" cm="1">
        <f t="array" ref="AN38">INDEX('생산수량Back-Data'!$B$5:$AAA$10041,
       MATCH($B37,'생산수량Back-Data'!$B$5:$B$10041,0)+2,
       MATCH(AN$3,'생산수량Back-Data'!$B$3:$AAA$3,0))</f>
        <v>0</v>
      </c>
      <c r="AO38" s="310" cm="1">
        <f t="array" ref="AO38">INDEX('생산수량Back-Data'!$B$5:$AAA$10041,
       MATCH($B37,'생산수량Back-Data'!$B$5:$B$10041,0)+2,
       MATCH(AO$3,'생산수량Back-Data'!$B$3:$AAA$3,0))</f>
        <v>0</v>
      </c>
      <c r="AP38" s="310" cm="1">
        <f t="array" ref="AP38">INDEX('생산수량Back-Data'!$B$5:$AAA$10041,
       MATCH($B37,'생산수량Back-Data'!$B$5:$B$10041,0)+2,
       MATCH(AP$3,'생산수량Back-Data'!$B$3:$AAA$3,0))</f>
        <v>0</v>
      </c>
      <c r="AQ38" s="310" cm="1">
        <f t="array" ref="AQ38">INDEX('생산수량Back-Data'!$B$5:$AAA$10041,
       MATCH($B37,'생산수량Back-Data'!$B$5:$B$10041,0)+2,
       MATCH(AQ$3,'생산수량Back-Data'!$B$3:$AAA$3,0))</f>
        <v>0</v>
      </c>
      <c r="AR38" s="310" cm="1">
        <f t="array" ref="AR38">INDEX('생산수량Back-Data'!$B$5:$AAA$10041,
       MATCH($B37,'생산수량Back-Data'!$B$5:$B$10041,0)+2,
       MATCH(AR$3,'생산수량Back-Data'!$B$3:$AAA$3,0))</f>
        <v>0</v>
      </c>
      <c r="AS38" s="310" cm="1">
        <f t="array" ref="AS38">INDEX('생산수량Back-Data'!$B$5:$AAA$10041,
       MATCH($B37,'생산수량Back-Data'!$B$5:$B$10041,0)+2,
       MATCH(AS$3,'생산수량Back-Data'!$B$3:$AAA$3,0))</f>
        <v>0</v>
      </c>
      <c r="AT38" s="324" cm="1">
        <f t="array" ref="AT38">INDEX('생산수량Back-Data'!$B$5:$AAA$10041,
       MATCH($B37,'생산수량Back-Data'!$B$5:$B$10041,0)+2,
       MATCH(AT$3,'생산수량Back-Data'!$B$3:$AAA$3,0))</f>
        <v>0</v>
      </c>
    </row>
    <row r="39" spans="2:46" ht="32.1" customHeight="1" x14ac:dyDescent="0.3">
      <c r="B39" s="444" t="s">
        <v>73</v>
      </c>
      <c r="C39" s="444" t="s">
        <v>185</v>
      </c>
      <c r="D39" s="444" t="s">
        <v>213</v>
      </c>
      <c r="E39" s="438">
        <f>ABS(SUMIFS('Fixture 총 발주수량'!Z:Z,'Fixture 총 발주수량'!B:B,'후공정(애칭)생산계획'!B39,'Fixture 총 발주수량'!Z:Z,"&lt;0"))</f>
        <v>110</v>
      </c>
      <c r="F39" s="437">
        <f>G39-E39</f>
        <v>-110</v>
      </c>
      <c r="G39" s="437">
        <f>SUMIF(P39:AT39, "&gt;0")</f>
        <v>0</v>
      </c>
      <c r="H39" s="437">
        <f>SUMIF(P40:AT40, "&gt;0")</f>
        <v>0</v>
      </c>
      <c r="I39" s="442">
        <f>IFERROR(H39/G39,)</f>
        <v>0</v>
      </c>
      <c r="J39" s="437">
        <f ca="1">IFERROR(SUMIF('Fixture 총 발주수량'!B:AG,'후공정(애칭)생산계획'!B39,'Fixture 총 발주수량'!AA:AA),)</f>
        <v>0</v>
      </c>
      <c r="K39" s="438">
        <f>ROUNDUP(E39/2000,)</f>
        <v>1</v>
      </c>
      <c r="L39" s="438">
        <f>L37+K39</f>
        <v>19</v>
      </c>
      <c r="M39" s="438">
        <f>L39+K39</f>
        <v>20</v>
      </c>
      <c r="N39" s="438">
        <f>N37+K39</f>
        <v>19</v>
      </c>
      <c r="O39" s="306" t="s">
        <v>264</v>
      </c>
      <c r="P39" s="325"/>
      <c r="Q39" s="312"/>
      <c r="R39" s="312"/>
      <c r="S39" s="312"/>
      <c r="T39" s="312"/>
      <c r="U39" s="312"/>
      <c r="V39" s="312"/>
      <c r="W39" s="312"/>
      <c r="X39" s="312"/>
      <c r="Y39" s="312"/>
      <c r="Z39" s="312"/>
      <c r="AA39" s="312"/>
      <c r="AB39" s="312"/>
      <c r="AC39" s="312"/>
      <c r="AD39" s="312"/>
      <c r="AE39" s="312"/>
      <c r="AF39" s="312"/>
      <c r="AG39" s="312"/>
      <c r="AH39" s="312"/>
      <c r="AI39" s="312"/>
      <c r="AJ39" s="312"/>
      <c r="AK39" s="312"/>
      <c r="AL39" s="312"/>
      <c r="AM39" s="312"/>
      <c r="AN39" s="312"/>
      <c r="AO39" s="312"/>
      <c r="AP39" s="312"/>
      <c r="AQ39" s="312"/>
      <c r="AR39" s="312"/>
      <c r="AS39" s="312"/>
      <c r="AT39" s="313"/>
    </row>
    <row r="40" spans="2:46" ht="32.1" customHeight="1" thickBot="1" x14ac:dyDescent="0.35">
      <c r="B40" s="454"/>
      <c r="C40" s="454"/>
      <c r="D40" s="454"/>
      <c r="E40" s="450"/>
      <c r="F40" s="452"/>
      <c r="G40" s="452"/>
      <c r="H40" s="452"/>
      <c r="I40" s="453"/>
      <c r="J40" s="452"/>
      <c r="K40" s="450"/>
      <c r="L40" s="450"/>
      <c r="M40" s="450"/>
      <c r="N40" s="450"/>
      <c r="O40" s="305" t="s">
        <v>266</v>
      </c>
      <c r="P40" s="323" cm="1">
        <f t="array" ref="P40">INDEX('생산수량Back-Data'!$B$5:$AAA$10041,
       MATCH($B39,'생산수량Back-Data'!$B$5:$B$10041,0)+2,
       MATCH(P$3,'생산수량Back-Data'!$B$3:$AAA$3,0))</f>
        <v>0</v>
      </c>
      <c r="Q40" s="310" cm="1">
        <f t="array" ref="Q40">INDEX('생산수량Back-Data'!$B$5:$AAA$10041,
       MATCH($B39,'생산수량Back-Data'!$B$5:$B$10041,0)+2,
       MATCH(Q$3,'생산수량Back-Data'!$B$3:$AAA$3,0))</f>
        <v>0</v>
      </c>
      <c r="R40" s="310" cm="1">
        <f t="array" ref="R40">INDEX('생산수량Back-Data'!$B$5:$AAA$10041,
       MATCH($B39,'생산수량Back-Data'!$B$5:$B$10041,0)+2,
       MATCH(R$3,'생산수량Back-Data'!$B$3:$AAA$3,0))</f>
        <v>0</v>
      </c>
      <c r="S40" s="310" cm="1">
        <f t="array" ref="S40">INDEX('생산수량Back-Data'!$B$5:$AAA$10041,
       MATCH($B39,'생산수량Back-Data'!$B$5:$B$10041,0)+2,
       MATCH(S$3,'생산수량Back-Data'!$B$3:$AAA$3,0))</f>
        <v>0</v>
      </c>
      <c r="T40" s="310" cm="1">
        <f t="array" ref="T40">INDEX('생산수량Back-Data'!$B$5:$AAA$10041,
       MATCH($B39,'생산수량Back-Data'!$B$5:$B$10041,0)+2,
       MATCH(T$3,'생산수량Back-Data'!$B$3:$AAA$3,0))</f>
        <v>0</v>
      </c>
      <c r="U40" s="310" cm="1">
        <f t="array" ref="U40">INDEX('생산수량Back-Data'!$B$5:$AAA$10041,
       MATCH($B39,'생산수량Back-Data'!$B$5:$B$10041,0)+2,
       MATCH(U$3,'생산수량Back-Data'!$B$3:$AAA$3,0))</f>
        <v>0</v>
      </c>
      <c r="V40" s="310" cm="1">
        <f t="array" ref="V40">INDEX('생산수량Back-Data'!$B$5:$AAA$10041,
       MATCH($B39,'생산수량Back-Data'!$B$5:$B$10041,0)+2,
       MATCH(V$3,'생산수량Back-Data'!$B$3:$AAA$3,0))</f>
        <v>0</v>
      </c>
      <c r="W40" s="310" cm="1">
        <f t="array" ref="W40">INDEX('생산수량Back-Data'!$B$5:$AAA$10041,
       MATCH($B39,'생산수량Back-Data'!$B$5:$B$10041,0)+2,
       MATCH(W$3,'생산수량Back-Data'!$B$3:$AAA$3,0))</f>
        <v>0</v>
      </c>
      <c r="X40" s="310" cm="1">
        <f t="array" ref="X40">INDEX('생산수량Back-Data'!$B$5:$AAA$10041,
       MATCH($B39,'생산수량Back-Data'!$B$5:$B$10041,0)+2,
       MATCH(X$3,'생산수량Back-Data'!$B$3:$AAA$3,0))</f>
        <v>0</v>
      </c>
      <c r="Y40" s="310" cm="1">
        <f t="array" ref="Y40">INDEX('생산수량Back-Data'!$B$5:$AAA$10041,
       MATCH($B39,'생산수량Back-Data'!$B$5:$B$10041,0)+2,
       MATCH(Y$3,'생산수량Back-Data'!$B$3:$AAA$3,0))</f>
        <v>0</v>
      </c>
      <c r="Z40" s="310" cm="1">
        <f t="array" ref="Z40">INDEX('생산수량Back-Data'!$B$5:$AAA$10041,
       MATCH($B39,'생산수량Back-Data'!$B$5:$B$10041,0)+2,
       MATCH(Z$3,'생산수량Back-Data'!$B$3:$AAA$3,0))</f>
        <v>0</v>
      </c>
      <c r="AA40" s="310" cm="1">
        <f t="array" ref="AA40">INDEX('생산수량Back-Data'!$B$5:$AAA$10041,
       MATCH($B39,'생산수량Back-Data'!$B$5:$B$10041,0)+2,
       MATCH(AA$3,'생산수량Back-Data'!$B$3:$AAA$3,0))</f>
        <v>0</v>
      </c>
      <c r="AB40" s="310" cm="1">
        <f t="array" ref="AB40">INDEX('생산수량Back-Data'!$B$5:$AAA$10041,
       MATCH($B39,'생산수량Back-Data'!$B$5:$B$10041,0)+2,
       MATCH(AB$3,'생산수량Back-Data'!$B$3:$AAA$3,0))</f>
        <v>0</v>
      </c>
      <c r="AC40" s="310" cm="1">
        <f t="array" ref="AC40">INDEX('생산수량Back-Data'!$B$5:$AAA$10041,
       MATCH($B39,'생산수량Back-Data'!$B$5:$B$10041,0)+2,
       MATCH(AC$3,'생산수량Back-Data'!$B$3:$AAA$3,0))</f>
        <v>0</v>
      </c>
      <c r="AD40" s="310" cm="1">
        <f t="array" ref="AD40">INDEX('생산수량Back-Data'!$B$5:$AAA$10041,
       MATCH($B39,'생산수량Back-Data'!$B$5:$B$10041,0)+2,
       MATCH(AD$3,'생산수량Back-Data'!$B$3:$AAA$3,0))</f>
        <v>0</v>
      </c>
      <c r="AE40" s="310" cm="1">
        <f t="array" ref="AE40">INDEX('생산수량Back-Data'!$B$5:$AAA$10041,
       MATCH($B39,'생산수량Back-Data'!$B$5:$B$10041,0)+2,
       MATCH(AE$3,'생산수량Back-Data'!$B$3:$AAA$3,0))</f>
        <v>0</v>
      </c>
      <c r="AF40" s="310" cm="1">
        <f t="array" ref="AF40">INDEX('생산수량Back-Data'!$B$5:$AAA$10041,
       MATCH($B39,'생산수량Back-Data'!$B$5:$B$10041,0)+2,
       MATCH(AF$3,'생산수량Back-Data'!$B$3:$AAA$3,0))</f>
        <v>0</v>
      </c>
      <c r="AG40" s="310" cm="1">
        <f t="array" ref="AG40">INDEX('생산수량Back-Data'!$B$5:$AAA$10041,
       MATCH($B39,'생산수량Back-Data'!$B$5:$B$10041,0)+2,
       MATCH(AG$3,'생산수량Back-Data'!$B$3:$AAA$3,0))</f>
        <v>0</v>
      </c>
      <c r="AH40" s="310" cm="1">
        <f t="array" ref="AH40">INDEX('생산수량Back-Data'!$B$5:$AAA$10041,
       MATCH($B39,'생산수량Back-Data'!$B$5:$B$10041,0)+2,
       MATCH(AH$3,'생산수량Back-Data'!$B$3:$AAA$3,0))</f>
        <v>0</v>
      </c>
      <c r="AI40" s="310" cm="1">
        <f t="array" ref="AI40">INDEX('생산수량Back-Data'!$B$5:$AAA$10041,
       MATCH($B39,'생산수량Back-Data'!$B$5:$B$10041,0)+2,
       MATCH(AI$3,'생산수량Back-Data'!$B$3:$AAA$3,0))</f>
        <v>0</v>
      </c>
      <c r="AJ40" s="310" cm="1">
        <f t="array" ref="AJ40">INDEX('생산수량Back-Data'!$B$5:$AAA$10041,
       MATCH($B39,'생산수량Back-Data'!$B$5:$B$10041,0)+2,
       MATCH(AJ$3,'생산수량Back-Data'!$B$3:$AAA$3,0))</f>
        <v>0</v>
      </c>
      <c r="AK40" s="310" cm="1">
        <f t="array" ref="AK40">INDEX('생산수량Back-Data'!$B$5:$AAA$10041,
       MATCH($B39,'생산수량Back-Data'!$B$5:$B$10041,0)+2,
       MATCH(AK$3,'생산수량Back-Data'!$B$3:$AAA$3,0))</f>
        <v>0</v>
      </c>
      <c r="AL40" s="310" cm="1">
        <f t="array" ref="AL40">INDEX('생산수량Back-Data'!$B$5:$AAA$10041,
       MATCH($B39,'생산수량Back-Data'!$B$5:$B$10041,0)+2,
       MATCH(AL$3,'생산수량Back-Data'!$B$3:$AAA$3,0))</f>
        <v>0</v>
      </c>
      <c r="AM40" s="310" cm="1">
        <f t="array" ref="AM40">INDEX('생산수량Back-Data'!$B$5:$AAA$10041,
       MATCH($B39,'생산수량Back-Data'!$B$5:$B$10041,0)+2,
       MATCH(AM$3,'생산수량Back-Data'!$B$3:$AAA$3,0))</f>
        <v>0</v>
      </c>
      <c r="AN40" s="310" cm="1">
        <f t="array" ref="AN40">INDEX('생산수량Back-Data'!$B$5:$AAA$10041,
       MATCH($B39,'생산수량Back-Data'!$B$5:$B$10041,0)+2,
       MATCH(AN$3,'생산수량Back-Data'!$B$3:$AAA$3,0))</f>
        <v>0</v>
      </c>
      <c r="AO40" s="310" cm="1">
        <f t="array" ref="AO40">INDEX('생산수량Back-Data'!$B$5:$AAA$10041,
       MATCH($B39,'생산수량Back-Data'!$B$5:$B$10041,0)+2,
       MATCH(AO$3,'생산수량Back-Data'!$B$3:$AAA$3,0))</f>
        <v>0</v>
      </c>
      <c r="AP40" s="310" cm="1">
        <f t="array" ref="AP40">INDEX('생산수량Back-Data'!$B$5:$AAA$10041,
       MATCH($B39,'생산수량Back-Data'!$B$5:$B$10041,0)+2,
       MATCH(AP$3,'생산수량Back-Data'!$B$3:$AAA$3,0))</f>
        <v>0</v>
      </c>
      <c r="AQ40" s="310" cm="1">
        <f t="array" ref="AQ40">INDEX('생산수량Back-Data'!$B$5:$AAA$10041,
       MATCH($B39,'생산수량Back-Data'!$B$5:$B$10041,0)+2,
       MATCH(AQ$3,'생산수량Back-Data'!$B$3:$AAA$3,0))</f>
        <v>0</v>
      </c>
      <c r="AR40" s="310" cm="1">
        <f t="array" ref="AR40">INDEX('생산수량Back-Data'!$B$5:$AAA$10041,
       MATCH($B39,'생산수량Back-Data'!$B$5:$B$10041,0)+2,
       MATCH(AR$3,'생산수량Back-Data'!$B$3:$AAA$3,0))</f>
        <v>0</v>
      </c>
      <c r="AS40" s="310" cm="1">
        <f t="array" ref="AS40">INDEX('생산수량Back-Data'!$B$5:$AAA$10041,
       MATCH($B39,'생산수량Back-Data'!$B$5:$B$10041,0)+2,
       MATCH(AS$3,'생산수량Back-Data'!$B$3:$AAA$3,0))</f>
        <v>0</v>
      </c>
      <c r="AT40" s="324" cm="1">
        <f t="array" ref="AT40">INDEX('생산수량Back-Data'!$B$5:$AAA$10041,
       MATCH($B39,'생산수량Back-Data'!$B$5:$B$10041,0)+2,
       MATCH(AT$3,'생산수량Back-Data'!$B$3:$AAA$3,0))</f>
        <v>0</v>
      </c>
    </row>
    <row r="41" spans="2:46" ht="32.1" customHeight="1" x14ac:dyDescent="0.3">
      <c r="B41" s="449" t="s">
        <v>68</v>
      </c>
      <c r="C41" s="449" t="s">
        <v>214</v>
      </c>
      <c r="D41" s="449" t="s">
        <v>215</v>
      </c>
      <c r="E41" s="446">
        <f>ABS(SUMIFS('Fixture 총 발주수량'!Z:Z,'Fixture 총 발주수량'!B:B,'후공정(애칭)생산계획'!B41,'Fixture 총 발주수량'!Z:Z,"&lt;0"))</f>
        <v>410</v>
      </c>
      <c r="F41" s="435">
        <f>G41-E41</f>
        <v>-410</v>
      </c>
      <c r="G41" s="435">
        <f>SUMIF(P41:AT41, "&gt;0")</f>
        <v>0</v>
      </c>
      <c r="H41" s="435">
        <f>SUMIF(P42:AT42, "&gt;0")</f>
        <v>0</v>
      </c>
      <c r="I41" s="448">
        <f>IFERROR(H41/G41,)</f>
        <v>0</v>
      </c>
      <c r="J41" s="435">
        <f ca="1">IFERROR(SUMIF('Fixture 총 발주수량'!B:AG,'후공정(애칭)생산계획'!B41,'Fixture 총 발주수량'!AA:AA),)</f>
        <v>0</v>
      </c>
      <c r="K41" s="446">
        <f>ROUNDUP(E41/2000,)</f>
        <v>1</v>
      </c>
      <c r="L41" s="446">
        <f>L39+K41</f>
        <v>20</v>
      </c>
      <c r="M41" s="446">
        <f>L41+K41</f>
        <v>21</v>
      </c>
      <c r="N41" s="446">
        <f>N39+K41</f>
        <v>20</v>
      </c>
      <c r="O41" s="336" t="s">
        <v>264</v>
      </c>
      <c r="P41" s="419"/>
      <c r="Q41" s="417"/>
      <c r="R41" s="417"/>
      <c r="S41" s="417"/>
      <c r="T41" s="417"/>
      <c r="U41" s="417"/>
      <c r="V41" s="417"/>
      <c r="W41" s="417"/>
      <c r="X41" s="417"/>
      <c r="Y41" s="417"/>
      <c r="Z41" s="417"/>
      <c r="AA41" s="417"/>
      <c r="AB41" s="417"/>
      <c r="AC41" s="417"/>
      <c r="AD41" s="417"/>
      <c r="AE41" s="417"/>
      <c r="AF41" s="417"/>
      <c r="AG41" s="417"/>
      <c r="AH41" s="417"/>
      <c r="AI41" s="417"/>
      <c r="AJ41" s="417"/>
      <c r="AK41" s="417"/>
      <c r="AL41" s="417"/>
      <c r="AM41" s="417"/>
      <c r="AN41" s="417"/>
      <c r="AO41" s="417"/>
      <c r="AP41" s="417"/>
      <c r="AQ41" s="417"/>
      <c r="AR41" s="417"/>
      <c r="AS41" s="417"/>
      <c r="AT41" s="418"/>
    </row>
    <row r="42" spans="2:46" ht="32.1" customHeight="1" x14ac:dyDescent="0.3">
      <c r="B42" s="445"/>
      <c r="C42" s="445"/>
      <c r="D42" s="445"/>
      <c r="E42" s="439"/>
      <c r="F42" s="436"/>
      <c r="G42" s="436"/>
      <c r="H42" s="436"/>
      <c r="I42" s="443"/>
      <c r="J42" s="436"/>
      <c r="K42" s="439"/>
      <c r="L42" s="439"/>
      <c r="M42" s="439"/>
      <c r="N42" s="439"/>
      <c r="O42" s="306" t="s">
        <v>266</v>
      </c>
      <c r="P42" s="327" cm="1">
        <f t="array" ref="P42">INDEX('생산수량Back-Data'!$B$5:$AAA$10041,
       MATCH($B41,'생산수량Back-Data'!$B$5:$B$10041,0)+2,
       MATCH(P$3,'생산수량Back-Data'!$B$3:$AAA$3,0))</f>
        <v>0</v>
      </c>
      <c r="Q42" s="328" cm="1">
        <f t="array" ref="Q42">INDEX('생산수량Back-Data'!$B$5:$AAA$10041,
       MATCH($B41,'생산수량Back-Data'!$B$5:$B$10041,0)+2,
       MATCH(Q$3,'생산수량Back-Data'!$B$3:$AAA$3,0))</f>
        <v>0</v>
      </c>
      <c r="R42" s="328" cm="1">
        <f t="array" ref="R42">INDEX('생산수량Back-Data'!$B$5:$AAA$10041,
       MATCH($B41,'생산수량Back-Data'!$B$5:$B$10041,0)+2,
       MATCH(R$3,'생산수량Back-Data'!$B$3:$AAA$3,0))</f>
        <v>0</v>
      </c>
      <c r="S42" s="328" cm="1">
        <f t="array" ref="S42">INDEX('생산수량Back-Data'!$B$5:$AAA$10041,
       MATCH($B41,'생산수량Back-Data'!$B$5:$B$10041,0)+2,
       MATCH(S$3,'생산수량Back-Data'!$B$3:$AAA$3,0))</f>
        <v>0</v>
      </c>
      <c r="T42" s="328" cm="1">
        <f t="array" ref="T42">INDEX('생산수량Back-Data'!$B$5:$AAA$10041,
       MATCH($B41,'생산수량Back-Data'!$B$5:$B$10041,0)+2,
       MATCH(T$3,'생산수량Back-Data'!$B$3:$AAA$3,0))</f>
        <v>0</v>
      </c>
      <c r="U42" s="328" cm="1">
        <f t="array" ref="U42">INDEX('생산수량Back-Data'!$B$5:$AAA$10041,
       MATCH($B41,'생산수량Back-Data'!$B$5:$B$10041,0)+2,
       MATCH(U$3,'생산수량Back-Data'!$B$3:$AAA$3,0))</f>
        <v>0</v>
      </c>
      <c r="V42" s="328" cm="1">
        <f t="array" ref="V42">INDEX('생산수량Back-Data'!$B$5:$AAA$10041,
       MATCH($B41,'생산수량Back-Data'!$B$5:$B$10041,0)+2,
       MATCH(V$3,'생산수량Back-Data'!$B$3:$AAA$3,0))</f>
        <v>0</v>
      </c>
      <c r="W42" s="328" cm="1">
        <f t="array" ref="W42">INDEX('생산수량Back-Data'!$B$5:$AAA$10041,
       MATCH($B41,'생산수량Back-Data'!$B$5:$B$10041,0)+2,
       MATCH(W$3,'생산수량Back-Data'!$B$3:$AAA$3,0))</f>
        <v>0</v>
      </c>
      <c r="X42" s="328" cm="1">
        <f t="array" ref="X42">INDEX('생산수량Back-Data'!$B$5:$AAA$10041,
       MATCH($B41,'생산수량Back-Data'!$B$5:$B$10041,0)+2,
       MATCH(X$3,'생산수량Back-Data'!$B$3:$AAA$3,0))</f>
        <v>0</v>
      </c>
      <c r="Y42" s="328" cm="1">
        <f t="array" ref="Y42">INDEX('생산수량Back-Data'!$B$5:$AAA$10041,
       MATCH($B41,'생산수량Back-Data'!$B$5:$B$10041,0)+2,
       MATCH(Y$3,'생산수량Back-Data'!$B$3:$AAA$3,0))</f>
        <v>0</v>
      </c>
      <c r="Z42" s="328" cm="1">
        <f t="array" ref="Z42">INDEX('생산수량Back-Data'!$B$5:$AAA$10041,
       MATCH($B41,'생산수량Back-Data'!$B$5:$B$10041,0)+2,
       MATCH(Z$3,'생산수량Back-Data'!$B$3:$AAA$3,0))</f>
        <v>0</v>
      </c>
      <c r="AA42" s="328" cm="1">
        <f t="array" ref="AA42">INDEX('생산수량Back-Data'!$B$5:$AAA$10041,
       MATCH($B41,'생산수량Back-Data'!$B$5:$B$10041,0)+2,
       MATCH(AA$3,'생산수량Back-Data'!$B$3:$AAA$3,0))</f>
        <v>0</v>
      </c>
      <c r="AB42" s="328" cm="1">
        <f t="array" ref="AB42">INDEX('생산수량Back-Data'!$B$5:$AAA$10041,
       MATCH($B41,'생산수량Back-Data'!$B$5:$B$10041,0)+2,
       MATCH(AB$3,'생산수량Back-Data'!$B$3:$AAA$3,0))</f>
        <v>0</v>
      </c>
      <c r="AC42" s="328" cm="1">
        <f t="array" ref="AC42">INDEX('생산수량Back-Data'!$B$5:$AAA$10041,
       MATCH($B41,'생산수량Back-Data'!$B$5:$B$10041,0)+2,
       MATCH(AC$3,'생산수량Back-Data'!$B$3:$AAA$3,0))</f>
        <v>0</v>
      </c>
      <c r="AD42" s="328" cm="1">
        <f t="array" ref="AD42">INDEX('생산수량Back-Data'!$B$5:$AAA$10041,
       MATCH($B41,'생산수량Back-Data'!$B$5:$B$10041,0)+2,
       MATCH(AD$3,'생산수량Back-Data'!$B$3:$AAA$3,0))</f>
        <v>0</v>
      </c>
      <c r="AE42" s="328" cm="1">
        <f t="array" ref="AE42">INDEX('생산수량Back-Data'!$B$5:$AAA$10041,
       MATCH($B41,'생산수량Back-Data'!$B$5:$B$10041,0)+2,
       MATCH(AE$3,'생산수량Back-Data'!$B$3:$AAA$3,0))</f>
        <v>0</v>
      </c>
      <c r="AF42" s="328" cm="1">
        <f t="array" ref="AF42">INDEX('생산수량Back-Data'!$B$5:$AAA$10041,
       MATCH($B41,'생산수량Back-Data'!$B$5:$B$10041,0)+2,
       MATCH(AF$3,'생산수량Back-Data'!$B$3:$AAA$3,0))</f>
        <v>0</v>
      </c>
      <c r="AG42" s="328" cm="1">
        <f t="array" ref="AG42">INDEX('생산수량Back-Data'!$B$5:$AAA$10041,
       MATCH($B41,'생산수량Back-Data'!$B$5:$B$10041,0)+2,
       MATCH(AG$3,'생산수량Back-Data'!$B$3:$AAA$3,0))</f>
        <v>0</v>
      </c>
      <c r="AH42" s="328" cm="1">
        <f t="array" ref="AH42">INDEX('생산수량Back-Data'!$B$5:$AAA$10041,
       MATCH($B41,'생산수량Back-Data'!$B$5:$B$10041,0)+2,
       MATCH(AH$3,'생산수량Back-Data'!$B$3:$AAA$3,0))</f>
        <v>0</v>
      </c>
      <c r="AI42" s="328" cm="1">
        <f t="array" ref="AI42">INDEX('생산수량Back-Data'!$B$5:$AAA$10041,
       MATCH($B41,'생산수량Back-Data'!$B$5:$B$10041,0)+2,
       MATCH(AI$3,'생산수량Back-Data'!$B$3:$AAA$3,0))</f>
        <v>0</v>
      </c>
      <c r="AJ42" s="328" cm="1">
        <f t="array" ref="AJ42">INDEX('생산수량Back-Data'!$B$5:$AAA$10041,
       MATCH($B41,'생산수량Back-Data'!$B$5:$B$10041,0)+2,
       MATCH(AJ$3,'생산수량Back-Data'!$B$3:$AAA$3,0))</f>
        <v>0</v>
      </c>
      <c r="AK42" s="328" cm="1">
        <f t="array" ref="AK42">INDEX('생산수량Back-Data'!$B$5:$AAA$10041,
       MATCH($B41,'생산수량Back-Data'!$B$5:$B$10041,0)+2,
       MATCH(AK$3,'생산수량Back-Data'!$B$3:$AAA$3,0))</f>
        <v>0</v>
      </c>
      <c r="AL42" s="328" cm="1">
        <f t="array" ref="AL42">INDEX('생산수량Back-Data'!$B$5:$AAA$10041,
       MATCH($B41,'생산수량Back-Data'!$B$5:$B$10041,0)+2,
       MATCH(AL$3,'생산수량Back-Data'!$B$3:$AAA$3,0))</f>
        <v>0</v>
      </c>
      <c r="AM42" s="328" cm="1">
        <f t="array" ref="AM42">INDEX('생산수량Back-Data'!$B$5:$AAA$10041,
       MATCH($B41,'생산수량Back-Data'!$B$5:$B$10041,0)+2,
       MATCH(AM$3,'생산수량Back-Data'!$B$3:$AAA$3,0))</f>
        <v>0</v>
      </c>
      <c r="AN42" s="328" cm="1">
        <f t="array" ref="AN42">INDEX('생산수량Back-Data'!$B$5:$AAA$10041,
       MATCH($B41,'생산수량Back-Data'!$B$5:$B$10041,0)+2,
       MATCH(AN$3,'생산수량Back-Data'!$B$3:$AAA$3,0))</f>
        <v>0</v>
      </c>
      <c r="AO42" s="328" cm="1">
        <f t="array" ref="AO42">INDEX('생산수량Back-Data'!$B$5:$AAA$10041,
       MATCH($B41,'생산수량Back-Data'!$B$5:$B$10041,0)+2,
       MATCH(AO$3,'생산수량Back-Data'!$B$3:$AAA$3,0))</f>
        <v>0</v>
      </c>
      <c r="AP42" s="328" cm="1">
        <f t="array" ref="AP42">INDEX('생산수량Back-Data'!$B$5:$AAA$10041,
       MATCH($B41,'생산수량Back-Data'!$B$5:$B$10041,0)+2,
       MATCH(AP$3,'생산수량Back-Data'!$B$3:$AAA$3,0))</f>
        <v>0</v>
      </c>
      <c r="AQ42" s="328" cm="1">
        <f t="array" ref="AQ42">INDEX('생산수량Back-Data'!$B$5:$AAA$10041,
       MATCH($B41,'생산수량Back-Data'!$B$5:$B$10041,0)+2,
       MATCH(AQ$3,'생산수량Back-Data'!$B$3:$AAA$3,0))</f>
        <v>0</v>
      </c>
      <c r="AR42" s="328" cm="1">
        <f t="array" ref="AR42">INDEX('생산수량Back-Data'!$B$5:$AAA$10041,
       MATCH($B41,'생산수량Back-Data'!$B$5:$B$10041,0)+2,
       MATCH(AR$3,'생산수량Back-Data'!$B$3:$AAA$3,0))</f>
        <v>0</v>
      </c>
      <c r="AS42" s="328" cm="1">
        <f t="array" ref="AS42">INDEX('생산수량Back-Data'!$B$5:$AAA$10041,
       MATCH($B41,'생산수량Back-Data'!$B$5:$B$10041,0)+2,
       MATCH(AS$3,'생산수량Back-Data'!$B$3:$AAA$3,0))</f>
        <v>0</v>
      </c>
      <c r="AT42" s="329" cm="1">
        <f t="array" ref="AT42">INDEX('생산수량Back-Data'!$B$5:$AAA$10041,
       MATCH($B41,'생산수량Back-Data'!$B$5:$B$10041,0)+2,
       MATCH(AT$3,'생산수량Back-Data'!$B$3:$AAA$3,0))</f>
        <v>0</v>
      </c>
    </row>
    <row r="43" spans="2:46" ht="32.1" customHeight="1" x14ac:dyDescent="0.3">
      <c r="B43" s="444" t="s">
        <v>69</v>
      </c>
      <c r="C43" s="444" t="s">
        <v>214</v>
      </c>
      <c r="D43" s="444" t="s">
        <v>216</v>
      </c>
      <c r="E43" s="438">
        <f>ABS(SUMIFS('Fixture 총 발주수량'!Z:Z,'Fixture 총 발주수량'!B:B,'후공정(애칭)생산계획'!B43,'Fixture 총 발주수량'!Z:Z,"&lt;0"))</f>
        <v>375</v>
      </c>
      <c r="F43" s="437">
        <f>G43-E43</f>
        <v>-375</v>
      </c>
      <c r="G43" s="437">
        <f>SUMIF(P43:AT43, "&gt;0")</f>
        <v>0</v>
      </c>
      <c r="H43" s="437">
        <f>SUMIF(P44:AT44, "&gt;0")</f>
        <v>0</v>
      </c>
      <c r="I43" s="442">
        <f>IFERROR(H43/G43,)</f>
        <v>0</v>
      </c>
      <c r="J43" s="437">
        <f ca="1">IFERROR(SUMIF('Fixture 총 발주수량'!B:AG,'후공정(애칭)생산계획'!B43,'Fixture 총 발주수량'!AA:AA),)</f>
        <v>0</v>
      </c>
      <c r="K43" s="438">
        <f>ROUNDUP(E43/2000,)</f>
        <v>1</v>
      </c>
      <c r="L43" s="438">
        <f>L41+K43</f>
        <v>21</v>
      </c>
      <c r="M43" s="438">
        <f>L43+K43</f>
        <v>22</v>
      </c>
      <c r="N43" s="438">
        <f>N41+K43</f>
        <v>21</v>
      </c>
      <c r="O43" s="306" t="s">
        <v>264</v>
      </c>
      <c r="P43" s="325"/>
      <c r="Q43" s="312"/>
      <c r="R43" s="312"/>
      <c r="S43" s="312"/>
      <c r="T43" s="312"/>
      <c r="U43" s="312"/>
      <c r="V43" s="312"/>
      <c r="W43" s="312"/>
      <c r="X43" s="312"/>
      <c r="Y43" s="312"/>
      <c r="Z43" s="312"/>
      <c r="AA43" s="312"/>
      <c r="AB43" s="312"/>
      <c r="AC43" s="312"/>
      <c r="AD43" s="312"/>
      <c r="AE43" s="312"/>
      <c r="AF43" s="312"/>
      <c r="AG43" s="312"/>
      <c r="AH43" s="312"/>
      <c r="AI43" s="312"/>
      <c r="AJ43" s="312"/>
      <c r="AK43" s="312"/>
      <c r="AL43" s="312"/>
      <c r="AM43" s="312"/>
      <c r="AN43" s="312"/>
      <c r="AO43" s="312"/>
      <c r="AP43" s="312"/>
      <c r="AQ43" s="312"/>
      <c r="AR43" s="312"/>
      <c r="AS43" s="312"/>
      <c r="AT43" s="313"/>
    </row>
    <row r="44" spans="2:46" ht="32.1" customHeight="1" x14ac:dyDescent="0.3">
      <c r="B44" s="445"/>
      <c r="C44" s="445"/>
      <c r="D44" s="445"/>
      <c r="E44" s="439"/>
      <c r="F44" s="436"/>
      <c r="G44" s="436"/>
      <c r="H44" s="436"/>
      <c r="I44" s="443"/>
      <c r="J44" s="436"/>
      <c r="K44" s="439"/>
      <c r="L44" s="439"/>
      <c r="M44" s="439"/>
      <c r="N44" s="439"/>
      <c r="O44" s="306" t="s">
        <v>266</v>
      </c>
      <c r="P44" s="323" cm="1">
        <f t="array" ref="P44">INDEX('생산수량Back-Data'!$B$5:$AAA$10041,
       MATCH($B43,'생산수량Back-Data'!$B$5:$B$10041,0)+2,
       MATCH(P$3,'생산수량Back-Data'!$B$3:$AAA$3,0))</f>
        <v>0</v>
      </c>
      <c r="Q44" s="310" cm="1">
        <f t="array" ref="Q44">INDEX('생산수량Back-Data'!$B$5:$AAA$10041,
       MATCH($B43,'생산수량Back-Data'!$B$5:$B$10041,0)+2,
       MATCH(Q$3,'생산수량Back-Data'!$B$3:$AAA$3,0))</f>
        <v>0</v>
      </c>
      <c r="R44" s="310" cm="1">
        <f t="array" ref="R44">INDEX('생산수량Back-Data'!$B$5:$AAA$10041,
       MATCH($B43,'생산수량Back-Data'!$B$5:$B$10041,0)+2,
       MATCH(R$3,'생산수량Back-Data'!$B$3:$AAA$3,0))</f>
        <v>0</v>
      </c>
      <c r="S44" s="310" cm="1">
        <f t="array" ref="S44">INDEX('생산수량Back-Data'!$B$5:$AAA$10041,
       MATCH($B43,'생산수량Back-Data'!$B$5:$B$10041,0)+2,
       MATCH(S$3,'생산수량Back-Data'!$B$3:$AAA$3,0))</f>
        <v>0</v>
      </c>
      <c r="T44" s="310" cm="1">
        <f t="array" ref="T44">INDEX('생산수량Back-Data'!$B$5:$AAA$10041,
       MATCH($B43,'생산수량Back-Data'!$B$5:$B$10041,0)+2,
       MATCH(T$3,'생산수량Back-Data'!$B$3:$AAA$3,0))</f>
        <v>0</v>
      </c>
      <c r="U44" s="310" cm="1">
        <f t="array" ref="U44">INDEX('생산수량Back-Data'!$B$5:$AAA$10041,
       MATCH($B43,'생산수량Back-Data'!$B$5:$B$10041,0)+2,
       MATCH(U$3,'생산수량Back-Data'!$B$3:$AAA$3,0))</f>
        <v>0</v>
      </c>
      <c r="V44" s="310" cm="1">
        <f t="array" ref="V44">INDEX('생산수량Back-Data'!$B$5:$AAA$10041,
       MATCH($B43,'생산수량Back-Data'!$B$5:$B$10041,0)+2,
       MATCH(V$3,'생산수량Back-Data'!$B$3:$AAA$3,0))</f>
        <v>0</v>
      </c>
      <c r="W44" s="310" cm="1">
        <f t="array" ref="W44">INDEX('생산수량Back-Data'!$B$5:$AAA$10041,
       MATCH($B43,'생산수량Back-Data'!$B$5:$B$10041,0)+2,
       MATCH(W$3,'생산수량Back-Data'!$B$3:$AAA$3,0))</f>
        <v>0</v>
      </c>
      <c r="X44" s="310" cm="1">
        <f t="array" ref="X44">INDEX('생산수량Back-Data'!$B$5:$AAA$10041,
       MATCH($B43,'생산수량Back-Data'!$B$5:$B$10041,0)+2,
       MATCH(X$3,'생산수량Back-Data'!$B$3:$AAA$3,0))</f>
        <v>0</v>
      </c>
      <c r="Y44" s="310" cm="1">
        <f t="array" ref="Y44">INDEX('생산수량Back-Data'!$B$5:$AAA$10041,
       MATCH($B43,'생산수량Back-Data'!$B$5:$B$10041,0)+2,
       MATCH(Y$3,'생산수량Back-Data'!$B$3:$AAA$3,0))</f>
        <v>0</v>
      </c>
      <c r="Z44" s="310" cm="1">
        <f t="array" ref="Z44">INDEX('생산수량Back-Data'!$B$5:$AAA$10041,
       MATCH($B43,'생산수량Back-Data'!$B$5:$B$10041,0)+2,
       MATCH(Z$3,'생산수량Back-Data'!$B$3:$AAA$3,0))</f>
        <v>0</v>
      </c>
      <c r="AA44" s="310" cm="1">
        <f t="array" ref="AA44">INDEX('생산수량Back-Data'!$B$5:$AAA$10041,
       MATCH($B43,'생산수량Back-Data'!$B$5:$B$10041,0)+2,
       MATCH(AA$3,'생산수량Back-Data'!$B$3:$AAA$3,0))</f>
        <v>0</v>
      </c>
      <c r="AB44" s="310" cm="1">
        <f t="array" ref="AB44">INDEX('생산수량Back-Data'!$B$5:$AAA$10041,
       MATCH($B43,'생산수량Back-Data'!$B$5:$B$10041,0)+2,
       MATCH(AB$3,'생산수량Back-Data'!$B$3:$AAA$3,0))</f>
        <v>0</v>
      </c>
      <c r="AC44" s="310" cm="1">
        <f t="array" ref="AC44">INDEX('생산수량Back-Data'!$B$5:$AAA$10041,
       MATCH($B43,'생산수량Back-Data'!$B$5:$B$10041,0)+2,
       MATCH(AC$3,'생산수량Back-Data'!$B$3:$AAA$3,0))</f>
        <v>0</v>
      </c>
      <c r="AD44" s="310" cm="1">
        <f t="array" ref="AD44">INDEX('생산수량Back-Data'!$B$5:$AAA$10041,
       MATCH($B43,'생산수량Back-Data'!$B$5:$B$10041,0)+2,
       MATCH(AD$3,'생산수량Back-Data'!$B$3:$AAA$3,0))</f>
        <v>0</v>
      </c>
      <c r="AE44" s="310" cm="1">
        <f t="array" ref="AE44">INDEX('생산수량Back-Data'!$B$5:$AAA$10041,
       MATCH($B43,'생산수량Back-Data'!$B$5:$B$10041,0)+2,
       MATCH(AE$3,'생산수량Back-Data'!$B$3:$AAA$3,0))</f>
        <v>0</v>
      </c>
      <c r="AF44" s="310" cm="1">
        <f t="array" ref="AF44">INDEX('생산수량Back-Data'!$B$5:$AAA$10041,
       MATCH($B43,'생산수량Back-Data'!$B$5:$B$10041,0)+2,
       MATCH(AF$3,'생산수량Back-Data'!$B$3:$AAA$3,0))</f>
        <v>0</v>
      </c>
      <c r="AG44" s="310" cm="1">
        <f t="array" ref="AG44">INDEX('생산수량Back-Data'!$B$5:$AAA$10041,
       MATCH($B43,'생산수량Back-Data'!$B$5:$B$10041,0)+2,
       MATCH(AG$3,'생산수량Back-Data'!$B$3:$AAA$3,0))</f>
        <v>0</v>
      </c>
      <c r="AH44" s="310" cm="1">
        <f t="array" ref="AH44">INDEX('생산수량Back-Data'!$B$5:$AAA$10041,
       MATCH($B43,'생산수량Back-Data'!$B$5:$B$10041,0)+2,
       MATCH(AH$3,'생산수량Back-Data'!$B$3:$AAA$3,0))</f>
        <v>0</v>
      </c>
      <c r="AI44" s="310" cm="1">
        <f t="array" ref="AI44">INDEX('생산수량Back-Data'!$B$5:$AAA$10041,
       MATCH($B43,'생산수량Back-Data'!$B$5:$B$10041,0)+2,
       MATCH(AI$3,'생산수량Back-Data'!$B$3:$AAA$3,0))</f>
        <v>0</v>
      </c>
      <c r="AJ44" s="310" cm="1">
        <f t="array" ref="AJ44">INDEX('생산수량Back-Data'!$B$5:$AAA$10041,
       MATCH($B43,'생산수량Back-Data'!$B$5:$B$10041,0)+2,
       MATCH(AJ$3,'생산수량Back-Data'!$B$3:$AAA$3,0))</f>
        <v>0</v>
      </c>
      <c r="AK44" s="310" cm="1">
        <f t="array" ref="AK44">INDEX('생산수량Back-Data'!$B$5:$AAA$10041,
       MATCH($B43,'생산수량Back-Data'!$B$5:$B$10041,0)+2,
       MATCH(AK$3,'생산수량Back-Data'!$B$3:$AAA$3,0))</f>
        <v>0</v>
      </c>
      <c r="AL44" s="310" cm="1">
        <f t="array" ref="AL44">INDEX('생산수량Back-Data'!$B$5:$AAA$10041,
       MATCH($B43,'생산수량Back-Data'!$B$5:$B$10041,0)+2,
       MATCH(AL$3,'생산수량Back-Data'!$B$3:$AAA$3,0))</f>
        <v>0</v>
      </c>
      <c r="AM44" s="310" cm="1">
        <f t="array" ref="AM44">INDEX('생산수량Back-Data'!$B$5:$AAA$10041,
       MATCH($B43,'생산수량Back-Data'!$B$5:$B$10041,0)+2,
       MATCH(AM$3,'생산수량Back-Data'!$B$3:$AAA$3,0))</f>
        <v>0</v>
      </c>
      <c r="AN44" s="310" cm="1">
        <f t="array" ref="AN44">INDEX('생산수량Back-Data'!$B$5:$AAA$10041,
       MATCH($B43,'생산수량Back-Data'!$B$5:$B$10041,0)+2,
       MATCH(AN$3,'생산수량Back-Data'!$B$3:$AAA$3,0))</f>
        <v>0</v>
      </c>
      <c r="AO44" s="310" cm="1">
        <f t="array" ref="AO44">INDEX('생산수량Back-Data'!$B$5:$AAA$10041,
       MATCH($B43,'생산수량Back-Data'!$B$5:$B$10041,0)+2,
       MATCH(AO$3,'생산수량Back-Data'!$B$3:$AAA$3,0))</f>
        <v>0</v>
      </c>
      <c r="AP44" s="310" cm="1">
        <f t="array" ref="AP44">INDEX('생산수량Back-Data'!$B$5:$AAA$10041,
       MATCH($B43,'생산수량Back-Data'!$B$5:$B$10041,0)+2,
       MATCH(AP$3,'생산수량Back-Data'!$B$3:$AAA$3,0))</f>
        <v>0</v>
      </c>
      <c r="AQ44" s="310" cm="1">
        <f t="array" ref="AQ44">INDEX('생산수량Back-Data'!$B$5:$AAA$10041,
       MATCH($B43,'생산수량Back-Data'!$B$5:$B$10041,0)+2,
       MATCH(AQ$3,'생산수량Back-Data'!$B$3:$AAA$3,0))</f>
        <v>0</v>
      </c>
      <c r="AR44" s="310" cm="1">
        <f t="array" ref="AR44">INDEX('생산수량Back-Data'!$B$5:$AAA$10041,
       MATCH($B43,'생산수량Back-Data'!$B$5:$B$10041,0)+2,
       MATCH(AR$3,'생산수량Back-Data'!$B$3:$AAA$3,0))</f>
        <v>0</v>
      </c>
      <c r="AS44" s="310" cm="1">
        <f t="array" ref="AS44">INDEX('생산수량Back-Data'!$B$5:$AAA$10041,
       MATCH($B43,'생산수량Back-Data'!$B$5:$B$10041,0)+2,
       MATCH(AS$3,'생산수량Back-Data'!$B$3:$AAA$3,0))</f>
        <v>0</v>
      </c>
      <c r="AT44" s="324" cm="1">
        <f t="array" ref="AT44">INDEX('생산수량Back-Data'!$B$5:$AAA$10041,
       MATCH($B43,'생산수량Back-Data'!$B$5:$B$10041,0)+2,
       MATCH(AT$3,'생산수량Back-Data'!$B$3:$AAA$3,0))</f>
        <v>0</v>
      </c>
    </row>
    <row r="45" spans="2:46" ht="32.1" customHeight="1" x14ac:dyDescent="0.3">
      <c r="B45" s="444" t="s">
        <v>70</v>
      </c>
      <c r="C45" s="444" t="s">
        <v>214</v>
      </c>
      <c r="D45" s="444" t="s">
        <v>217</v>
      </c>
      <c r="E45" s="438">
        <f>ABS(SUMIFS('Fixture 총 발주수량'!Z:Z,'Fixture 총 발주수량'!B:B,'후공정(애칭)생산계획'!B45,'Fixture 총 발주수량'!Z:Z,"&lt;0"))</f>
        <v>379</v>
      </c>
      <c r="F45" s="431">
        <f>G45-E45</f>
        <v>-379</v>
      </c>
      <c r="G45" s="437">
        <f>SUMIF(P45:AT45, "&gt;0")</f>
        <v>0</v>
      </c>
      <c r="H45" s="437">
        <f>SUMIF(P46:AT46, "&gt;0")</f>
        <v>0</v>
      </c>
      <c r="I45" s="442">
        <f>IFERROR(H45/G45,)</f>
        <v>0</v>
      </c>
      <c r="J45" s="437">
        <f ca="1">IFERROR(SUMIF('Fixture 총 발주수량'!B:AG,'후공정(애칭)생산계획'!B45,'Fixture 총 발주수량'!AA:AA),)</f>
        <v>0</v>
      </c>
      <c r="K45" s="438">
        <f>ROUNDUP(E45/2000,)</f>
        <v>1</v>
      </c>
      <c r="L45" s="438">
        <f>L43+K45</f>
        <v>22</v>
      </c>
      <c r="M45" s="438">
        <f>L45+K45</f>
        <v>23</v>
      </c>
      <c r="N45" s="438">
        <f>N43+K45</f>
        <v>22</v>
      </c>
      <c r="O45" s="306" t="s">
        <v>264</v>
      </c>
      <c r="P45" s="325"/>
      <c r="Q45" s="312"/>
      <c r="R45" s="312"/>
      <c r="S45" s="312"/>
      <c r="T45" s="312"/>
      <c r="U45" s="312"/>
      <c r="V45" s="312"/>
      <c r="W45" s="312"/>
      <c r="X45" s="312"/>
      <c r="Y45" s="312"/>
      <c r="Z45" s="312"/>
      <c r="AA45" s="312"/>
      <c r="AB45" s="312"/>
      <c r="AC45" s="312"/>
      <c r="AD45" s="312"/>
      <c r="AE45" s="312"/>
      <c r="AF45" s="312"/>
      <c r="AG45" s="312"/>
      <c r="AH45" s="312"/>
      <c r="AI45" s="312"/>
      <c r="AJ45" s="312"/>
      <c r="AK45" s="312"/>
      <c r="AL45" s="312"/>
      <c r="AM45" s="312"/>
      <c r="AN45" s="312"/>
      <c r="AO45" s="312"/>
      <c r="AP45" s="312"/>
      <c r="AQ45" s="312"/>
      <c r="AR45" s="312"/>
      <c r="AS45" s="312"/>
      <c r="AT45" s="313"/>
    </row>
    <row r="46" spans="2:46" ht="32.1" customHeight="1" thickBot="1" x14ac:dyDescent="0.35">
      <c r="B46" s="454"/>
      <c r="C46" s="454"/>
      <c r="D46" s="454"/>
      <c r="E46" s="450"/>
      <c r="F46" s="461"/>
      <c r="G46" s="452"/>
      <c r="H46" s="452"/>
      <c r="I46" s="453"/>
      <c r="J46" s="452"/>
      <c r="K46" s="450"/>
      <c r="L46" s="450"/>
      <c r="M46" s="450"/>
      <c r="N46" s="450"/>
      <c r="O46" s="305" t="s">
        <v>266</v>
      </c>
      <c r="P46" s="323" cm="1">
        <f t="array" ref="P46">INDEX('생산수량Back-Data'!$B$5:$AAA$10041,
       MATCH($B45,'생산수량Back-Data'!$B$5:$B$10041,0)+2,
       MATCH(P$3,'생산수량Back-Data'!$B$3:$AAA$3,0))</f>
        <v>0</v>
      </c>
      <c r="Q46" s="310" cm="1">
        <f t="array" ref="Q46">INDEX('생산수량Back-Data'!$B$5:$AAA$10041,
       MATCH($B45,'생산수량Back-Data'!$B$5:$B$10041,0)+2,
       MATCH(Q$3,'생산수량Back-Data'!$B$3:$AAA$3,0))</f>
        <v>0</v>
      </c>
      <c r="R46" s="310" cm="1">
        <f t="array" ref="R46">INDEX('생산수량Back-Data'!$B$5:$AAA$10041,
       MATCH($B45,'생산수량Back-Data'!$B$5:$B$10041,0)+2,
       MATCH(R$3,'생산수량Back-Data'!$B$3:$AAA$3,0))</f>
        <v>0</v>
      </c>
      <c r="S46" s="310" cm="1">
        <f t="array" ref="S46">INDEX('생산수량Back-Data'!$B$5:$AAA$10041,
       MATCH($B45,'생산수량Back-Data'!$B$5:$B$10041,0)+2,
       MATCH(S$3,'생산수량Back-Data'!$B$3:$AAA$3,0))</f>
        <v>0</v>
      </c>
      <c r="T46" s="310" cm="1">
        <f t="array" ref="T46">INDEX('생산수량Back-Data'!$B$5:$AAA$10041,
       MATCH($B45,'생산수량Back-Data'!$B$5:$B$10041,0)+2,
       MATCH(T$3,'생산수량Back-Data'!$B$3:$AAA$3,0))</f>
        <v>0</v>
      </c>
      <c r="U46" s="310" cm="1">
        <f t="array" ref="U46">INDEX('생산수량Back-Data'!$B$5:$AAA$10041,
       MATCH($B45,'생산수량Back-Data'!$B$5:$B$10041,0)+2,
       MATCH(U$3,'생산수량Back-Data'!$B$3:$AAA$3,0))</f>
        <v>0</v>
      </c>
      <c r="V46" s="310" cm="1">
        <f t="array" ref="V46">INDEX('생산수량Back-Data'!$B$5:$AAA$10041,
       MATCH($B45,'생산수량Back-Data'!$B$5:$B$10041,0)+2,
       MATCH(V$3,'생산수량Back-Data'!$B$3:$AAA$3,0))</f>
        <v>0</v>
      </c>
      <c r="W46" s="310" cm="1">
        <f t="array" ref="W46">INDEX('생산수량Back-Data'!$B$5:$AAA$10041,
       MATCH($B45,'생산수량Back-Data'!$B$5:$B$10041,0)+2,
       MATCH(W$3,'생산수량Back-Data'!$B$3:$AAA$3,0))</f>
        <v>0</v>
      </c>
      <c r="X46" s="310" cm="1">
        <f t="array" ref="X46">INDEX('생산수량Back-Data'!$B$5:$AAA$10041,
       MATCH($B45,'생산수량Back-Data'!$B$5:$B$10041,0)+2,
       MATCH(X$3,'생산수량Back-Data'!$B$3:$AAA$3,0))</f>
        <v>0</v>
      </c>
      <c r="Y46" s="310" cm="1">
        <f t="array" ref="Y46">INDEX('생산수량Back-Data'!$B$5:$AAA$10041,
       MATCH($B45,'생산수량Back-Data'!$B$5:$B$10041,0)+2,
       MATCH(Y$3,'생산수량Back-Data'!$B$3:$AAA$3,0))</f>
        <v>0</v>
      </c>
      <c r="Z46" s="310" cm="1">
        <f t="array" ref="Z46">INDEX('생산수량Back-Data'!$B$5:$AAA$10041,
       MATCH($B45,'생산수량Back-Data'!$B$5:$B$10041,0)+2,
       MATCH(Z$3,'생산수량Back-Data'!$B$3:$AAA$3,0))</f>
        <v>0</v>
      </c>
      <c r="AA46" s="310" cm="1">
        <f t="array" ref="AA46">INDEX('생산수량Back-Data'!$B$5:$AAA$10041,
       MATCH($B45,'생산수량Back-Data'!$B$5:$B$10041,0)+2,
       MATCH(AA$3,'생산수량Back-Data'!$B$3:$AAA$3,0))</f>
        <v>0</v>
      </c>
      <c r="AB46" s="310" cm="1">
        <f t="array" ref="AB46">INDEX('생산수량Back-Data'!$B$5:$AAA$10041,
       MATCH($B45,'생산수량Back-Data'!$B$5:$B$10041,0)+2,
       MATCH(AB$3,'생산수량Back-Data'!$B$3:$AAA$3,0))</f>
        <v>0</v>
      </c>
      <c r="AC46" s="310" cm="1">
        <f t="array" ref="AC46">INDEX('생산수량Back-Data'!$B$5:$AAA$10041,
       MATCH($B45,'생산수량Back-Data'!$B$5:$B$10041,0)+2,
       MATCH(AC$3,'생산수량Back-Data'!$B$3:$AAA$3,0))</f>
        <v>0</v>
      </c>
      <c r="AD46" s="310" cm="1">
        <f t="array" ref="AD46">INDEX('생산수량Back-Data'!$B$5:$AAA$10041,
       MATCH($B45,'생산수량Back-Data'!$B$5:$B$10041,0)+2,
       MATCH(AD$3,'생산수량Back-Data'!$B$3:$AAA$3,0))</f>
        <v>0</v>
      </c>
      <c r="AE46" s="310" cm="1">
        <f t="array" ref="AE46">INDEX('생산수량Back-Data'!$B$5:$AAA$10041,
       MATCH($B45,'생산수량Back-Data'!$B$5:$B$10041,0)+2,
       MATCH(AE$3,'생산수량Back-Data'!$B$3:$AAA$3,0))</f>
        <v>0</v>
      </c>
      <c r="AF46" s="310" cm="1">
        <f t="array" ref="AF46">INDEX('생산수량Back-Data'!$B$5:$AAA$10041,
       MATCH($B45,'생산수량Back-Data'!$B$5:$B$10041,0)+2,
       MATCH(AF$3,'생산수량Back-Data'!$B$3:$AAA$3,0))</f>
        <v>0</v>
      </c>
      <c r="AG46" s="310" cm="1">
        <f t="array" ref="AG46">INDEX('생산수량Back-Data'!$B$5:$AAA$10041,
       MATCH($B45,'생산수량Back-Data'!$B$5:$B$10041,0)+2,
       MATCH(AG$3,'생산수량Back-Data'!$B$3:$AAA$3,0))</f>
        <v>0</v>
      </c>
      <c r="AH46" s="310" cm="1">
        <f t="array" ref="AH46">INDEX('생산수량Back-Data'!$B$5:$AAA$10041,
       MATCH($B45,'생산수량Back-Data'!$B$5:$B$10041,0)+2,
       MATCH(AH$3,'생산수량Back-Data'!$B$3:$AAA$3,0))</f>
        <v>0</v>
      </c>
      <c r="AI46" s="310" cm="1">
        <f t="array" ref="AI46">INDEX('생산수량Back-Data'!$B$5:$AAA$10041,
       MATCH($B45,'생산수량Back-Data'!$B$5:$B$10041,0)+2,
       MATCH(AI$3,'생산수량Back-Data'!$B$3:$AAA$3,0))</f>
        <v>0</v>
      </c>
      <c r="AJ46" s="310" cm="1">
        <f t="array" ref="AJ46">INDEX('생산수량Back-Data'!$B$5:$AAA$10041,
       MATCH($B45,'생산수량Back-Data'!$B$5:$B$10041,0)+2,
       MATCH(AJ$3,'생산수량Back-Data'!$B$3:$AAA$3,0))</f>
        <v>0</v>
      </c>
      <c r="AK46" s="310" cm="1">
        <f t="array" ref="AK46">INDEX('생산수량Back-Data'!$B$5:$AAA$10041,
       MATCH($B45,'생산수량Back-Data'!$B$5:$B$10041,0)+2,
       MATCH(AK$3,'생산수량Back-Data'!$B$3:$AAA$3,0))</f>
        <v>0</v>
      </c>
      <c r="AL46" s="310" cm="1">
        <f t="array" ref="AL46">INDEX('생산수량Back-Data'!$B$5:$AAA$10041,
       MATCH($B45,'생산수량Back-Data'!$B$5:$B$10041,0)+2,
       MATCH(AL$3,'생산수량Back-Data'!$B$3:$AAA$3,0))</f>
        <v>0</v>
      </c>
      <c r="AM46" s="310" cm="1">
        <f t="array" ref="AM46">INDEX('생산수량Back-Data'!$B$5:$AAA$10041,
       MATCH($B45,'생산수량Back-Data'!$B$5:$B$10041,0)+2,
       MATCH(AM$3,'생산수량Back-Data'!$B$3:$AAA$3,0))</f>
        <v>0</v>
      </c>
      <c r="AN46" s="310" cm="1">
        <f t="array" ref="AN46">INDEX('생산수량Back-Data'!$B$5:$AAA$10041,
       MATCH($B45,'생산수량Back-Data'!$B$5:$B$10041,0)+2,
       MATCH(AN$3,'생산수량Back-Data'!$B$3:$AAA$3,0))</f>
        <v>0</v>
      </c>
      <c r="AO46" s="310" cm="1">
        <f t="array" ref="AO46">INDEX('생산수량Back-Data'!$B$5:$AAA$10041,
       MATCH($B45,'생산수량Back-Data'!$B$5:$B$10041,0)+2,
       MATCH(AO$3,'생산수량Back-Data'!$B$3:$AAA$3,0))</f>
        <v>0</v>
      </c>
      <c r="AP46" s="310" cm="1">
        <f t="array" ref="AP46">INDEX('생산수량Back-Data'!$B$5:$AAA$10041,
       MATCH($B45,'생산수량Back-Data'!$B$5:$B$10041,0)+2,
       MATCH(AP$3,'생산수량Back-Data'!$B$3:$AAA$3,0))</f>
        <v>0</v>
      </c>
      <c r="AQ46" s="310" cm="1">
        <f t="array" ref="AQ46">INDEX('생산수량Back-Data'!$B$5:$AAA$10041,
       MATCH($B45,'생산수량Back-Data'!$B$5:$B$10041,0)+2,
       MATCH(AQ$3,'생산수량Back-Data'!$B$3:$AAA$3,0))</f>
        <v>0</v>
      </c>
      <c r="AR46" s="310" cm="1">
        <f t="array" ref="AR46">INDEX('생산수량Back-Data'!$B$5:$AAA$10041,
       MATCH($B45,'생산수량Back-Data'!$B$5:$B$10041,0)+2,
       MATCH(AR$3,'생산수량Back-Data'!$B$3:$AAA$3,0))</f>
        <v>0</v>
      </c>
      <c r="AS46" s="310" cm="1">
        <f t="array" ref="AS46">INDEX('생산수량Back-Data'!$B$5:$AAA$10041,
       MATCH($B45,'생산수량Back-Data'!$B$5:$B$10041,0)+2,
       MATCH(AS$3,'생산수량Back-Data'!$B$3:$AAA$3,0))</f>
        <v>0</v>
      </c>
      <c r="AT46" s="324" cm="1">
        <f t="array" ref="AT46">INDEX('생산수량Back-Data'!$B$5:$AAA$10041,
       MATCH($B45,'생산수량Back-Data'!$B$5:$B$10041,0)+2,
       MATCH(AT$3,'생산수량Back-Data'!$B$3:$AAA$3,0))</f>
        <v>0</v>
      </c>
    </row>
    <row r="47" spans="2:46" ht="32.1" customHeight="1" x14ac:dyDescent="0.3">
      <c r="B47" s="449" t="s">
        <v>48</v>
      </c>
      <c r="C47" s="449" t="s">
        <v>185</v>
      </c>
      <c r="D47" s="449" t="s">
        <v>193</v>
      </c>
      <c r="E47" s="446">
        <f>ABS(SUMIFS('Fixture 총 발주수량'!Z:Z,'Fixture 총 발주수량'!B:B,'후공정(애칭)생산계획'!B47,'Fixture 총 발주수량'!Z:Z,"&lt;0"))</f>
        <v>1286</v>
      </c>
      <c r="F47" s="434">
        <f>G47-E47</f>
        <v>-1286</v>
      </c>
      <c r="G47" s="435">
        <f>SUMIF(P47:AT47, "&gt;0")</f>
        <v>0</v>
      </c>
      <c r="H47" s="435">
        <f>SUMIF(P48:AT48, "&gt;0")</f>
        <v>0</v>
      </c>
      <c r="I47" s="462">
        <f>IFERROR(H47/G47,)</f>
        <v>0</v>
      </c>
      <c r="J47" s="435">
        <f ca="1">IFERROR(SUMIF('Fixture 총 발주수량'!B:AG,'후공정(애칭)생산계획'!B47,'Fixture 총 발주수량'!AA:AA),)</f>
        <v>0</v>
      </c>
      <c r="K47" s="446">
        <f>ROUNDUP(E47/2000,)</f>
        <v>1</v>
      </c>
      <c r="L47" s="446">
        <f>L45+K47</f>
        <v>23</v>
      </c>
      <c r="M47" s="446">
        <f>L47+K47</f>
        <v>24</v>
      </c>
      <c r="N47" s="446">
        <f>N45+K47</f>
        <v>23</v>
      </c>
      <c r="O47" s="336" t="s">
        <v>264</v>
      </c>
      <c r="P47" s="420"/>
      <c r="Q47" s="338"/>
      <c r="R47" s="338"/>
      <c r="S47" s="338"/>
      <c r="T47" s="338"/>
      <c r="U47" s="338"/>
      <c r="V47" s="338"/>
      <c r="W47" s="338"/>
      <c r="X47" s="338"/>
      <c r="Y47" s="338"/>
      <c r="Z47" s="338"/>
      <c r="AA47" s="338"/>
      <c r="AB47" s="338"/>
      <c r="AC47" s="338"/>
      <c r="AD47" s="338"/>
      <c r="AE47" s="338"/>
      <c r="AF47" s="338"/>
      <c r="AG47" s="338"/>
      <c r="AH47" s="338"/>
      <c r="AI47" s="338"/>
      <c r="AJ47" s="338"/>
      <c r="AK47" s="338"/>
      <c r="AL47" s="338"/>
      <c r="AM47" s="338"/>
      <c r="AN47" s="338"/>
      <c r="AO47" s="338"/>
      <c r="AP47" s="338"/>
      <c r="AQ47" s="338"/>
      <c r="AR47" s="338"/>
      <c r="AS47" s="338"/>
      <c r="AT47" s="339"/>
    </row>
    <row r="48" spans="2:46" ht="32.1" customHeight="1" x14ac:dyDescent="0.3">
      <c r="B48" s="445"/>
      <c r="C48" s="445"/>
      <c r="D48" s="445"/>
      <c r="E48" s="439"/>
      <c r="F48" s="459"/>
      <c r="G48" s="436"/>
      <c r="H48" s="436"/>
      <c r="I48" s="463"/>
      <c r="J48" s="436"/>
      <c r="K48" s="439"/>
      <c r="L48" s="439"/>
      <c r="M48" s="439"/>
      <c r="N48" s="439"/>
      <c r="O48" s="306" t="s">
        <v>266</v>
      </c>
      <c r="P48" s="327" cm="1">
        <f t="array" ref="P48">INDEX('생산수량Back-Data'!$B$5:$AAA$10041,
       MATCH($B47,'생산수량Back-Data'!$B$5:$B$10041,0)+2,
       MATCH(P$3,'생산수량Back-Data'!$B$3:$AAA$3,0))</f>
        <v>0</v>
      </c>
      <c r="Q48" s="328" cm="1">
        <f t="array" ref="Q48">INDEX('생산수량Back-Data'!$B$5:$AAA$10041,
       MATCH($B47,'생산수량Back-Data'!$B$5:$B$10041,0)+2,
       MATCH(Q$3,'생산수량Back-Data'!$B$3:$AAA$3,0))</f>
        <v>0</v>
      </c>
      <c r="R48" s="328" cm="1">
        <f t="array" ref="R48">INDEX('생산수량Back-Data'!$B$5:$AAA$10041,
       MATCH($B47,'생산수량Back-Data'!$B$5:$B$10041,0)+2,
       MATCH(R$3,'생산수량Back-Data'!$B$3:$AAA$3,0))</f>
        <v>0</v>
      </c>
      <c r="S48" s="328" cm="1">
        <f t="array" ref="S48">INDEX('생산수량Back-Data'!$B$5:$AAA$10041,
       MATCH($B47,'생산수량Back-Data'!$B$5:$B$10041,0)+2,
       MATCH(S$3,'생산수량Back-Data'!$B$3:$AAA$3,0))</f>
        <v>0</v>
      </c>
      <c r="T48" s="328" cm="1">
        <f t="array" ref="T48">INDEX('생산수량Back-Data'!$B$5:$AAA$10041,
       MATCH($B47,'생산수량Back-Data'!$B$5:$B$10041,0)+2,
       MATCH(T$3,'생산수량Back-Data'!$B$3:$AAA$3,0))</f>
        <v>0</v>
      </c>
      <c r="U48" s="328" cm="1">
        <f t="array" ref="U48">INDEX('생산수량Back-Data'!$B$5:$AAA$10041,
       MATCH($B47,'생산수량Back-Data'!$B$5:$B$10041,0)+2,
       MATCH(U$3,'생산수량Back-Data'!$B$3:$AAA$3,0))</f>
        <v>0</v>
      </c>
      <c r="V48" s="328" cm="1">
        <f t="array" ref="V48">INDEX('생산수량Back-Data'!$B$5:$AAA$10041,
       MATCH($B47,'생산수량Back-Data'!$B$5:$B$10041,0)+2,
       MATCH(V$3,'생산수량Back-Data'!$B$3:$AAA$3,0))</f>
        <v>0</v>
      </c>
      <c r="W48" s="328" cm="1">
        <f t="array" ref="W48">INDEX('생산수량Back-Data'!$B$5:$AAA$10041,
       MATCH($B47,'생산수량Back-Data'!$B$5:$B$10041,0)+2,
       MATCH(W$3,'생산수량Back-Data'!$B$3:$AAA$3,0))</f>
        <v>0</v>
      </c>
      <c r="X48" s="328" cm="1">
        <f t="array" ref="X48">INDEX('생산수량Back-Data'!$B$5:$AAA$10041,
       MATCH($B47,'생산수량Back-Data'!$B$5:$B$10041,0)+2,
       MATCH(X$3,'생산수량Back-Data'!$B$3:$AAA$3,0))</f>
        <v>0</v>
      </c>
      <c r="Y48" s="328" cm="1">
        <f t="array" ref="Y48">INDEX('생산수량Back-Data'!$B$5:$AAA$10041,
       MATCH($B47,'생산수량Back-Data'!$B$5:$B$10041,0)+2,
       MATCH(Y$3,'생산수량Back-Data'!$B$3:$AAA$3,0))</f>
        <v>0</v>
      </c>
      <c r="Z48" s="328" cm="1">
        <f t="array" ref="Z48">INDEX('생산수량Back-Data'!$B$5:$AAA$10041,
       MATCH($B47,'생산수량Back-Data'!$B$5:$B$10041,0)+2,
       MATCH(Z$3,'생산수량Back-Data'!$B$3:$AAA$3,0))</f>
        <v>0</v>
      </c>
      <c r="AA48" s="328" cm="1">
        <f t="array" ref="AA48">INDEX('생산수량Back-Data'!$B$5:$AAA$10041,
       MATCH($B47,'생산수량Back-Data'!$B$5:$B$10041,0)+2,
       MATCH(AA$3,'생산수량Back-Data'!$B$3:$AAA$3,0))</f>
        <v>0</v>
      </c>
      <c r="AB48" s="328" cm="1">
        <f t="array" ref="AB48">INDEX('생산수량Back-Data'!$B$5:$AAA$10041,
       MATCH($B47,'생산수량Back-Data'!$B$5:$B$10041,0)+2,
       MATCH(AB$3,'생산수량Back-Data'!$B$3:$AAA$3,0))</f>
        <v>0</v>
      </c>
      <c r="AC48" s="328" cm="1">
        <f t="array" ref="AC48">INDEX('생산수량Back-Data'!$B$5:$AAA$10041,
       MATCH($B47,'생산수량Back-Data'!$B$5:$B$10041,0)+2,
       MATCH(AC$3,'생산수량Back-Data'!$B$3:$AAA$3,0))</f>
        <v>0</v>
      </c>
      <c r="AD48" s="328" cm="1">
        <f t="array" ref="AD48">INDEX('생산수량Back-Data'!$B$5:$AAA$10041,
       MATCH($B47,'생산수량Back-Data'!$B$5:$B$10041,0)+2,
       MATCH(AD$3,'생산수량Back-Data'!$B$3:$AAA$3,0))</f>
        <v>0</v>
      </c>
      <c r="AE48" s="328" cm="1">
        <f t="array" ref="AE48">INDEX('생산수량Back-Data'!$B$5:$AAA$10041,
       MATCH($B47,'생산수량Back-Data'!$B$5:$B$10041,0)+2,
       MATCH(AE$3,'생산수량Back-Data'!$B$3:$AAA$3,0))</f>
        <v>0</v>
      </c>
      <c r="AF48" s="328" cm="1">
        <f t="array" ref="AF48">INDEX('생산수량Back-Data'!$B$5:$AAA$10041,
       MATCH($B47,'생산수량Back-Data'!$B$5:$B$10041,0)+2,
       MATCH(AF$3,'생산수량Back-Data'!$B$3:$AAA$3,0))</f>
        <v>0</v>
      </c>
      <c r="AG48" s="328" cm="1">
        <f t="array" ref="AG48">INDEX('생산수량Back-Data'!$B$5:$AAA$10041,
       MATCH($B47,'생산수량Back-Data'!$B$5:$B$10041,0)+2,
       MATCH(AG$3,'생산수량Back-Data'!$B$3:$AAA$3,0))</f>
        <v>0</v>
      </c>
      <c r="AH48" s="328" cm="1">
        <f t="array" ref="AH48">INDEX('생산수량Back-Data'!$B$5:$AAA$10041,
       MATCH($B47,'생산수량Back-Data'!$B$5:$B$10041,0)+2,
       MATCH(AH$3,'생산수량Back-Data'!$B$3:$AAA$3,0))</f>
        <v>0</v>
      </c>
      <c r="AI48" s="328" cm="1">
        <f t="array" ref="AI48">INDEX('생산수량Back-Data'!$B$5:$AAA$10041,
       MATCH($B47,'생산수량Back-Data'!$B$5:$B$10041,0)+2,
       MATCH(AI$3,'생산수량Back-Data'!$B$3:$AAA$3,0))</f>
        <v>0</v>
      </c>
      <c r="AJ48" s="328" cm="1">
        <f t="array" ref="AJ48">INDEX('생산수량Back-Data'!$B$5:$AAA$10041,
       MATCH($B47,'생산수량Back-Data'!$B$5:$B$10041,0)+2,
       MATCH(AJ$3,'생산수량Back-Data'!$B$3:$AAA$3,0))</f>
        <v>0</v>
      </c>
      <c r="AK48" s="328" cm="1">
        <f t="array" ref="AK48">INDEX('생산수량Back-Data'!$B$5:$AAA$10041,
       MATCH($B47,'생산수량Back-Data'!$B$5:$B$10041,0)+2,
       MATCH(AK$3,'생산수량Back-Data'!$B$3:$AAA$3,0))</f>
        <v>0</v>
      </c>
      <c r="AL48" s="328" cm="1">
        <f t="array" ref="AL48">INDEX('생산수량Back-Data'!$B$5:$AAA$10041,
       MATCH($B47,'생산수량Back-Data'!$B$5:$B$10041,0)+2,
       MATCH(AL$3,'생산수량Back-Data'!$B$3:$AAA$3,0))</f>
        <v>0</v>
      </c>
      <c r="AM48" s="328" cm="1">
        <f t="array" ref="AM48">INDEX('생산수량Back-Data'!$B$5:$AAA$10041,
       MATCH($B47,'생산수량Back-Data'!$B$5:$B$10041,0)+2,
       MATCH(AM$3,'생산수량Back-Data'!$B$3:$AAA$3,0))</f>
        <v>0</v>
      </c>
      <c r="AN48" s="328" cm="1">
        <f t="array" ref="AN48">INDEX('생산수량Back-Data'!$B$5:$AAA$10041,
       MATCH($B47,'생산수량Back-Data'!$B$5:$B$10041,0)+2,
       MATCH(AN$3,'생산수량Back-Data'!$B$3:$AAA$3,0))</f>
        <v>0</v>
      </c>
      <c r="AO48" s="328" cm="1">
        <f t="array" ref="AO48">INDEX('생산수량Back-Data'!$B$5:$AAA$10041,
       MATCH($B47,'생산수량Back-Data'!$B$5:$B$10041,0)+2,
       MATCH(AO$3,'생산수량Back-Data'!$B$3:$AAA$3,0))</f>
        <v>0</v>
      </c>
      <c r="AP48" s="328" cm="1">
        <f t="array" ref="AP48">INDEX('생산수량Back-Data'!$B$5:$AAA$10041,
       MATCH($B47,'생산수량Back-Data'!$B$5:$B$10041,0)+2,
       MATCH(AP$3,'생산수량Back-Data'!$B$3:$AAA$3,0))</f>
        <v>0</v>
      </c>
      <c r="AQ48" s="328" cm="1">
        <f t="array" ref="AQ48">INDEX('생산수량Back-Data'!$B$5:$AAA$10041,
       MATCH($B47,'생산수량Back-Data'!$B$5:$B$10041,0)+2,
       MATCH(AQ$3,'생산수량Back-Data'!$B$3:$AAA$3,0))</f>
        <v>0</v>
      </c>
      <c r="AR48" s="328" cm="1">
        <f t="array" ref="AR48">INDEX('생산수량Back-Data'!$B$5:$AAA$10041,
       MATCH($B47,'생산수량Back-Data'!$B$5:$B$10041,0)+2,
       MATCH(AR$3,'생산수량Back-Data'!$B$3:$AAA$3,0))</f>
        <v>0</v>
      </c>
      <c r="AS48" s="328" cm="1">
        <f t="array" ref="AS48">INDEX('생산수량Back-Data'!$B$5:$AAA$10041,
       MATCH($B47,'생산수량Back-Data'!$B$5:$B$10041,0)+2,
       MATCH(AS$3,'생산수량Back-Data'!$B$3:$AAA$3,0))</f>
        <v>0</v>
      </c>
      <c r="AT48" s="329" cm="1">
        <f t="array" ref="AT48">INDEX('생산수량Back-Data'!$B$5:$AAA$10041,
       MATCH($B47,'생산수량Back-Data'!$B$5:$B$10041,0)+2,
       MATCH(AT$3,'생산수량Back-Data'!$B$3:$AAA$3,0))</f>
        <v>0</v>
      </c>
    </row>
    <row r="49" spans="2:46" ht="32.1" customHeight="1" x14ac:dyDescent="0.3">
      <c r="B49" s="444" t="s">
        <v>53</v>
      </c>
      <c r="C49" s="444" t="s">
        <v>185</v>
      </c>
      <c r="D49" s="444" t="s">
        <v>193</v>
      </c>
      <c r="E49" s="438">
        <f>ABS(SUMIFS('Fixture 총 발주수량'!Z:Z,'Fixture 총 발주수량'!B:B,'후공정(애칭)생산계획'!B49,'Fixture 총 발주수량'!Z:Z,"&lt;0"))</f>
        <v>2937</v>
      </c>
      <c r="F49" s="431">
        <f>G49-E49</f>
        <v>-2937</v>
      </c>
      <c r="G49" s="437">
        <f>SUMIF(P49:AT49, "&gt;0")</f>
        <v>0</v>
      </c>
      <c r="H49" s="437">
        <f>SUMIF(P50:AT50, "&gt;0")</f>
        <v>0</v>
      </c>
      <c r="I49" s="442">
        <f>IFERROR(H49/G49,)</f>
        <v>0</v>
      </c>
      <c r="J49" s="437">
        <f ca="1">IFERROR(SUMIF('Fixture 총 발주수량'!B:AG,'후공정(애칭)생산계획'!B49,'Fixture 총 발주수량'!AA:AA),)</f>
        <v>0</v>
      </c>
      <c r="K49" s="458">
        <f>ROUNDUP(E49/2000,)</f>
        <v>2</v>
      </c>
      <c r="L49" s="458">
        <f>L47+K49</f>
        <v>25</v>
      </c>
      <c r="M49" s="458">
        <f>L49+K49</f>
        <v>27</v>
      </c>
      <c r="N49" s="438">
        <f>N47+K49</f>
        <v>25</v>
      </c>
      <c r="O49" s="306" t="s">
        <v>264</v>
      </c>
      <c r="P49" s="325"/>
      <c r="Q49" s="312"/>
      <c r="R49" s="312"/>
      <c r="S49" s="312"/>
      <c r="T49" s="312"/>
      <c r="U49" s="312"/>
      <c r="V49" s="312"/>
      <c r="W49" s="312"/>
      <c r="X49" s="312"/>
      <c r="Y49" s="312"/>
      <c r="Z49" s="312"/>
      <c r="AA49" s="312"/>
      <c r="AB49" s="312"/>
      <c r="AC49" s="312"/>
      <c r="AD49" s="312"/>
      <c r="AE49" s="312"/>
      <c r="AF49" s="312"/>
      <c r="AG49" s="312"/>
      <c r="AH49" s="312"/>
      <c r="AI49" s="312"/>
      <c r="AJ49" s="312"/>
      <c r="AK49" s="312"/>
      <c r="AL49" s="312"/>
      <c r="AM49" s="312"/>
      <c r="AN49" s="312"/>
      <c r="AO49" s="312"/>
      <c r="AP49" s="312"/>
      <c r="AQ49" s="312"/>
      <c r="AR49" s="312"/>
      <c r="AS49" s="312"/>
      <c r="AT49" s="313"/>
    </row>
    <row r="50" spans="2:46" ht="32.1" customHeight="1" x14ac:dyDescent="0.3">
      <c r="B50" s="445"/>
      <c r="C50" s="445"/>
      <c r="D50" s="445"/>
      <c r="E50" s="439"/>
      <c r="F50" s="459"/>
      <c r="G50" s="436"/>
      <c r="H50" s="436"/>
      <c r="I50" s="443"/>
      <c r="J50" s="436"/>
      <c r="K50" s="458"/>
      <c r="L50" s="458"/>
      <c r="M50" s="458"/>
      <c r="N50" s="439"/>
      <c r="O50" s="306" t="s">
        <v>266</v>
      </c>
      <c r="P50" s="323" cm="1">
        <f t="array" ref="P50">INDEX('생산수량Back-Data'!$B$5:$AAA$10041,
       MATCH($B49,'생산수량Back-Data'!$B$5:$B$10041,0)+2,
       MATCH(P$3,'생산수량Back-Data'!$B$3:$AAA$3,0))</f>
        <v>0</v>
      </c>
      <c r="Q50" s="310" cm="1">
        <f t="array" ref="Q50">INDEX('생산수량Back-Data'!$B$5:$AAA$10041,
       MATCH($B49,'생산수량Back-Data'!$B$5:$B$10041,0)+2,
       MATCH(Q$3,'생산수량Back-Data'!$B$3:$AAA$3,0))</f>
        <v>0</v>
      </c>
      <c r="R50" s="310" cm="1">
        <f t="array" ref="R50">INDEX('생산수량Back-Data'!$B$5:$AAA$10041,
       MATCH($B49,'생산수량Back-Data'!$B$5:$B$10041,0)+2,
       MATCH(R$3,'생산수량Back-Data'!$B$3:$AAA$3,0))</f>
        <v>0</v>
      </c>
      <c r="S50" s="310" cm="1">
        <f t="array" ref="S50">INDEX('생산수량Back-Data'!$B$5:$AAA$10041,
       MATCH($B49,'생산수량Back-Data'!$B$5:$B$10041,0)+2,
       MATCH(S$3,'생산수량Back-Data'!$B$3:$AAA$3,0))</f>
        <v>0</v>
      </c>
      <c r="T50" s="310" cm="1">
        <f t="array" ref="T50">INDEX('생산수량Back-Data'!$B$5:$AAA$10041,
       MATCH($B49,'생산수량Back-Data'!$B$5:$B$10041,0)+2,
       MATCH(T$3,'생산수량Back-Data'!$B$3:$AAA$3,0))</f>
        <v>0</v>
      </c>
      <c r="U50" s="310" cm="1">
        <f t="array" ref="U50">INDEX('생산수량Back-Data'!$B$5:$AAA$10041,
       MATCH($B49,'생산수량Back-Data'!$B$5:$B$10041,0)+2,
       MATCH(U$3,'생산수량Back-Data'!$B$3:$AAA$3,0))</f>
        <v>0</v>
      </c>
      <c r="V50" s="310" cm="1">
        <f t="array" ref="V50">INDEX('생산수량Back-Data'!$B$5:$AAA$10041,
       MATCH($B49,'생산수량Back-Data'!$B$5:$B$10041,0)+2,
       MATCH(V$3,'생산수량Back-Data'!$B$3:$AAA$3,0))</f>
        <v>0</v>
      </c>
      <c r="W50" s="310" cm="1">
        <f t="array" ref="W50">INDEX('생산수량Back-Data'!$B$5:$AAA$10041,
       MATCH($B49,'생산수량Back-Data'!$B$5:$B$10041,0)+2,
       MATCH(W$3,'생산수량Back-Data'!$B$3:$AAA$3,0))</f>
        <v>0</v>
      </c>
      <c r="X50" s="310" cm="1">
        <f t="array" ref="X50">INDEX('생산수량Back-Data'!$B$5:$AAA$10041,
       MATCH($B49,'생산수량Back-Data'!$B$5:$B$10041,0)+2,
       MATCH(X$3,'생산수량Back-Data'!$B$3:$AAA$3,0))</f>
        <v>0</v>
      </c>
      <c r="Y50" s="310" cm="1">
        <f t="array" ref="Y50">INDEX('생산수량Back-Data'!$B$5:$AAA$10041,
       MATCH($B49,'생산수량Back-Data'!$B$5:$B$10041,0)+2,
       MATCH(Y$3,'생산수량Back-Data'!$B$3:$AAA$3,0))</f>
        <v>0</v>
      </c>
      <c r="Z50" s="310" cm="1">
        <f t="array" ref="Z50">INDEX('생산수량Back-Data'!$B$5:$AAA$10041,
       MATCH($B49,'생산수량Back-Data'!$B$5:$B$10041,0)+2,
       MATCH(Z$3,'생산수량Back-Data'!$B$3:$AAA$3,0))</f>
        <v>0</v>
      </c>
      <c r="AA50" s="310" cm="1">
        <f t="array" ref="AA50">INDEX('생산수량Back-Data'!$B$5:$AAA$10041,
       MATCH($B49,'생산수량Back-Data'!$B$5:$B$10041,0)+2,
       MATCH(AA$3,'생산수량Back-Data'!$B$3:$AAA$3,0))</f>
        <v>0</v>
      </c>
      <c r="AB50" s="310" cm="1">
        <f t="array" ref="AB50">INDEX('생산수량Back-Data'!$B$5:$AAA$10041,
       MATCH($B49,'생산수량Back-Data'!$B$5:$B$10041,0)+2,
       MATCH(AB$3,'생산수량Back-Data'!$B$3:$AAA$3,0))</f>
        <v>0</v>
      </c>
      <c r="AC50" s="310" cm="1">
        <f t="array" ref="AC50">INDEX('생산수량Back-Data'!$B$5:$AAA$10041,
       MATCH($B49,'생산수량Back-Data'!$B$5:$B$10041,0)+2,
       MATCH(AC$3,'생산수량Back-Data'!$B$3:$AAA$3,0))</f>
        <v>0</v>
      </c>
      <c r="AD50" s="310" cm="1">
        <f t="array" ref="AD50">INDEX('생산수량Back-Data'!$B$5:$AAA$10041,
       MATCH($B49,'생산수량Back-Data'!$B$5:$B$10041,0)+2,
       MATCH(AD$3,'생산수량Back-Data'!$B$3:$AAA$3,0))</f>
        <v>0</v>
      </c>
      <c r="AE50" s="310" cm="1">
        <f t="array" ref="AE50">INDEX('생산수량Back-Data'!$B$5:$AAA$10041,
       MATCH($B49,'생산수량Back-Data'!$B$5:$B$10041,0)+2,
       MATCH(AE$3,'생산수량Back-Data'!$B$3:$AAA$3,0))</f>
        <v>0</v>
      </c>
      <c r="AF50" s="310" cm="1">
        <f t="array" ref="AF50">INDEX('생산수량Back-Data'!$B$5:$AAA$10041,
       MATCH($B49,'생산수량Back-Data'!$B$5:$B$10041,0)+2,
       MATCH(AF$3,'생산수량Back-Data'!$B$3:$AAA$3,0))</f>
        <v>0</v>
      </c>
      <c r="AG50" s="310" cm="1">
        <f t="array" ref="AG50">INDEX('생산수량Back-Data'!$B$5:$AAA$10041,
       MATCH($B49,'생산수량Back-Data'!$B$5:$B$10041,0)+2,
       MATCH(AG$3,'생산수량Back-Data'!$B$3:$AAA$3,0))</f>
        <v>0</v>
      </c>
      <c r="AH50" s="310" cm="1">
        <f t="array" ref="AH50">INDEX('생산수량Back-Data'!$B$5:$AAA$10041,
       MATCH($B49,'생산수량Back-Data'!$B$5:$B$10041,0)+2,
       MATCH(AH$3,'생산수량Back-Data'!$B$3:$AAA$3,0))</f>
        <v>0</v>
      </c>
      <c r="AI50" s="310" cm="1">
        <f t="array" ref="AI50">INDEX('생산수량Back-Data'!$B$5:$AAA$10041,
       MATCH($B49,'생산수량Back-Data'!$B$5:$B$10041,0)+2,
       MATCH(AI$3,'생산수량Back-Data'!$B$3:$AAA$3,0))</f>
        <v>0</v>
      </c>
      <c r="AJ50" s="310" cm="1">
        <f t="array" ref="AJ50">INDEX('생산수량Back-Data'!$B$5:$AAA$10041,
       MATCH($B49,'생산수량Back-Data'!$B$5:$B$10041,0)+2,
       MATCH(AJ$3,'생산수량Back-Data'!$B$3:$AAA$3,0))</f>
        <v>0</v>
      </c>
      <c r="AK50" s="310" cm="1">
        <f t="array" ref="AK50">INDEX('생산수량Back-Data'!$B$5:$AAA$10041,
       MATCH($B49,'생산수량Back-Data'!$B$5:$B$10041,0)+2,
       MATCH(AK$3,'생산수량Back-Data'!$B$3:$AAA$3,0))</f>
        <v>0</v>
      </c>
      <c r="AL50" s="310" cm="1">
        <f t="array" ref="AL50">INDEX('생산수량Back-Data'!$B$5:$AAA$10041,
       MATCH($B49,'생산수량Back-Data'!$B$5:$B$10041,0)+2,
       MATCH(AL$3,'생산수량Back-Data'!$B$3:$AAA$3,0))</f>
        <v>0</v>
      </c>
      <c r="AM50" s="310" cm="1">
        <f t="array" ref="AM50">INDEX('생산수량Back-Data'!$B$5:$AAA$10041,
       MATCH($B49,'생산수량Back-Data'!$B$5:$B$10041,0)+2,
       MATCH(AM$3,'생산수량Back-Data'!$B$3:$AAA$3,0))</f>
        <v>0</v>
      </c>
      <c r="AN50" s="310" cm="1">
        <f t="array" ref="AN50">INDEX('생산수량Back-Data'!$B$5:$AAA$10041,
       MATCH($B49,'생산수량Back-Data'!$B$5:$B$10041,0)+2,
       MATCH(AN$3,'생산수량Back-Data'!$B$3:$AAA$3,0))</f>
        <v>0</v>
      </c>
      <c r="AO50" s="310" cm="1">
        <f t="array" ref="AO50">INDEX('생산수량Back-Data'!$B$5:$AAA$10041,
       MATCH($B49,'생산수량Back-Data'!$B$5:$B$10041,0)+2,
       MATCH(AO$3,'생산수량Back-Data'!$B$3:$AAA$3,0))</f>
        <v>0</v>
      </c>
      <c r="AP50" s="310" cm="1">
        <f t="array" ref="AP50">INDEX('생산수량Back-Data'!$B$5:$AAA$10041,
       MATCH($B49,'생산수량Back-Data'!$B$5:$B$10041,0)+2,
       MATCH(AP$3,'생산수량Back-Data'!$B$3:$AAA$3,0))</f>
        <v>0</v>
      </c>
      <c r="AQ50" s="310" cm="1">
        <f t="array" ref="AQ50">INDEX('생산수량Back-Data'!$B$5:$AAA$10041,
       MATCH($B49,'생산수량Back-Data'!$B$5:$B$10041,0)+2,
       MATCH(AQ$3,'생산수량Back-Data'!$B$3:$AAA$3,0))</f>
        <v>0</v>
      </c>
      <c r="AR50" s="310" cm="1">
        <f t="array" ref="AR50">INDEX('생산수량Back-Data'!$B$5:$AAA$10041,
       MATCH($B49,'생산수량Back-Data'!$B$5:$B$10041,0)+2,
       MATCH(AR$3,'생산수량Back-Data'!$B$3:$AAA$3,0))</f>
        <v>0</v>
      </c>
      <c r="AS50" s="310" cm="1">
        <f t="array" ref="AS50">INDEX('생산수량Back-Data'!$B$5:$AAA$10041,
       MATCH($B49,'생산수량Back-Data'!$B$5:$B$10041,0)+2,
       MATCH(AS$3,'생산수량Back-Data'!$B$3:$AAA$3,0))</f>
        <v>0</v>
      </c>
      <c r="AT50" s="324" cm="1">
        <f t="array" ref="AT50">INDEX('생산수량Back-Data'!$B$5:$AAA$10041,
       MATCH($B49,'생산수량Back-Data'!$B$5:$B$10041,0)+2,
       MATCH(AT$3,'생산수량Back-Data'!$B$3:$AAA$3,0))</f>
        <v>0</v>
      </c>
    </row>
    <row r="51" spans="2:46" ht="32.1" customHeight="1" x14ac:dyDescent="0.3">
      <c r="B51" s="444" t="s">
        <v>60</v>
      </c>
      <c r="C51" s="444" t="s">
        <v>185</v>
      </c>
      <c r="D51" s="444" t="s">
        <v>200</v>
      </c>
      <c r="E51" s="438">
        <f>ABS(SUMIFS('Fixture 총 발주수량'!Z:Z,'Fixture 총 발주수량'!B:B,'후공정(애칭)생산계획'!B51,'Fixture 총 발주수량'!Z:Z,"&lt;0"))</f>
        <v>11831</v>
      </c>
      <c r="F51" s="431">
        <f>G51-E51</f>
        <v>-11831</v>
      </c>
      <c r="G51" s="437">
        <f>SUMIF(P51:AT51, "&gt;0")</f>
        <v>0</v>
      </c>
      <c r="H51" s="437">
        <f>SUMIF(P52:AT52, "&gt;0")</f>
        <v>0</v>
      </c>
      <c r="I51" s="442">
        <f>IFERROR(H51/G51,)</f>
        <v>0</v>
      </c>
      <c r="J51" s="437">
        <f ca="1">IFERROR(SUMIF('Fixture 총 발주수량'!B:AG,'후공정(애칭)생산계획'!B51,'Fixture 총 발주수량'!AA:AA),)</f>
        <v>806</v>
      </c>
      <c r="K51" s="458">
        <f>ROUNDUP(E51/2000,)</f>
        <v>6</v>
      </c>
      <c r="L51" s="458">
        <f>L49+K51</f>
        <v>31</v>
      </c>
      <c r="M51" s="458">
        <f>L51+K51</f>
        <v>37</v>
      </c>
      <c r="N51" s="438">
        <f>N49+K51</f>
        <v>31</v>
      </c>
      <c r="O51" s="306" t="s">
        <v>264</v>
      </c>
      <c r="P51" s="325"/>
      <c r="Q51" s="312"/>
      <c r="R51" s="312"/>
      <c r="S51" s="312"/>
      <c r="T51" s="312"/>
      <c r="U51" s="312"/>
      <c r="V51" s="312"/>
      <c r="W51" s="312"/>
      <c r="X51" s="312"/>
      <c r="Y51" s="312"/>
      <c r="Z51" s="312"/>
      <c r="AA51" s="312"/>
      <c r="AB51" s="312"/>
      <c r="AC51" s="312"/>
      <c r="AD51" s="312"/>
      <c r="AE51" s="312"/>
      <c r="AF51" s="312"/>
      <c r="AG51" s="312"/>
      <c r="AH51" s="312"/>
      <c r="AI51" s="312"/>
      <c r="AJ51" s="312"/>
      <c r="AK51" s="312"/>
      <c r="AL51" s="312"/>
      <c r="AM51" s="312"/>
      <c r="AN51" s="312"/>
      <c r="AO51" s="312"/>
      <c r="AP51" s="312"/>
      <c r="AQ51" s="312"/>
      <c r="AR51" s="312"/>
      <c r="AS51" s="312"/>
      <c r="AT51" s="313"/>
    </row>
    <row r="52" spans="2:46" ht="32.1" customHeight="1" x14ac:dyDescent="0.3">
      <c r="B52" s="445"/>
      <c r="C52" s="445"/>
      <c r="D52" s="445"/>
      <c r="E52" s="439"/>
      <c r="F52" s="459"/>
      <c r="G52" s="436"/>
      <c r="H52" s="436"/>
      <c r="I52" s="443"/>
      <c r="J52" s="436"/>
      <c r="K52" s="458"/>
      <c r="L52" s="458"/>
      <c r="M52" s="458"/>
      <c r="N52" s="439"/>
      <c r="O52" s="306" t="s">
        <v>266</v>
      </c>
      <c r="P52" s="323" cm="1">
        <f t="array" ref="P52">INDEX('생산수량Back-Data'!$B$5:$AAA$10041,
       MATCH($B51,'생산수량Back-Data'!$B$5:$B$10041,0)+2,
       MATCH(P$3,'생산수량Back-Data'!$B$3:$AAA$3,0))</f>
        <v>0</v>
      </c>
      <c r="Q52" s="310" cm="1">
        <f t="array" ref="Q52">INDEX('생산수량Back-Data'!$B$5:$AAA$10041,
       MATCH($B51,'생산수량Back-Data'!$B$5:$B$10041,0)+2,
       MATCH(Q$3,'생산수량Back-Data'!$B$3:$AAA$3,0))</f>
        <v>0</v>
      </c>
      <c r="R52" s="310" cm="1">
        <f t="array" ref="R52">INDEX('생산수량Back-Data'!$B$5:$AAA$10041,
       MATCH($B51,'생산수량Back-Data'!$B$5:$B$10041,0)+2,
       MATCH(R$3,'생산수량Back-Data'!$B$3:$AAA$3,0))</f>
        <v>0</v>
      </c>
      <c r="S52" s="310" cm="1">
        <f t="array" ref="S52">INDEX('생산수량Back-Data'!$B$5:$AAA$10041,
       MATCH($B51,'생산수량Back-Data'!$B$5:$B$10041,0)+2,
       MATCH(S$3,'생산수량Back-Data'!$B$3:$AAA$3,0))</f>
        <v>0</v>
      </c>
      <c r="T52" s="310" cm="1">
        <f t="array" ref="T52">INDEX('생산수량Back-Data'!$B$5:$AAA$10041,
       MATCH($B51,'생산수량Back-Data'!$B$5:$B$10041,0)+2,
       MATCH(T$3,'생산수량Back-Data'!$B$3:$AAA$3,0))</f>
        <v>0</v>
      </c>
      <c r="U52" s="310" cm="1">
        <f t="array" ref="U52">INDEX('생산수량Back-Data'!$B$5:$AAA$10041,
       MATCH($B51,'생산수량Back-Data'!$B$5:$B$10041,0)+2,
       MATCH(U$3,'생산수량Back-Data'!$B$3:$AAA$3,0))</f>
        <v>0</v>
      </c>
      <c r="V52" s="310" cm="1">
        <f t="array" ref="V52">INDEX('생산수량Back-Data'!$B$5:$AAA$10041,
       MATCH($B51,'생산수량Back-Data'!$B$5:$B$10041,0)+2,
       MATCH(V$3,'생산수량Back-Data'!$B$3:$AAA$3,0))</f>
        <v>0</v>
      </c>
      <c r="W52" s="310" cm="1">
        <f t="array" ref="W52">INDEX('생산수량Back-Data'!$B$5:$AAA$10041,
       MATCH($B51,'생산수량Back-Data'!$B$5:$B$10041,0)+2,
       MATCH(W$3,'생산수량Back-Data'!$B$3:$AAA$3,0))</f>
        <v>0</v>
      </c>
      <c r="X52" s="310" cm="1">
        <f t="array" ref="X52">INDEX('생산수량Back-Data'!$B$5:$AAA$10041,
       MATCH($B51,'생산수량Back-Data'!$B$5:$B$10041,0)+2,
       MATCH(X$3,'생산수량Back-Data'!$B$3:$AAA$3,0))</f>
        <v>0</v>
      </c>
      <c r="Y52" s="310" cm="1">
        <f t="array" ref="Y52">INDEX('생산수량Back-Data'!$B$5:$AAA$10041,
       MATCH($B51,'생산수량Back-Data'!$B$5:$B$10041,0)+2,
       MATCH(Y$3,'생산수량Back-Data'!$B$3:$AAA$3,0))</f>
        <v>0</v>
      </c>
      <c r="Z52" s="310" cm="1">
        <f t="array" ref="Z52">INDEX('생산수량Back-Data'!$B$5:$AAA$10041,
       MATCH($B51,'생산수량Back-Data'!$B$5:$B$10041,0)+2,
       MATCH(Z$3,'생산수량Back-Data'!$B$3:$AAA$3,0))</f>
        <v>0</v>
      </c>
      <c r="AA52" s="310" cm="1">
        <f t="array" ref="AA52">INDEX('생산수량Back-Data'!$B$5:$AAA$10041,
       MATCH($B51,'생산수량Back-Data'!$B$5:$B$10041,0)+2,
       MATCH(AA$3,'생산수량Back-Data'!$B$3:$AAA$3,0))</f>
        <v>0</v>
      </c>
      <c r="AB52" s="310" cm="1">
        <f t="array" ref="AB52">INDEX('생산수량Back-Data'!$B$5:$AAA$10041,
       MATCH($B51,'생산수량Back-Data'!$B$5:$B$10041,0)+2,
       MATCH(AB$3,'생산수량Back-Data'!$B$3:$AAA$3,0))</f>
        <v>0</v>
      </c>
      <c r="AC52" s="310" cm="1">
        <f t="array" ref="AC52">INDEX('생산수량Back-Data'!$B$5:$AAA$10041,
       MATCH($B51,'생산수량Back-Data'!$B$5:$B$10041,0)+2,
       MATCH(AC$3,'생산수량Back-Data'!$B$3:$AAA$3,0))</f>
        <v>0</v>
      </c>
      <c r="AD52" s="310" cm="1">
        <f t="array" ref="AD52">INDEX('생산수량Back-Data'!$B$5:$AAA$10041,
       MATCH($B51,'생산수량Back-Data'!$B$5:$B$10041,0)+2,
       MATCH(AD$3,'생산수량Back-Data'!$B$3:$AAA$3,0))</f>
        <v>0</v>
      </c>
      <c r="AE52" s="310" cm="1">
        <f t="array" ref="AE52">INDEX('생산수량Back-Data'!$B$5:$AAA$10041,
       MATCH($B51,'생산수량Back-Data'!$B$5:$B$10041,0)+2,
       MATCH(AE$3,'생산수량Back-Data'!$B$3:$AAA$3,0))</f>
        <v>0</v>
      </c>
      <c r="AF52" s="310" cm="1">
        <f t="array" ref="AF52">INDEX('생산수량Back-Data'!$B$5:$AAA$10041,
       MATCH($B51,'생산수량Back-Data'!$B$5:$B$10041,0)+2,
       MATCH(AF$3,'생산수량Back-Data'!$B$3:$AAA$3,0))</f>
        <v>0</v>
      </c>
      <c r="AG52" s="310" cm="1">
        <f t="array" ref="AG52">INDEX('생산수량Back-Data'!$B$5:$AAA$10041,
       MATCH($B51,'생산수량Back-Data'!$B$5:$B$10041,0)+2,
       MATCH(AG$3,'생산수량Back-Data'!$B$3:$AAA$3,0))</f>
        <v>0</v>
      </c>
      <c r="AH52" s="310" cm="1">
        <f t="array" ref="AH52">INDEX('생산수량Back-Data'!$B$5:$AAA$10041,
       MATCH($B51,'생산수량Back-Data'!$B$5:$B$10041,0)+2,
       MATCH(AH$3,'생산수량Back-Data'!$B$3:$AAA$3,0))</f>
        <v>0</v>
      </c>
      <c r="AI52" s="310" cm="1">
        <f t="array" ref="AI52">INDEX('생산수량Back-Data'!$B$5:$AAA$10041,
       MATCH($B51,'생산수량Back-Data'!$B$5:$B$10041,0)+2,
       MATCH(AI$3,'생산수량Back-Data'!$B$3:$AAA$3,0))</f>
        <v>0</v>
      </c>
      <c r="AJ52" s="310" cm="1">
        <f t="array" ref="AJ52">INDEX('생산수량Back-Data'!$B$5:$AAA$10041,
       MATCH($B51,'생산수량Back-Data'!$B$5:$B$10041,0)+2,
       MATCH(AJ$3,'생산수량Back-Data'!$B$3:$AAA$3,0))</f>
        <v>0</v>
      </c>
      <c r="AK52" s="310" cm="1">
        <f t="array" ref="AK52">INDEX('생산수량Back-Data'!$B$5:$AAA$10041,
       MATCH($B51,'생산수량Back-Data'!$B$5:$B$10041,0)+2,
       MATCH(AK$3,'생산수량Back-Data'!$B$3:$AAA$3,0))</f>
        <v>0</v>
      </c>
      <c r="AL52" s="310" cm="1">
        <f t="array" ref="AL52">INDEX('생산수량Back-Data'!$B$5:$AAA$10041,
       MATCH($B51,'생산수량Back-Data'!$B$5:$B$10041,0)+2,
       MATCH(AL$3,'생산수량Back-Data'!$B$3:$AAA$3,0))</f>
        <v>0</v>
      </c>
      <c r="AM52" s="310" cm="1">
        <f t="array" ref="AM52">INDEX('생산수량Back-Data'!$B$5:$AAA$10041,
       MATCH($B51,'생산수량Back-Data'!$B$5:$B$10041,0)+2,
       MATCH(AM$3,'생산수량Back-Data'!$B$3:$AAA$3,0))</f>
        <v>0</v>
      </c>
      <c r="AN52" s="310" cm="1">
        <f t="array" ref="AN52">INDEX('생산수량Back-Data'!$B$5:$AAA$10041,
       MATCH($B51,'생산수량Back-Data'!$B$5:$B$10041,0)+2,
       MATCH(AN$3,'생산수량Back-Data'!$B$3:$AAA$3,0))</f>
        <v>0</v>
      </c>
      <c r="AO52" s="310" cm="1">
        <f t="array" ref="AO52">INDEX('생산수량Back-Data'!$B$5:$AAA$10041,
       MATCH($B51,'생산수량Back-Data'!$B$5:$B$10041,0)+2,
       MATCH(AO$3,'생산수량Back-Data'!$B$3:$AAA$3,0))</f>
        <v>0</v>
      </c>
      <c r="AP52" s="310" cm="1">
        <f t="array" ref="AP52">INDEX('생산수량Back-Data'!$B$5:$AAA$10041,
       MATCH($B51,'생산수량Back-Data'!$B$5:$B$10041,0)+2,
       MATCH(AP$3,'생산수량Back-Data'!$B$3:$AAA$3,0))</f>
        <v>0</v>
      </c>
      <c r="AQ52" s="310" cm="1">
        <f t="array" ref="AQ52">INDEX('생산수량Back-Data'!$B$5:$AAA$10041,
       MATCH($B51,'생산수량Back-Data'!$B$5:$B$10041,0)+2,
       MATCH(AQ$3,'생산수량Back-Data'!$B$3:$AAA$3,0))</f>
        <v>0</v>
      </c>
      <c r="AR52" s="310" cm="1">
        <f t="array" ref="AR52">INDEX('생산수량Back-Data'!$B$5:$AAA$10041,
       MATCH($B51,'생산수량Back-Data'!$B$5:$B$10041,0)+2,
       MATCH(AR$3,'생산수량Back-Data'!$B$3:$AAA$3,0))</f>
        <v>0</v>
      </c>
      <c r="AS52" s="310" cm="1">
        <f t="array" ref="AS52">INDEX('생산수량Back-Data'!$B$5:$AAA$10041,
       MATCH($B51,'생산수량Back-Data'!$B$5:$B$10041,0)+2,
       MATCH(AS$3,'생산수량Back-Data'!$B$3:$AAA$3,0))</f>
        <v>0</v>
      </c>
      <c r="AT52" s="324" cm="1">
        <f t="array" ref="AT52">INDEX('생산수량Back-Data'!$B$5:$AAA$10041,
       MATCH($B51,'생산수량Back-Data'!$B$5:$B$10041,0)+2,
       MATCH(AT$3,'생산수량Back-Data'!$B$3:$AAA$3,0))</f>
        <v>0</v>
      </c>
    </row>
    <row r="53" spans="2:46" ht="32.1" customHeight="1" x14ac:dyDescent="0.3">
      <c r="B53" s="444" t="s">
        <v>50</v>
      </c>
      <c r="C53" s="444" t="s">
        <v>185</v>
      </c>
      <c r="D53" s="444" t="s">
        <v>195</v>
      </c>
      <c r="E53" s="438">
        <f>ABS(SUMIFS('Fixture 총 발주수량'!Z:Z,'Fixture 총 발주수량'!B:B,'후공정(애칭)생산계획'!B53,'Fixture 총 발주수량'!Z:Z,"&lt;0"))</f>
        <v>13831</v>
      </c>
      <c r="F53" s="431">
        <f>G53-E53</f>
        <v>-13831</v>
      </c>
      <c r="G53" s="437">
        <f>SUMIF(P53:AT53, "&gt;0")</f>
        <v>0</v>
      </c>
      <c r="H53" s="437">
        <f>SUMIF(P54:AT54, "&gt;0")</f>
        <v>0</v>
      </c>
      <c r="I53" s="442">
        <f>IFERROR(H53/G53,)</f>
        <v>0</v>
      </c>
      <c r="J53" s="437">
        <f ca="1">IFERROR(SUMIF('Fixture 총 발주수량'!B:AG,'후공정(애칭)생산계획'!B53,'Fixture 총 발주수량'!AA:AA),)</f>
        <v>472</v>
      </c>
      <c r="K53" s="458">
        <f>ROUNDUP(E53/2000,)</f>
        <v>7</v>
      </c>
      <c r="L53" s="458">
        <f>L51+K53</f>
        <v>38</v>
      </c>
      <c r="M53" s="458">
        <f>L53+K53</f>
        <v>45</v>
      </c>
      <c r="N53" s="438">
        <f>N51+K53</f>
        <v>38</v>
      </c>
      <c r="O53" s="306" t="s">
        <v>264</v>
      </c>
      <c r="P53" s="325"/>
      <c r="Q53" s="312"/>
      <c r="R53" s="312"/>
      <c r="S53" s="312"/>
      <c r="T53" s="312"/>
      <c r="U53" s="312"/>
      <c r="V53" s="312"/>
      <c r="W53" s="312"/>
      <c r="X53" s="312"/>
      <c r="Y53" s="312"/>
      <c r="Z53" s="312"/>
      <c r="AA53" s="312"/>
      <c r="AB53" s="312"/>
      <c r="AC53" s="312"/>
      <c r="AD53" s="312"/>
      <c r="AE53" s="312"/>
      <c r="AF53" s="312"/>
      <c r="AG53" s="312"/>
      <c r="AH53" s="312"/>
      <c r="AI53" s="312"/>
      <c r="AJ53" s="312"/>
      <c r="AK53" s="312"/>
      <c r="AL53" s="312"/>
      <c r="AM53" s="312"/>
      <c r="AN53" s="312"/>
      <c r="AO53" s="312"/>
      <c r="AP53" s="312"/>
      <c r="AQ53" s="312"/>
      <c r="AR53" s="312"/>
      <c r="AS53" s="312"/>
      <c r="AT53" s="313"/>
    </row>
    <row r="54" spans="2:46" ht="32.1" customHeight="1" x14ac:dyDescent="0.3">
      <c r="B54" s="445"/>
      <c r="C54" s="445"/>
      <c r="D54" s="445"/>
      <c r="E54" s="439"/>
      <c r="F54" s="459"/>
      <c r="G54" s="436"/>
      <c r="H54" s="436"/>
      <c r="I54" s="443"/>
      <c r="J54" s="436"/>
      <c r="K54" s="458"/>
      <c r="L54" s="458"/>
      <c r="M54" s="458"/>
      <c r="N54" s="439"/>
      <c r="O54" s="306" t="s">
        <v>266</v>
      </c>
      <c r="P54" s="323" cm="1">
        <f t="array" ref="P54">INDEX('생산수량Back-Data'!$B$5:$AAA$10041,
       MATCH($B53,'생산수량Back-Data'!$B$5:$B$10041,0)+2,
       MATCH(P$3,'생산수량Back-Data'!$B$3:$AAA$3,0))</f>
        <v>0</v>
      </c>
      <c r="Q54" s="310" cm="1">
        <f t="array" ref="Q54">INDEX('생산수량Back-Data'!$B$5:$AAA$10041,
       MATCH($B53,'생산수량Back-Data'!$B$5:$B$10041,0)+2,
       MATCH(Q$3,'생산수량Back-Data'!$B$3:$AAA$3,0))</f>
        <v>0</v>
      </c>
      <c r="R54" s="310" cm="1">
        <f t="array" ref="R54">INDEX('생산수량Back-Data'!$B$5:$AAA$10041,
       MATCH($B53,'생산수량Back-Data'!$B$5:$B$10041,0)+2,
       MATCH(R$3,'생산수량Back-Data'!$B$3:$AAA$3,0))</f>
        <v>0</v>
      </c>
      <c r="S54" s="310" cm="1">
        <f t="array" ref="S54">INDEX('생산수량Back-Data'!$B$5:$AAA$10041,
       MATCH($B53,'생산수량Back-Data'!$B$5:$B$10041,0)+2,
       MATCH(S$3,'생산수량Back-Data'!$B$3:$AAA$3,0))</f>
        <v>0</v>
      </c>
      <c r="T54" s="310" cm="1">
        <f t="array" ref="T54">INDEX('생산수량Back-Data'!$B$5:$AAA$10041,
       MATCH($B53,'생산수량Back-Data'!$B$5:$B$10041,0)+2,
       MATCH(T$3,'생산수량Back-Data'!$B$3:$AAA$3,0))</f>
        <v>0</v>
      </c>
      <c r="U54" s="310" cm="1">
        <f t="array" ref="U54">INDEX('생산수량Back-Data'!$B$5:$AAA$10041,
       MATCH($B53,'생산수량Back-Data'!$B$5:$B$10041,0)+2,
       MATCH(U$3,'생산수량Back-Data'!$B$3:$AAA$3,0))</f>
        <v>0</v>
      </c>
      <c r="V54" s="310" cm="1">
        <f t="array" ref="V54">INDEX('생산수량Back-Data'!$B$5:$AAA$10041,
       MATCH($B53,'생산수량Back-Data'!$B$5:$B$10041,0)+2,
       MATCH(V$3,'생산수량Back-Data'!$B$3:$AAA$3,0))</f>
        <v>0</v>
      </c>
      <c r="W54" s="310" cm="1">
        <f t="array" ref="W54">INDEX('생산수량Back-Data'!$B$5:$AAA$10041,
       MATCH($B53,'생산수량Back-Data'!$B$5:$B$10041,0)+2,
       MATCH(W$3,'생산수량Back-Data'!$B$3:$AAA$3,0))</f>
        <v>0</v>
      </c>
      <c r="X54" s="310" cm="1">
        <f t="array" ref="X54">INDEX('생산수량Back-Data'!$B$5:$AAA$10041,
       MATCH($B53,'생산수량Back-Data'!$B$5:$B$10041,0)+2,
       MATCH(X$3,'생산수량Back-Data'!$B$3:$AAA$3,0))</f>
        <v>0</v>
      </c>
      <c r="Y54" s="310" cm="1">
        <f t="array" ref="Y54">INDEX('생산수량Back-Data'!$B$5:$AAA$10041,
       MATCH($B53,'생산수량Back-Data'!$B$5:$B$10041,0)+2,
       MATCH(Y$3,'생산수량Back-Data'!$B$3:$AAA$3,0))</f>
        <v>0</v>
      </c>
      <c r="Z54" s="310" cm="1">
        <f t="array" ref="Z54">INDEX('생산수량Back-Data'!$B$5:$AAA$10041,
       MATCH($B53,'생산수량Back-Data'!$B$5:$B$10041,0)+2,
       MATCH(Z$3,'생산수량Back-Data'!$B$3:$AAA$3,0))</f>
        <v>0</v>
      </c>
      <c r="AA54" s="310" cm="1">
        <f t="array" ref="AA54">INDEX('생산수량Back-Data'!$B$5:$AAA$10041,
       MATCH($B53,'생산수량Back-Data'!$B$5:$B$10041,0)+2,
       MATCH(AA$3,'생산수량Back-Data'!$B$3:$AAA$3,0))</f>
        <v>0</v>
      </c>
      <c r="AB54" s="310" cm="1">
        <f t="array" ref="AB54">INDEX('생산수량Back-Data'!$B$5:$AAA$10041,
       MATCH($B53,'생산수량Back-Data'!$B$5:$B$10041,0)+2,
       MATCH(AB$3,'생산수량Back-Data'!$B$3:$AAA$3,0))</f>
        <v>0</v>
      </c>
      <c r="AC54" s="310" cm="1">
        <f t="array" ref="AC54">INDEX('생산수량Back-Data'!$B$5:$AAA$10041,
       MATCH($B53,'생산수량Back-Data'!$B$5:$B$10041,0)+2,
       MATCH(AC$3,'생산수량Back-Data'!$B$3:$AAA$3,0))</f>
        <v>0</v>
      </c>
      <c r="AD54" s="310" cm="1">
        <f t="array" ref="AD54">INDEX('생산수량Back-Data'!$B$5:$AAA$10041,
       MATCH($B53,'생산수량Back-Data'!$B$5:$B$10041,0)+2,
       MATCH(AD$3,'생산수량Back-Data'!$B$3:$AAA$3,0))</f>
        <v>0</v>
      </c>
      <c r="AE54" s="310" cm="1">
        <f t="array" ref="AE54">INDEX('생산수량Back-Data'!$B$5:$AAA$10041,
       MATCH($B53,'생산수량Back-Data'!$B$5:$B$10041,0)+2,
       MATCH(AE$3,'생산수량Back-Data'!$B$3:$AAA$3,0))</f>
        <v>0</v>
      </c>
      <c r="AF54" s="310" cm="1">
        <f t="array" ref="AF54">INDEX('생산수량Back-Data'!$B$5:$AAA$10041,
       MATCH($B53,'생산수량Back-Data'!$B$5:$B$10041,0)+2,
       MATCH(AF$3,'생산수량Back-Data'!$B$3:$AAA$3,0))</f>
        <v>0</v>
      </c>
      <c r="AG54" s="310" cm="1">
        <f t="array" ref="AG54">INDEX('생산수량Back-Data'!$B$5:$AAA$10041,
       MATCH($B53,'생산수량Back-Data'!$B$5:$B$10041,0)+2,
       MATCH(AG$3,'생산수량Back-Data'!$B$3:$AAA$3,0))</f>
        <v>0</v>
      </c>
      <c r="AH54" s="310" cm="1">
        <f t="array" ref="AH54">INDEX('생산수량Back-Data'!$B$5:$AAA$10041,
       MATCH($B53,'생산수량Back-Data'!$B$5:$B$10041,0)+2,
       MATCH(AH$3,'생산수량Back-Data'!$B$3:$AAA$3,0))</f>
        <v>0</v>
      </c>
      <c r="AI54" s="310" cm="1">
        <f t="array" ref="AI54">INDEX('생산수량Back-Data'!$B$5:$AAA$10041,
       MATCH($B53,'생산수량Back-Data'!$B$5:$B$10041,0)+2,
       MATCH(AI$3,'생산수량Back-Data'!$B$3:$AAA$3,0))</f>
        <v>0</v>
      </c>
      <c r="AJ54" s="310" cm="1">
        <f t="array" ref="AJ54">INDEX('생산수량Back-Data'!$B$5:$AAA$10041,
       MATCH($B53,'생산수량Back-Data'!$B$5:$B$10041,0)+2,
       MATCH(AJ$3,'생산수량Back-Data'!$B$3:$AAA$3,0))</f>
        <v>0</v>
      </c>
      <c r="AK54" s="310" cm="1">
        <f t="array" ref="AK54">INDEX('생산수량Back-Data'!$B$5:$AAA$10041,
       MATCH($B53,'생산수량Back-Data'!$B$5:$B$10041,0)+2,
       MATCH(AK$3,'생산수량Back-Data'!$B$3:$AAA$3,0))</f>
        <v>0</v>
      </c>
      <c r="AL54" s="310" cm="1">
        <f t="array" ref="AL54">INDEX('생산수량Back-Data'!$B$5:$AAA$10041,
       MATCH($B53,'생산수량Back-Data'!$B$5:$B$10041,0)+2,
       MATCH(AL$3,'생산수량Back-Data'!$B$3:$AAA$3,0))</f>
        <v>0</v>
      </c>
      <c r="AM54" s="310" cm="1">
        <f t="array" ref="AM54">INDEX('생산수량Back-Data'!$B$5:$AAA$10041,
       MATCH($B53,'생산수량Back-Data'!$B$5:$B$10041,0)+2,
       MATCH(AM$3,'생산수량Back-Data'!$B$3:$AAA$3,0))</f>
        <v>0</v>
      </c>
      <c r="AN54" s="310" cm="1">
        <f t="array" ref="AN54">INDEX('생산수량Back-Data'!$B$5:$AAA$10041,
       MATCH($B53,'생산수량Back-Data'!$B$5:$B$10041,0)+2,
       MATCH(AN$3,'생산수량Back-Data'!$B$3:$AAA$3,0))</f>
        <v>0</v>
      </c>
      <c r="AO54" s="310" cm="1">
        <f t="array" ref="AO54">INDEX('생산수량Back-Data'!$B$5:$AAA$10041,
       MATCH($B53,'생산수량Back-Data'!$B$5:$B$10041,0)+2,
       MATCH(AO$3,'생산수량Back-Data'!$B$3:$AAA$3,0))</f>
        <v>0</v>
      </c>
      <c r="AP54" s="310" cm="1">
        <f t="array" ref="AP54">INDEX('생산수량Back-Data'!$B$5:$AAA$10041,
       MATCH($B53,'생산수량Back-Data'!$B$5:$B$10041,0)+2,
       MATCH(AP$3,'생산수량Back-Data'!$B$3:$AAA$3,0))</f>
        <v>0</v>
      </c>
      <c r="AQ54" s="310" cm="1">
        <f t="array" ref="AQ54">INDEX('생산수량Back-Data'!$B$5:$AAA$10041,
       MATCH($B53,'생산수량Back-Data'!$B$5:$B$10041,0)+2,
       MATCH(AQ$3,'생산수량Back-Data'!$B$3:$AAA$3,0))</f>
        <v>0</v>
      </c>
      <c r="AR54" s="310" cm="1">
        <f t="array" ref="AR54">INDEX('생산수량Back-Data'!$B$5:$AAA$10041,
       MATCH($B53,'생산수량Back-Data'!$B$5:$B$10041,0)+2,
       MATCH(AR$3,'생산수량Back-Data'!$B$3:$AAA$3,0))</f>
        <v>0</v>
      </c>
      <c r="AS54" s="310" cm="1">
        <f t="array" ref="AS54">INDEX('생산수량Back-Data'!$B$5:$AAA$10041,
       MATCH($B53,'생산수량Back-Data'!$B$5:$B$10041,0)+2,
       MATCH(AS$3,'생산수량Back-Data'!$B$3:$AAA$3,0))</f>
        <v>0</v>
      </c>
      <c r="AT54" s="324" cm="1">
        <f t="array" ref="AT54">INDEX('생산수량Back-Data'!$B$5:$AAA$10041,
       MATCH($B53,'생산수량Back-Data'!$B$5:$B$10041,0)+2,
       MATCH(AT$3,'생산수량Back-Data'!$B$3:$AAA$3,0))</f>
        <v>0</v>
      </c>
    </row>
    <row r="55" spans="2:46" ht="32.1" customHeight="1" x14ac:dyDescent="0.3">
      <c r="B55" s="444" t="s">
        <v>49</v>
      </c>
      <c r="C55" s="444" t="s">
        <v>185</v>
      </c>
      <c r="D55" s="444" t="s">
        <v>194</v>
      </c>
      <c r="E55" s="438">
        <f>ABS(SUMIFS('Fixture 총 발주수량'!Z:Z,'Fixture 총 발주수량'!B:B,'후공정(애칭)생산계획'!B55,'Fixture 총 발주수량'!Z:Z,"&lt;0"))</f>
        <v>3683</v>
      </c>
      <c r="F55" s="431">
        <f>G55-E55</f>
        <v>-3683</v>
      </c>
      <c r="G55" s="437">
        <f>SUMIF(P55:AT55, "&gt;0")</f>
        <v>0</v>
      </c>
      <c r="H55" s="437">
        <f>SUMIF(P56:AT56, "&gt;0")</f>
        <v>0</v>
      </c>
      <c r="I55" s="442">
        <f>IFERROR(H55/G55,)</f>
        <v>0</v>
      </c>
      <c r="J55" s="437">
        <f ca="1">IFERROR(SUMIF('Fixture 총 발주수량'!B:AG,'후공정(애칭)생산계획'!B55,'Fixture 총 발주수량'!AA:AA),)</f>
        <v>0</v>
      </c>
      <c r="K55" s="458">
        <f>ROUNDUP(E55/2000,)</f>
        <v>2</v>
      </c>
      <c r="L55" s="458">
        <f>L53+K55</f>
        <v>40</v>
      </c>
      <c r="M55" s="458">
        <f>L55+K55</f>
        <v>42</v>
      </c>
      <c r="N55" s="438">
        <f>N53+K55</f>
        <v>40</v>
      </c>
      <c r="O55" s="306" t="s">
        <v>264</v>
      </c>
      <c r="P55" s="325"/>
      <c r="Q55" s="312"/>
      <c r="R55" s="312"/>
      <c r="S55" s="312"/>
      <c r="T55" s="312"/>
      <c r="U55" s="312"/>
      <c r="V55" s="312"/>
      <c r="W55" s="312"/>
      <c r="X55" s="312"/>
      <c r="Y55" s="312"/>
      <c r="Z55" s="312"/>
      <c r="AA55" s="312"/>
      <c r="AB55" s="312"/>
      <c r="AC55" s="312"/>
      <c r="AD55" s="312"/>
      <c r="AE55" s="312"/>
      <c r="AF55" s="312"/>
      <c r="AG55" s="312"/>
      <c r="AH55" s="312"/>
      <c r="AI55" s="312"/>
      <c r="AJ55" s="312"/>
      <c r="AK55" s="312"/>
      <c r="AL55" s="312"/>
      <c r="AM55" s="312"/>
      <c r="AN55" s="312"/>
      <c r="AO55" s="312"/>
      <c r="AP55" s="312"/>
      <c r="AQ55" s="312"/>
      <c r="AR55" s="312"/>
      <c r="AS55" s="312"/>
      <c r="AT55" s="313"/>
    </row>
    <row r="56" spans="2:46" ht="32.1" customHeight="1" x14ac:dyDescent="0.3">
      <c r="B56" s="445"/>
      <c r="C56" s="445"/>
      <c r="D56" s="445"/>
      <c r="E56" s="439"/>
      <c r="F56" s="459"/>
      <c r="G56" s="436"/>
      <c r="H56" s="436"/>
      <c r="I56" s="443"/>
      <c r="J56" s="436"/>
      <c r="K56" s="458"/>
      <c r="L56" s="458"/>
      <c r="M56" s="458"/>
      <c r="N56" s="439"/>
      <c r="O56" s="306" t="s">
        <v>266</v>
      </c>
      <c r="P56" s="323" cm="1">
        <f t="array" ref="P56">INDEX('생산수량Back-Data'!$B$5:$AAA$10041,
       MATCH($B55,'생산수량Back-Data'!$B$5:$B$10041,0)+2,
       MATCH(P$3,'생산수량Back-Data'!$B$3:$AAA$3,0))</f>
        <v>0</v>
      </c>
      <c r="Q56" s="310" cm="1">
        <f t="array" ref="Q56">INDEX('생산수량Back-Data'!$B$5:$AAA$10041,
       MATCH($B55,'생산수량Back-Data'!$B$5:$B$10041,0)+2,
       MATCH(Q$3,'생산수량Back-Data'!$B$3:$AAA$3,0))</f>
        <v>0</v>
      </c>
      <c r="R56" s="310" cm="1">
        <f t="array" ref="R56">INDEX('생산수량Back-Data'!$B$5:$AAA$10041,
       MATCH($B55,'생산수량Back-Data'!$B$5:$B$10041,0)+2,
       MATCH(R$3,'생산수량Back-Data'!$B$3:$AAA$3,0))</f>
        <v>0</v>
      </c>
      <c r="S56" s="310" cm="1">
        <f t="array" ref="S56">INDEX('생산수량Back-Data'!$B$5:$AAA$10041,
       MATCH($B55,'생산수량Back-Data'!$B$5:$B$10041,0)+2,
       MATCH(S$3,'생산수량Back-Data'!$B$3:$AAA$3,0))</f>
        <v>0</v>
      </c>
      <c r="T56" s="310" cm="1">
        <f t="array" ref="T56">INDEX('생산수량Back-Data'!$B$5:$AAA$10041,
       MATCH($B55,'생산수량Back-Data'!$B$5:$B$10041,0)+2,
       MATCH(T$3,'생산수량Back-Data'!$B$3:$AAA$3,0))</f>
        <v>0</v>
      </c>
      <c r="U56" s="310" cm="1">
        <f t="array" ref="U56">INDEX('생산수량Back-Data'!$B$5:$AAA$10041,
       MATCH($B55,'생산수량Back-Data'!$B$5:$B$10041,0)+2,
       MATCH(U$3,'생산수량Back-Data'!$B$3:$AAA$3,0))</f>
        <v>0</v>
      </c>
      <c r="V56" s="310" cm="1">
        <f t="array" ref="V56">INDEX('생산수량Back-Data'!$B$5:$AAA$10041,
       MATCH($B55,'생산수량Back-Data'!$B$5:$B$10041,0)+2,
       MATCH(V$3,'생산수량Back-Data'!$B$3:$AAA$3,0))</f>
        <v>0</v>
      </c>
      <c r="W56" s="310" cm="1">
        <f t="array" ref="W56">INDEX('생산수량Back-Data'!$B$5:$AAA$10041,
       MATCH($B55,'생산수량Back-Data'!$B$5:$B$10041,0)+2,
       MATCH(W$3,'생산수량Back-Data'!$B$3:$AAA$3,0))</f>
        <v>0</v>
      </c>
      <c r="X56" s="310" cm="1">
        <f t="array" ref="X56">INDEX('생산수량Back-Data'!$B$5:$AAA$10041,
       MATCH($B55,'생산수량Back-Data'!$B$5:$B$10041,0)+2,
       MATCH(X$3,'생산수량Back-Data'!$B$3:$AAA$3,0))</f>
        <v>0</v>
      </c>
      <c r="Y56" s="310" cm="1">
        <f t="array" ref="Y56">INDEX('생산수량Back-Data'!$B$5:$AAA$10041,
       MATCH($B55,'생산수량Back-Data'!$B$5:$B$10041,0)+2,
       MATCH(Y$3,'생산수량Back-Data'!$B$3:$AAA$3,0))</f>
        <v>0</v>
      </c>
      <c r="Z56" s="310" cm="1">
        <f t="array" ref="Z56">INDEX('생산수량Back-Data'!$B$5:$AAA$10041,
       MATCH($B55,'생산수량Back-Data'!$B$5:$B$10041,0)+2,
       MATCH(Z$3,'생산수량Back-Data'!$B$3:$AAA$3,0))</f>
        <v>0</v>
      </c>
      <c r="AA56" s="310" cm="1">
        <f t="array" ref="AA56">INDEX('생산수량Back-Data'!$B$5:$AAA$10041,
       MATCH($B55,'생산수량Back-Data'!$B$5:$B$10041,0)+2,
       MATCH(AA$3,'생산수량Back-Data'!$B$3:$AAA$3,0))</f>
        <v>0</v>
      </c>
      <c r="AB56" s="310" cm="1">
        <f t="array" ref="AB56">INDEX('생산수량Back-Data'!$B$5:$AAA$10041,
       MATCH($B55,'생산수량Back-Data'!$B$5:$B$10041,0)+2,
       MATCH(AB$3,'생산수량Back-Data'!$B$3:$AAA$3,0))</f>
        <v>0</v>
      </c>
      <c r="AC56" s="310" cm="1">
        <f t="array" ref="AC56">INDEX('생산수량Back-Data'!$B$5:$AAA$10041,
       MATCH($B55,'생산수량Back-Data'!$B$5:$B$10041,0)+2,
       MATCH(AC$3,'생산수량Back-Data'!$B$3:$AAA$3,0))</f>
        <v>0</v>
      </c>
      <c r="AD56" s="310" cm="1">
        <f t="array" ref="AD56">INDEX('생산수량Back-Data'!$B$5:$AAA$10041,
       MATCH($B55,'생산수량Back-Data'!$B$5:$B$10041,0)+2,
       MATCH(AD$3,'생산수량Back-Data'!$B$3:$AAA$3,0))</f>
        <v>0</v>
      </c>
      <c r="AE56" s="310" cm="1">
        <f t="array" ref="AE56">INDEX('생산수량Back-Data'!$B$5:$AAA$10041,
       MATCH($B55,'생산수량Back-Data'!$B$5:$B$10041,0)+2,
       MATCH(AE$3,'생산수량Back-Data'!$B$3:$AAA$3,0))</f>
        <v>0</v>
      </c>
      <c r="AF56" s="310" cm="1">
        <f t="array" ref="AF56">INDEX('생산수량Back-Data'!$B$5:$AAA$10041,
       MATCH($B55,'생산수량Back-Data'!$B$5:$B$10041,0)+2,
       MATCH(AF$3,'생산수량Back-Data'!$B$3:$AAA$3,0))</f>
        <v>0</v>
      </c>
      <c r="AG56" s="310" cm="1">
        <f t="array" ref="AG56">INDEX('생산수량Back-Data'!$B$5:$AAA$10041,
       MATCH($B55,'생산수량Back-Data'!$B$5:$B$10041,0)+2,
       MATCH(AG$3,'생산수량Back-Data'!$B$3:$AAA$3,0))</f>
        <v>0</v>
      </c>
      <c r="AH56" s="310" cm="1">
        <f t="array" ref="AH56">INDEX('생산수량Back-Data'!$B$5:$AAA$10041,
       MATCH($B55,'생산수량Back-Data'!$B$5:$B$10041,0)+2,
       MATCH(AH$3,'생산수량Back-Data'!$B$3:$AAA$3,0))</f>
        <v>0</v>
      </c>
      <c r="AI56" s="310" cm="1">
        <f t="array" ref="AI56">INDEX('생산수량Back-Data'!$B$5:$AAA$10041,
       MATCH($B55,'생산수량Back-Data'!$B$5:$B$10041,0)+2,
       MATCH(AI$3,'생산수량Back-Data'!$B$3:$AAA$3,0))</f>
        <v>0</v>
      </c>
      <c r="AJ56" s="310" cm="1">
        <f t="array" ref="AJ56">INDEX('생산수량Back-Data'!$B$5:$AAA$10041,
       MATCH($B55,'생산수량Back-Data'!$B$5:$B$10041,0)+2,
       MATCH(AJ$3,'생산수량Back-Data'!$B$3:$AAA$3,0))</f>
        <v>0</v>
      </c>
      <c r="AK56" s="310" cm="1">
        <f t="array" ref="AK56">INDEX('생산수량Back-Data'!$B$5:$AAA$10041,
       MATCH($B55,'생산수량Back-Data'!$B$5:$B$10041,0)+2,
       MATCH(AK$3,'생산수량Back-Data'!$B$3:$AAA$3,0))</f>
        <v>0</v>
      </c>
      <c r="AL56" s="310" cm="1">
        <f t="array" ref="AL56">INDEX('생산수량Back-Data'!$B$5:$AAA$10041,
       MATCH($B55,'생산수량Back-Data'!$B$5:$B$10041,0)+2,
       MATCH(AL$3,'생산수량Back-Data'!$B$3:$AAA$3,0))</f>
        <v>0</v>
      </c>
      <c r="AM56" s="310" cm="1">
        <f t="array" ref="AM56">INDEX('생산수량Back-Data'!$B$5:$AAA$10041,
       MATCH($B55,'생산수량Back-Data'!$B$5:$B$10041,0)+2,
       MATCH(AM$3,'생산수량Back-Data'!$B$3:$AAA$3,0))</f>
        <v>0</v>
      </c>
      <c r="AN56" s="310" cm="1">
        <f t="array" ref="AN56">INDEX('생산수량Back-Data'!$B$5:$AAA$10041,
       MATCH($B55,'생산수량Back-Data'!$B$5:$B$10041,0)+2,
       MATCH(AN$3,'생산수량Back-Data'!$B$3:$AAA$3,0))</f>
        <v>0</v>
      </c>
      <c r="AO56" s="310" cm="1">
        <f t="array" ref="AO56">INDEX('생산수량Back-Data'!$B$5:$AAA$10041,
       MATCH($B55,'생산수량Back-Data'!$B$5:$B$10041,0)+2,
       MATCH(AO$3,'생산수량Back-Data'!$B$3:$AAA$3,0))</f>
        <v>0</v>
      </c>
      <c r="AP56" s="310" cm="1">
        <f t="array" ref="AP56">INDEX('생산수량Back-Data'!$B$5:$AAA$10041,
       MATCH($B55,'생산수량Back-Data'!$B$5:$B$10041,0)+2,
       MATCH(AP$3,'생산수량Back-Data'!$B$3:$AAA$3,0))</f>
        <v>0</v>
      </c>
      <c r="AQ56" s="310" cm="1">
        <f t="array" ref="AQ56">INDEX('생산수량Back-Data'!$B$5:$AAA$10041,
       MATCH($B55,'생산수량Back-Data'!$B$5:$B$10041,0)+2,
       MATCH(AQ$3,'생산수량Back-Data'!$B$3:$AAA$3,0))</f>
        <v>0</v>
      </c>
      <c r="AR56" s="310" cm="1">
        <f t="array" ref="AR56">INDEX('생산수량Back-Data'!$B$5:$AAA$10041,
       MATCH($B55,'생산수량Back-Data'!$B$5:$B$10041,0)+2,
       MATCH(AR$3,'생산수량Back-Data'!$B$3:$AAA$3,0))</f>
        <v>0</v>
      </c>
      <c r="AS56" s="310" cm="1">
        <f t="array" ref="AS56">INDEX('생산수량Back-Data'!$B$5:$AAA$10041,
       MATCH($B55,'생산수량Back-Data'!$B$5:$B$10041,0)+2,
       MATCH(AS$3,'생산수량Back-Data'!$B$3:$AAA$3,0))</f>
        <v>0</v>
      </c>
      <c r="AT56" s="324" cm="1">
        <f t="array" ref="AT56">INDEX('생산수량Back-Data'!$B$5:$AAA$10041,
       MATCH($B55,'생산수량Back-Data'!$B$5:$B$10041,0)+2,
       MATCH(AT$3,'생산수량Back-Data'!$B$3:$AAA$3,0))</f>
        <v>0</v>
      </c>
    </row>
    <row r="57" spans="2:46" ht="32.1" customHeight="1" x14ac:dyDescent="0.3">
      <c r="B57" s="444" t="s">
        <v>54</v>
      </c>
      <c r="C57" s="444" t="s">
        <v>185</v>
      </c>
      <c r="D57" s="444" t="s">
        <v>194</v>
      </c>
      <c r="E57" s="438">
        <f>ABS(SUMIFS('Fixture 총 발주수량'!Z:Z,'Fixture 총 발주수량'!B:B,'후공정(애칭)생산계획'!B57,'Fixture 총 발주수량'!Z:Z,"&lt;0"))</f>
        <v>4251</v>
      </c>
      <c r="F57" s="431">
        <f>G57-E57</f>
        <v>-4251</v>
      </c>
      <c r="G57" s="437">
        <f>SUMIF(P57:AT57, "&gt;0")</f>
        <v>0</v>
      </c>
      <c r="H57" s="437">
        <f>SUMIF(P58:AT58, "&gt;0")</f>
        <v>0</v>
      </c>
      <c r="I57" s="442">
        <f>IFERROR(H57/G57,)</f>
        <v>0</v>
      </c>
      <c r="J57" s="437">
        <f ca="1">IFERROR(SUMIF('Fixture 총 발주수량'!B:AG,'후공정(애칭)생산계획'!B57,'Fixture 총 발주수량'!AA:AA),)</f>
        <v>0</v>
      </c>
      <c r="K57" s="458">
        <f>ROUNDUP(E57/2000,)</f>
        <v>3</v>
      </c>
      <c r="L57" s="458">
        <f>L55+K57</f>
        <v>43</v>
      </c>
      <c r="M57" s="458">
        <f>L57+K57</f>
        <v>46</v>
      </c>
      <c r="N57" s="438">
        <f>N55+K57</f>
        <v>43</v>
      </c>
      <c r="O57" s="306" t="s">
        <v>264</v>
      </c>
      <c r="P57" s="325"/>
      <c r="Q57" s="312"/>
      <c r="R57" s="312"/>
      <c r="S57" s="312"/>
      <c r="T57" s="312"/>
      <c r="U57" s="312"/>
      <c r="V57" s="312"/>
      <c r="W57" s="312"/>
      <c r="X57" s="312"/>
      <c r="Y57" s="312"/>
      <c r="Z57" s="312"/>
      <c r="AA57" s="312"/>
      <c r="AB57" s="312"/>
      <c r="AC57" s="312"/>
      <c r="AD57" s="312"/>
      <c r="AE57" s="312"/>
      <c r="AF57" s="312"/>
      <c r="AG57" s="312"/>
      <c r="AH57" s="312"/>
      <c r="AI57" s="312"/>
      <c r="AJ57" s="312"/>
      <c r="AK57" s="312"/>
      <c r="AL57" s="312"/>
      <c r="AM57" s="312"/>
      <c r="AN57" s="312"/>
      <c r="AO57" s="312"/>
      <c r="AP57" s="312"/>
      <c r="AQ57" s="312"/>
      <c r="AR57" s="312"/>
      <c r="AS57" s="312"/>
      <c r="AT57" s="313"/>
    </row>
    <row r="58" spans="2:46" ht="32.1" customHeight="1" x14ac:dyDescent="0.3">
      <c r="B58" s="445"/>
      <c r="C58" s="445"/>
      <c r="D58" s="445"/>
      <c r="E58" s="439"/>
      <c r="F58" s="459"/>
      <c r="G58" s="436"/>
      <c r="H58" s="436"/>
      <c r="I58" s="443"/>
      <c r="J58" s="436"/>
      <c r="K58" s="458"/>
      <c r="L58" s="458"/>
      <c r="M58" s="458"/>
      <c r="N58" s="439"/>
      <c r="O58" s="306" t="s">
        <v>266</v>
      </c>
      <c r="P58" s="323" cm="1">
        <f t="array" ref="P58">INDEX('생산수량Back-Data'!$B$5:$AAA$10041,
       MATCH($B57,'생산수량Back-Data'!$B$5:$B$10041,0)+2,
       MATCH(P$3,'생산수량Back-Data'!$B$3:$AAA$3,0))</f>
        <v>0</v>
      </c>
      <c r="Q58" s="310" cm="1">
        <f t="array" ref="Q58">INDEX('생산수량Back-Data'!$B$5:$AAA$10041,
       MATCH($B57,'생산수량Back-Data'!$B$5:$B$10041,0)+2,
       MATCH(Q$3,'생산수량Back-Data'!$B$3:$AAA$3,0))</f>
        <v>0</v>
      </c>
      <c r="R58" s="310" cm="1">
        <f t="array" ref="R58">INDEX('생산수량Back-Data'!$B$5:$AAA$10041,
       MATCH($B57,'생산수량Back-Data'!$B$5:$B$10041,0)+2,
       MATCH(R$3,'생산수량Back-Data'!$B$3:$AAA$3,0))</f>
        <v>0</v>
      </c>
      <c r="S58" s="310" cm="1">
        <f t="array" ref="S58">INDEX('생산수량Back-Data'!$B$5:$AAA$10041,
       MATCH($B57,'생산수량Back-Data'!$B$5:$B$10041,0)+2,
       MATCH(S$3,'생산수량Back-Data'!$B$3:$AAA$3,0))</f>
        <v>0</v>
      </c>
      <c r="T58" s="310" cm="1">
        <f t="array" ref="T58">INDEX('생산수량Back-Data'!$B$5:$AAA$10041,
       MATCH($B57,'생산수량Back-Data'!$B$5:$B$10041,0)+2,
       MATCH(T$3,'생산수량Back-Data'!$B$3:$AAA$3,0))</f>
        <v>0</v>
      </c>
      <c r="U58" s="310" cm="1">
        <f t="array" ref="U58">INDEX('생산수량Back-Data'!$B$5:$AAA$10041,
       MATCH($B57,'생산수량Back-Data'!$B$5:$B$10041,0)+2,
       MATCH(U$3,'생산수량Back-Data'!$B$3:$AAA$3,0))</f>
        <v>0</v>
      </c>
      <c r="V58" s="310" cm="1">
        <f t="array" ref="V58">INDEX('생산수량Back-Data'!$B$5:$AAA$10041,
       MATCH($B57,'생산수량Back-Data'!$B$5:$B$10041,0)+2,
       MATCH(V$3,'생산수량Back-Data'!$B$3:$AAA$3,0))</f>
        <v>0</v>
      </c>
      <c r="W58" s="310" cm="1">
        <f t="array" ref="W58">INDEX('생산수량Back-Data'!$B$5:$AAA$10041,
       MATCH($B57,'생산수량Back-Data'!$B$5:$B$10041,0)+2,
       MATCH(W$3,'생산수량Back-Data'!$B$3:$AAA$3,0))</f>
        <v>0</v>
      </c>
      <c r="X58" s="310" cm="1">
        <f t="array" ref="X58">INDEX('생산수량Back-Data'!$B$5:$AAA$10041,
       MATCH($B57,'생산수량Back-Data'!$B$5:$B$10041,0)+2,
       MATCH(X$3,'생산수량Back-Data'!$B$3:$AAA$3,0))</f>
        <v>0</v>
      </c>
      <c r="Y58" s="310" cm="1">
        <f t="array" ref="Y58">INDEX('생산수량Back-Data'!$B$5:$AAA$10041,
       MATCH($B57,'생산수량Back-Data'!$B$5:$B$10041,0)+2,
       MATCH(Y$3,'생산수량Back-Data'!$B$3:$AAA$3,0))</f>
        <v>0</v>
      </c>
      <c r="Z58" s="310" cm="1">
        <f t="array" ref="Z58">INDEX('생산수량Back-Data'!$B$5:$AAA$10041,
       MATCH($B57,'생산수량Back-Data'!$B$5:$B$10041,0)+2,
       MATCH(Z$3,'생산수량Back-Data'!$B$3:$AAA$3,0))</f>
        <v>0</v>
      </c>
      <c r="AA58" s="310" cm="1">
        <f t="array" ref="AA58">INDEX('생산수량Back-Data'!$B$5:$AAA$10041,
       MATCH($B57,'생산수량Back-Data'!$B$5:$B$10041,0)+2,
       MATCH(AA$3,'생산수량Back-Data'!$B$3:$AAA$3,0))</f>
        <v>0</v>
      </c>
      <c r="AB58" s="310" cm="1">
        <f t="array" ref="AB58">INDEX('생산수량Back-Data'!$B$5:$AAA$10041,
       MATCH($B57,'생산수량Back-Data'!$B$5:$B$10041,0)+2,
       MATCH(AB$3,'생산수량Back-Data'!$B$3:$AAA$3,0))</f>
        <v>0</v>
      </c>
      <c r="AC58" s="310" cm="1">
        <f t="array" ref="AC58">INDEX('생산수량Back-Data'!$B$5:$AAA$10041,
       MATCH($B57,'생산수량Back-Data'!$B$5:$B$10041,0)+2,
       MATCH(AC$3,'생산수량Back-Data'!$B$3:$AAA$3,0))</f>
        <v>0</v>
      </c>
      <c r="AD58" s="310" cm="1">
        <f t="array" ref="AD58">INDEX('생산수량Back-Data'!$B$5:$AAA$10041,
       MATCH($B57,'생산수량Back-Data'!$B$5:$B$10041,0)+2,
       MATCH(AD$3,'생산수량Back-Data'!$B$3:$AAA$3,0))</f>
        <v>0</v>
      </c>
      <c r="AE58" s="310" cm="1">
        <f t="array" ref="AE58">INDEX('생산수량Back-Data'!$B$5:$AAA$10041,
       MATCH($B57,'생산수량Back-Data'!$B$5:$B$10041,0)+2,
       MATCH(AE$3,'생산수량Back-Data'!$B$3:$AAA$3,0))</f>
        <v>0</v>
      </c>
      <c r="AF58" s="310" cm="1">
        <f t="array" ref="AF58">INDEX('생산수량Back-Data'!$B$5:$AAA$10041,
       MATCH($B57,'생산수량Back-Data'!$B$5:$B$10041,0)+2,
       MATCH(AF$3,'생산수량Back-Data'!$B$3:$AAA$3,0))</f>
        <v>0</v>
      </c>
      <c r="AG58" s="310" cm="1">
        <f t="array" ref="AG58">INDEX('생산수량Back-Data'!$B$5:$AAA$10041,
       MATCH($B57,'생산수량Back-Data'!$B$5:$B$10041,0)+2,
       MATCH(AG$3,'생산수량Back-Data'!$B$3:$AAA$3,0))</f>
        <v>0</v>
      </c>
      <c r="AH58" s="310" cm="1">
        <f t="array" ref="AH58">INDEX('생산수량Back-Data'!$B$5:$AAA$10041,
       MATCH($B57,'생산수량Back-Data'!$B$5:$B$10041,0)+2,
       MATCH(AH$3,'생산수량Back-Data'!$B$3:$AAA$3,0))</f>
        <v>0</v>
      </c>
      <c r="AI58" s="310" cm="1">
        <f t="array" ref="AI58">INDEX('생산수량Back-Data'!$B$5:$AAA$10041,
       MATCH($B57,'생산수량Back-Data'!$B$5:$B$10041,0)+2,
       MATCH(AI$3,'생산수량Back-Data'!$B$3:$AAA$3,0))</f>
        <v>0</v>
      </c>
      <c r="AJ58" s="310" cm="1">
        <f t="array" ref="AJ58">INDEX('생산수량Back-Data'!$B$5:$AAA$10041,
       MATCH($B57,'생산수량Back-Data'!$B$5:$B$10041,0)+2,
       MATCH(AJ$3,'생산수량Back-Data'!$B$3:$AAA$3,0))</f>
        <v>0</v>
      </c>
      <c r="AK58" s="310" cm="1">
        <f t="array" ref="AK58">INDEX('생산수량Back-Data'!$B$5:$AAA$10041,
       MATCH($B57,'생산수량Back-Data'!$B$5:$B$10041,0)+2,
       MATCH(AK$3,'생산수량Back-Data'!$B$3:$AAA$3,0))</f>
        <v>0</v>
      </c>
      <c r="AL58" s="310" cm="1">
        <f t="array" ref="AL58">INDEX('생산수량Back-Data'!$B$5:$AAA$10041,
       MATCH($B57,'생산수량Back-Data'!$B$5:$B$10041,0)+2,
       MATCH(AL$3,'생산수량Back-Data'!$B$3:$AAA$3,0))</f>
        <v>0</v>
      </c>
      <c r="AM58" s="310" cm="1">
        <f t="array" ref="AM58">INDEX('생산수량Back-Data'!$B$5:$AAA$10041,
       MATCH($B57,'생산수량Back-Data'!$B$5:$B$10041,0)+2,
       MATCH(AM$3,'생산수량Back-Data'!$B$3:$AAA$3,0))</f>
        <v>0</v>
      </c>
      <c r="AN58" s="310" cm="1">
        <f t="array" ref="AN58">INDEX('생산수량Back-Data'!$B$5:$AAA$10041,
       MATCH($B57,'생산수량Back-Data'!$B$5:$B$10041,0)+2,
       MATCH(AN$3,'생산수량Back-Data'!$B$3:$AAA$3,0))</f>
        <v>0</v>
      </c>
      <c r="AO58" s="310" cm="1">
        <f t="array" ref="AO58">INDEX('생산수량Back-Data'!$B$5:$AAA$10041,
       MATCH($B57,'생산수량Back-Data'!$B$5:$B$10041,0)+2,
       MATCH(AO$3,'생산수량Back-Data'!$B$3:$AAA$3,0))</f>
        <v>0</v>
      </c>
      <c r="AP58" s="310" cm="1">
        <f t="array" ref="AP58">INDEX('생산수량Back-Data'!$B$5:$AAA$10041,
       MATCH($B57,'생산수량Back-Data'!$B$5:$B$10041,0)+2,
       MATCH(AP$3,'생산수량Back-Data'!$B$3:$AAA$3,0))</f>
        <v>0</v>
      </c>
      <c r="AQ58" s="310" cm="1">
        <f t="array" ref="AQ58">INDEX('생산수량Back-Data'!$B$5:$AAA$10041,
       MATCH($B57,'생산수량Back-Data'!$B$5:$B$10041,0)+2,
       MATCH(AQ$3,'생산수량Back-Data'!$B$3:$AAA$3,0))</f>
        <v>0</v>
      </c>
      <c r="AR58" s="310" cm="1">
        <f t="array" ref="AR58">INDEX('생산수량Back-Data'!$B$5:$AAA$10041,
       MATCH($B57,'생산수량Back-Data'!$B$5:$B$10041,0)+2,
       MATCH(AR$3,'생산수량Back-Data'!$B$3:$AAA$3,0))</f>
        <v>0</v>
      </c>
      <c r="AS58" s="310" cm="1">
        <f t="array" ref="AS58">INDEX('생산수량Back-Data'!$B$5:$AAA$10041,
       MATCH($B57,'생산수량Back-Data'!$B$5:$B$10041,0)+2,
       MATCH(AS$3,'생산수량Back-Data'!$B$3:$AAA$3,0))</f>
        <v>0</v>
      </c>
      <c r="AT58" s="324" cm="1">
        <f t="array" ref="AT58">INDEX('생산수량Back-Data'!$B$5:$AAA$10041,
       MATCH($B57,'생산수량Back-Data'!$B$5:$B$10041,0)+2,
       MATCH(AT$3,'생산수량Back-Data'!$B$3:$AAA$3,0))</f>
        <v>0</v>
      </c>
    </row>
    <row r="59" spans="2:46" ht="32.1" customHeight="1" x14ac:dyDescent="0.3">
      <c r="B59" s="444" t="s">
        <v>55</v>
      </c>
      <c r="C59" s="444" t="s">
        <v>185</v>
      </c>
      <c r="D59" s="444" t="s">
        <v>195</v>
      </c>
      <c r="E59" s="438">
        <f>ABS(SUMIFS('Fixture 총 발주수량'!Z:Z,'Fixture 총 발주수량'!B:B,'후공정(애칭)생산계획'!B59,'Fixture 총 발주수량'!Z:Z,"&lt;0"))</f>
        <v>2340</v>
      </c>
      <c r="F59" s="431">
        <f>G59-E59</f>
        <v>-2340</v>
      </c>
      <c r="G59" s="437">
        <f>SUMIF(P59:AT59, "&gt;0")</f>
        <v>0</v>
      </c>
      <c r="H59" s="437">
        <f>SUMIF(P60:AT60, "&gt;0")</f>
        <v>0</v>
      </c>
      <c r="I59" s="442">
        <f>IFERROR(H59/G59,)</f>
        <v>0</v>
      </c>
      <c r="J59" s="437">
        <f ca="1">IFERROR(SUMIF('Fixture 총 발주수량'!B:AG,'후공정(애칭)생산계획'!B59,'Fixture 총 발주수량'!AA:AA),)</f>
        <v>1187</v>
      </c>
      <c r="K59" s="458">
        <f>ROUNDUP(E59/2000,)</f>
        <v>2</v>
      </c>
      <c r="L59" s="458">
        <f>L57+K59</f>
        <v>45</v>
      </c>
      <c r="M59" s="458">
        <f>L59+K59</f>
        <v>47</v>
      </c>
      <c r="N59" s="438">
        <f>N57+K59</f>
        <v>45</v>
      </c>
      <c r="O59" s="306" t="s">
        <v>264</v>
      </c>
      <c r="P59" s="325"/>
      <c r="Q59" s="312"/>
      <c r="R59" s="312"/>
      <c r="S59" s="312"/>
      <c r="T59" s="312"/>
      <c r="U59" s="312"/>
      <c r="V59" s="312"/>
      <c r="W59" s="312"/>
      <c r="X59" s="312"/>
      <c r="Y59" s="312"/>
      <c r="Z59" s="312"/>
      <c r="AA59" s="312"/>
      <c r="AB59" s="312"/>
      <c r="AC59" s="312"/>
      <c r="AD59" s="312"/>
      <c r="AE59" s="312"/>
      <c r="AF59" s="312"/>
      <c r="AG59" s="312"/>
      <c r="AH59" s="312"/>
      <c r="AI59" s="312"/>
      <c r="AJ59" s="312"/>
      <c r="AK59" s="312"/>
      <c r="AL59" s="312"/>
      <c r="AM59" s="312"/>
      <c r="AN59" s="312"/>
      <c r="AO59" s="312"/>
      <c r="AP59" s="312"/>
      <c r="AQ59" s="312"/>
      <c r="AR59" s="312"/>
      <c r="AS59" s="312"/>
      <c r="AT59" s="313"/>
    </row>
    <row r="60" spans="2:46" ht="32.1" customHeight="1" x14ac:dyDescent="0.3">
      <c r="B60" s="445"/>
      <c r="C60" s="445"/>
      <c r="D60" s="445"/>
      <c r="E60" s="439"/>
      <c r="F60" s="459"/>
      <c r="G60" s="436"/>
      <c r="H60" s="436"/>
      <c r="I60" s="443"/>
      <c r="J60" s="436"/>
      <c r="K60" s="458"/>
      <c r="L60" s="458"/>
      <c r="M60" s="458"/>
      <c r="N60" s="439"/>
      <c r="O60" s="306" t="s">
        <v>266</v>
      </c>
      <c r="P60" s="323" cm="1">
        <f t="array" ref="P60">INDEX('생산수량Back-Data'!$B$5:$AAA$10041,
       MATCH($B59,'생산수량Back-Data'!$B$5:$B$10041,0)+2,
       MATCH(P$3,'생산수량Back-Data'!$B$3:$AAA$3,0))</f>
        <v>0</v>
      </c>
      <c r="Q60" s="310" cm="1">
        <f t="array" ref="Q60">INDEX('생산수량Back-Data'!$B$5:$AAA$10041,
       MATCH($B59,'생산수량Back-Data'!$B$5:$B$10041,0)+2,
       MATCH(Q$3,'생산수량Back-Data'!$B$3:$AAA$3,0))</f>
        <v>0</v>
      </c>
      <c r="R60" s="310" cm="1">
        <f t="array" ref="R60">INDEX('생산수량Back-Data'!$B$5:$AAA$10041,
       MATCH($B59,'생산수량Back-Data'!$B$5:$B$10041,0)+2,
       MATCH(R$3,'생산수량Back-Data'!$B$3:$AAA$3,0))</f>
        <v>0</v>
      </c>
      <c r="S60" s="310" cm="1">
        <f t="array" ref="S60">INDEX('생산수량Back-Data'!$B$5:$AAA$10041,
       MATCH($B59,'생산수량Back-Data'!$B$5:$B$10041,0)+2,
       MATCH(S$3,'생산수량Back-Data'!$B$3:$AAA$3,0))</f>
        <v>0</v>
      </c>
      <c r="T60" s="310" cm="1">
        <f t="array" ref="T60">INDEX('생산수량Back-Data'!$B$5:$AAA$10041,
       MATCH($B59,'생산수량Back-Data'!$B$5:$B$10041,0)+2,
       MATCH(T$3,'생산수량Back-Data'!$B$3:$AAA$3,0))</f>
        <v>0</v>
      </c>
      <c r="U60" s="310" cm="1">
        <f t="array" ref="U60">INDEX('생산수량Back-Data'!$B$5:$AAA$10041,
       MATCH($B59,'생산수량Back-Data'!$B$5:$B$10041,0)+2,
       MATCH(U$3,'생산수량Back-Data'!$B$3:$AAA$3,0))</f>
        <v>0</v>
      </c>
      <c r="V60" s="310" cm="1">
        <f t="array" ref="V60">INDEX('생산수량Back-Data'!$B$5:$AAA$10041,
       MATCH($B59,'생산수량Back-Data'!$B$5:$B$10041,0)+2,
       MATCH(V$3,'생산수량Back-Data'!$B$3:$AAA$3,0))</f>
        <v>0</v>
      </c>
      <c r="W60" s="310" cm="1">
        <f t="array" ref="W60">INDEX('생산수량Back-Data'!$B$5:$AAA$10041,
       MATCH($B59,'생산수량Back-Data'!$B$5:$B$10041,0)+2,
       MATCH(W$3,'생산수량Back-Data'!$B$3:$AAA$3,0))</f>
        <v>0</v>
      </c>
      <c r="X60" s="310" cm="1">
        <f t="array" ref="X60">INDEX('생산수량Back-Data'!$B$5:$AAA$10041,
       MATCH($B59,'생산수량Back-Data'!$B$5:$B$10041,0)+2,
       MATCH(X$3,'생산수량Back-Data'!$B$3:$AAA$3,0))</f>
        <v>0</v>
      </c>
      <c r="Y60" s="310" cm="1">
        <f t="array" ref="Y60">INDEX('생산수량Back-Data'!$B$5:$AAA$10041,
       MATCH($B59,'생산수량Back-Data'!$B$5:$B$10041,0)+2,
       MATCH(Y$3,'생산수량Back-Data'!$B$3:$AAA$3,0))</f>
        <v>0</v>
      </c>
      <c r="Z60" s="310" cm="1">
        <f t="array" ref="Z60">INDEX('생산수량Back-Data'!$B$5:$AAA$10041,
       MATCH($B59,'생산수량Back-Data'!$B$5:$B$10041,0)+2,
       MATCH(Z$3,'생산수량Back-Data'!$B$3:$AAA$3,0))</f>
        <v>0</v>
      </c>
      <c r="AA60" s="310" cm="1">
        <f t="array" ref="AA60">INDEX('생산수량Back-Data'!$B$5:$AAA$10041,
       MATCH($B59,'생산수량Back-Data'!$B$5:$B$10041,0)+2,
       MATCH(AA$3,'생산수량Back-Data'!$B$3:$AAA$3,0))</f>
        <v>0</v>
      </c>
      <c r="AB60" s="310" cm="1">
        <f t="array" ref="AB60">INDEX('생산수량Back-Data'!$B$5:$AAA$10041,
       MATCH($B59,'생산수량Back-Data'!$B$5:$B$10041,0)+2,
       MATCH(AB$3,'생산수량Back-Data'!$B$3:$AAA$3,0))</f>
        <v>0</v>
      </c>
      <c r="AC60" s="310" cm="1">
        <f t="array" ref="AC60">INDEX('생산수량Back-Data'!$B$5:$AAA$10041,
       MATCH($B59,'생산수량Back-Data'!$B$5:$B$10041,0)+2,
       MATCH(AC$3,'생산수량Back-Data'!$B$3:$AAA$3,0))</f>
        <v>0</v>
      </c>
      <c r="AD60" s="310" cm="1">
        <f t="array" ref="AD60">INDEX('생산수량Back-Data'!$B$5:$AAA$10041,
       MATCH($B59,'생산수량Back-Data'!$B$5:$B$10041,0)+2,
       MATCH(AD$3,'생산수량Back-Data'!$B$3:$AAA$3,0))</f>
        <v>0</v>
      </c>
      <c r="AE60" s="310" cm="1">
        <f t="array" ref="AE60">INDEX('생산수량Back-Data'!$B$5:$AAA$10041,
       MATCH($B59,'생산수량Back-Data'!$B$5:$B$10041,0)+2,
       MATCH(AE$3,'생산수량Back-Data'!$B$3:$AAA$3,0))</f>
        <v>0</v>
      </c>
      <c r="AF60" s="310" cm="1">
        <f t="array" ref="AF60">INDEX('생산수량Back-Data'!$B$5:$AAA$10041,
       MATCH($B59,'생산수량Back-Data'!$B$5:$B$10041,0)+2,
       MATCH(AF$3,'생산수량Back-Data'!$B$3:$AAA$3,0))</f>
        <v>0</v>
      </c>
      <c r="AG60" s="310" cm="1">
        <f t="array" ref="AG60">INDEX('생산수량Back-Data'!$B$5:$AAA$10041,
       MATCH($B59,'생산수량Back-Data'!$B$5:$B$10041,0)+2,
       MATCH(AG$3,'생산수량Back-Data'!$B$3:$AAA$3,0))</f>
        <v>0</v>
      </c>
      <c r="AH60" s="310" cm="1">
        <f t="array" ref="AH60">INDEX('생산수량Back-Data'!$B$5:$AAA$10041,
       MATCH($B59,'생산수량Back-Data'!$B$5:$B$10041,0)+2,
       MATCH(AH$3,'생산수량Back-Data'!$B$3:$AAA$3,0))</f>
        <v>0</v>
      </c>
      <c r="AI60" s="310" cm="1">
        <f t="array" ref="AI60">INDEX('생산수량Back-Data'!$B$5:$AAA$10041,
       MATCH($B59,'생산수량Back-Data'!$B$5:$B$10041,0)+2,
       MATCH(AI$3,'생산수량Back-Data'!$B$3:$AAA$3,0))</f>
        <v>0</v>
      </c>
      <c r="AJ60" s="310" cm="1">
        <f t="array" ref="AJ60">INDEX('생산수량Back-Data'!$B$5:$AAA$10041,
       MATCH($B59,'생산수량Back-Data'!$B$5:$B$10041,0)+2,
       MATCH(AJ$3,'생산수량Back-Data'!$B$3:$AAA$3,0))</f>
        <v>0</v>
      </c>
      <c r="AK60" s="310" cm="1">
        <f t="array" ref="AK60">INDEX('생산수량Back-Data'!$B$5:$AAA$10041,
       MATCH($B59,'생산수량Back-Data'!$B$5:$B$10041,0)+2,
       MATCH(AK$3,'생산수량Back-Data'!$B$3:$AAA$3,0))</f>
        <v>0</v>
      </c>
      <c r="AL60" s="310" cm="1">
        <f t="array" ref="AL60">INDEX('생산수량Back-Data'!$B$5:$AAA$10041,
       MATCH($B59,'생산수량Back-Data'!$B$5:$B$10041,0)+2,
       MATCH(AL$3,'생산수량Back-Data'!$B$3:$AAA$3,0))</f>
        <v>0</v>
      </c>
      <c r="AM60" s="310" cm="1">
        <f t="array" ref="AM60">INDEX('생산수량Back-Data'!$B$5:$AAA$10041,
       MATCH($B59,'생산수량Back-Data'!$B$5:$B$10041,0)+2,
       MATCH(AM$3,'생산수량Back-Data'!$B$3:$AAA$3,0))</f>
        <v>0</v>
      </c>
      <c r="AN60" s="310" cm="1">
        <f t="array" ref="AN60">INDEX('생산수량Back-Data'!$B$5:$AAA$10041,
       MATCH($B59,'생산수량Back-Data'!$B$5:$B$10041,0)+2,
       MATCH(AN$3,'생산수량Back-Data'!$B$3:$AAA$3,0))</f>
        <v>0</v>
      </c>
      <c r="AO60" s="310" cm="1">
        <f t="array" ref="AO60">INDEX('생산수량Back-Data'!$B$5:$AAA$10041,
       MATCH($B59,'생산수량Back-Data'!$B$5:$B$10041,0)+2,
       MATCH(AO$3,'생산수량Back-Data'!$B$3:$AAA$3,0))</f>
        <v>0</v>
      </c>
      <c r="AP60" s="310" cm="1">
        <f t="array" ref="AP60">INDEX('생산수량Back-Data'!$B$5:$AAA$10041,
       MATCH($B59,'생산수량Back-Data'!$B$5:$B$10041,0)+2,
       MATCH(AP$3,'생산수량Back-Data'!$B$3:$AAA$3,0))</f>
        <v>0</v>
      </c>
      <c r="AQ60" s="310" cm="1">
        <f t="array" ref="AQ60">INDEX('생산수량Back-Data'!$B$5:$AAA$10041,
       MATCH($B59,'생산수량Back-Data'!$B$5:$B$10041,0)+2,
       MATCH(AQ$3,'생산수량Back-Data'!$B$3:$AAA$3,0))</f>
        <v>0</v>
      </c>
      <c r="AR60" s="310" cm="1">
        <f t="array" ref="AR60">INDEX('생산수량Back-Data'!$B$5:$AAA$10041,
       MATCH($B59,'생산수량Back-Data'!$B$5:$B$10041,0)+2,
       MATCH(AR$3,'생산수량Back-Data'!$B$3:$AAA$3,0))</f>
        <v>0</v>
      </c>
      <c r="AS60" s="310" cm="1">
        <f t="array" ref="AS60">INDEX('생산수량Back-Data'!$B$5:$AAA$10041,
       MATCH($B59,'생산수량Back-Data'!$B$5:$B$10041,0)+2,
       MATCH(AS$3,'생산수량Back-Data'!$B$3:$AAA$3,0))</f>
        <v>0</v>
      </c>
      <c r="AT60" s="324" cm="1">
        <f t="array" ref="AT60">INDEX('생산수량Back-Data'!$B$5:$AAA$10041,
       MATCH($B59,'생산수량Back-Data'!$B$5:$B$10041,0)+2,
       MATCH(AT$3,'생산수량Back-Data'!$B$3:$AAA$3,0))</f>
        <v>0</v>
      </c>
    </row>
    <row r="61" spans="2:46" ht="32.1" customHeight="1" x14ac:dyDescent="0.3">
      <c r="B61" s="444" t="s">
        <v>51</v>
      </c>
      <c r="C61" s="444" t="s">
        <v>185</v>
      </c>
      <c r="D61" s="444" t="s">
        <v>196</v>
      </c>
      <c r="E61" s="438">
        <f>ABS(SUMIFS('Fixture 총 발주수량'!Z:Z,'Fixture 총 발주수량'!B:B,'후공정(애칭)생산계획'!B61,'Fixture 총 발주수량'!Z:Z,"&lt;0"))</f>
        <v>10304</v>
      </c>
      <c r="F61" s="431">
        <f>G61-E61</f>
        <v>-10304</v>
      </c>
      <c r="G61" s="437">
        <f>SUMIF(P61:AT61, "&gt;0")</f>
        <v>0</v>
      </c>
      <c r="H61" s="437">
        <f>SUMIF(P62:AT62, "&gt;0")</f>
        <v>0</v>
      </c>
      <c r="I61" s="442">
        <f>IFERROR(H61/G61,)</f>
        <v>0</v>
      </c>
      <c r="J61" s="437">
        <f ca="1">IFERROR(SUMIF('Fixture 총 발주수량'!B:AG,'후공정(애칭)생산계획'!B61,'Fixture 총 발주수량'!AA:AA),)</f>
        <v>0</v>
      </c>
      <c r="K61" s="458">
        <f>ROUNDUP(E61/2000,)</f>
        <v>6</v>
      </c>
      <c r="L61" s="458">
        <f>L59+K61</f>
        <v>51</v>
      </c>
      <c r="M61" s="458">
        <f>L61+K61</f>
        <v>57</v>
      </c>
      <c r="N61" s="438">
        <f>N59+K61</f>
        <v>51</v>
      </c>
      <c r="O61" s="306" t="s">
        <v>264</v>
      </c>
      <c r="P61" s="325"/>
      <c r="Q61" s="312"/>
      <c r="R61" s="312"/>
      <c r="S61" s="312"/>
      <c r="T61" s="312"/>
      <c r="U61" s="312"/>
      <c r="V61" s="312"/>
      <c r="W61" s="312"/>
      <c r="X61" s="312"/>
      <c r="Y61" s="312"/>
      <c r="Z61" s="312"/>
      <c r="AA61" s="312"/>
      <c r="AB61" s="312"/>
      <c r="AC61" s="312"/>
      <c r="AD61" s="312"/>
      <c r="AE61" s="312"/>
      <c r="AF61" s="312"/>
      <c r="AG61" s="312"/>
      <c r="AH61" s="312"/>
      <c r="AI61" s="312"/>
      <c r="AJ61" s="312"/>
      <c r="AK61" s="312"/>
      <c r="AL61" s="312"/>
      <c r="AM61" s="312"/>
      <c r="AN61" s="312"/>
      <c r="AO61" s="312"/>
      <c r="AP61" s="312"/>
      <c r="AQ61" s="312"/>
      <c r="AR61" s="312"/>
      <c r="AS61" s="312"/>
      <c r="AT61" s="313"/>
    </row>
    <row r="62" spans="2:46" ht="32.1" customHeight="1" x14ac:dyDescent="0.3">
      <c r="B62" s="445"/>
      <c r="C62" s="445"/>
      <c r="D62" s="445"/>
      <c r="E62" s="439"/>
      <c r="F62" s="459"/>
      <c r="G62" s="436"/>
      <c r="H62" s="436"/>
      <c r="I62" s="443"/>
      <c r="J62" s="436"/>
      <c r="K62" s="458"/>
      <c r="L62" s="458"/>
      <c r="M62" s="458"/>
      <c r="N62" s="439"/>
      <c r="O62" s="306" t="s">
        <v>266</v>
      </c>
      <c r="P62" s="323" cm="1">
        <f t="array" ref="P62">INDEX('생산수량Back-Data'!$B$5:$AAA$10041,
       MATCH($B61,'생산수량Back-Data'!$B$5:$B$10041,0)+2,
       MATCH(P$3,'생산수량Back-Data'!$B$3:$AAA$3,0))</f>
        <v>0</v>
      </c>
      <c r="Q62" s="310" cm="1">
        <f t="array" ref="Q62">INDEX('생산수량Back-Data'!$B$5:$AAA$10041,
       MATCH($B61,'생산수량Back-Data'!$B$5:$B$10041,0)+2,
       MATCH(Q$3,'생산수량Back-Data'!$B$3:$AAA$3,0))</f>
        <v>0</v>
      </c>
      <c r="R62" s="310" cm="1">
        <f t="array" ref="R62">INDEX('생산수량Back-Data'!$B$5:$AAA$10041,
       MATCH($B61,'생산수량Back-Data'!$B$5:$B$10041,0)+2,
       MATCH(R$3,'생산수량Back-Data'!$B$3:$AAA$3,0))</f>
        <v>0</v>
      </c>
      <c r="S62" s="310" cm="1">
        <f t="array" ref="S62">INDEX('생산수량Back-Data'!$B$5:$AAA$10041,
       MATCH($B61,'생산수량Back-Data'!$B$5:$B$10041,0)+2,
       MATCH(S$3,'생산수량Back-Data'!$B$3:$AAA$3,0))</f>
        <v>0</v>
      </c>
      <c r="T62" s="310" cm="1">
        <f t="array" ref="T62">INDEX('생산수량Back-Data'!$B$5:$AAA$10041,
       MATCH($B61,'생산수량Back-Data'!$B$5:$B$10041,0)+2,
       MATCH(T$3,'생산수량Back-Data'!$B$3:$AAA$3,0))</f>
        <v>0</v>
      </c>
      <c r="U62" s="310" cm="1">
        <f t="array" ref="U62">INDEX('생산수량Back-Data'!$B$5:$AAA$10041,
       MATCH($B61,'생산수량Back-Data'!$B$5:$B$10041,0)+2,
       MATCH(U$3,'생산수량Back-Data'!$B$3:$AAA$3,0))</f>
        <v>0</v>
      </c>
      <c r="V62" s="310" cm="1">
        <f t="array" ref="V62">INDEX('생산수량Back-Data'!$B$5:$AAA$10041,
       MATCH($B61,'생산수량Back-Data'!$B$5:$B$10041,0)+2,
       MATCH(V$3,'생산수량Back-Data'!$B$3:$AAA$3,0))</f>
        <v>0</v>
      </c>
      <c r="W62" s="310" cm="1">
        <f t="array" ref="W62">INDEX('생산수량Back-Data'!$B$5:$AAA$10041,
       MATCH($B61,'생산수량Back-Data'!$B$5:$B$10041,0)+2,
       MATCH(W$3,'생산수량Back-Data'!$B$3:$AAA$3,0))</f>
        <v>0</v>
      </c>
      <c r="X62" s="310" cm="1">
        <f t="array" ref="X62">INDEX('생산수량Back-Data'!$B$5:$AAA$10041,
       MATCH($B61,'생산수량Back-Data'!$B$5:$B$10041,0)+2,
       MATCH(X$3,'생산수량Back-Data'!$B$3:$AAA$3,0))</f>
        <v>0</v>
      </c>
      <c r="Y62" s="310" cm="1">
        <f t="array" ref="Y62">INDEX('생산수량Back-Data'!$B$5:$AAA$10041,
       MATCH($B61,'생산수량Back-Data'!$B$5:$B$10041,0)+2,
       MATCH(Y$3,'생산수량Back-Data'!$B$3:$AAA$3,0))</f>
        <v>0</v>
      </c>
      <c r="Z62" s="310" cm="1">
        <f t="array" ref="Z62">INDEX('생산수량Back-Data'!$B$5:$AAA$10041,
       MATCH($B61,'생산수량Back-Data'!$B$5:$B$10041,0)+2,
       MATCH(Z$3,'생산수량Back-Data'!$B$3:$AAA$3,0))</f>
        <v>0</v>
      </c>
      <c r="AA62" s="310" cm="1">
        <f t="array" ref="AA62">INDEX('생산수량Back-Data'!$B$5:$AAA$10041,
       MATCH($B61,'생산수량Back-Data'!$B$5:$B$10041,0)+2,
       MATCH(AA$3,'생산수량Back-Data'!$B$3:$AAA$3,0))</f>
        <v>0</v>
      </c>
      <c r="AB62" s="310" cm="1">
        <f t="array" ref="AB62">INDEX('생산수량Back-Data'!$B$5:$AAA$10041,
       MATCH($B61,'생산수량Back-Data'!$B$5:$B$10041,0)+2,
       MATCH(AB$3,'생산수량Back-Data'!$B$3:$AAA$3,0))</f>
        <v>0</v>
      </c>
      <c r="AC62" s="310" cm="1">
        <f t="array" ref="AC62">INDEX('생산수량Back-Data'!$B$5:$AAA$10041,
       MATCH($B61,'생산수량Back-Data'!$B$5:$B$10041,0)+2,
       MATCH(AC$3,'생산수량Back-Data'!$B$3:$AAA$3,0))</f>
        <v>0</v>
      </c>
      <c r="AD62" s="310" cm="1">
        <f t="array" ref="AD62">INDEX('생산수량Back-Data'!$B$5:$AAA$10041,
       MATCH($B61,'생산수량Back-Data'!$B$5:$B$10041,0)+2,
       MATCH(AD$3,'생산수량Back-Data'!$B$3:$AAA$3,0))</f>
        <v>0</v>
      </c>
      <c r="AE62" s="310" cm="1">
        <f t="array" ref="AE62">INDEX('생산수량Back-Data'!$B$5:$AAA$10041,
       MATCH($B61,'생산수량Back-Data'!$B$5:$B$10041,0)+2,
       MATCH(AE$3,'생산수량Back-Data'!$B$3:$AAA$3,0))</f>
        <v>0</v>
      </c>
      <c r="AF62" s="310" cm="1">
        <f t="array" ref="AF62">INDEX('생산수량Back-Data'!$B$5:$AAA$10041,
       MATCH($B61,'생산수량Back-Data'!$B$5:$B$10041,0)+2,
       MATCH(AF$3,'생산수량Back-Data'!$B$3:$AAA$3,0))</f>
        <v>0</v>
      </c>
      <c r="AG62" s="310" cm="1">
        <f t="array" ref="AG62">INDEX('생산수량Back-Data'!$B$5:$AAA$10041,
       MATCH($B61,'생산수량Back-Data'!$B$5:$B$10041,0)+2,
       MATCH(AG$3,'생산수량Back-Data'!$B$3:$AAA$3,0))</f>
        <v>0</v>
      </c>
      <c r="AH62" s="310" cm="1">
        <f t="array" ref="AH62">INDEX('생산수량Back-Data'!$B$5:$AAA$10041,
       MATCH($B61,'생산수량Back-Data'!$B$5:$B$10041,0)+2,
       MATCH(AH$3,'생산수량Back-Data'!$B$3:$AAA$3,0))</f>
        <v>0</v>
      </c>
      <c r="AI62" s="310" cm="1">
        <f t="array" ref="AI62">INDEX('생산수량Back-Data'!$B$5:$AAA$10041,
       MATCH($B61,'생산수량Back-Data'!$B$5:$B$10041,0)+2,
       MATCH(AI$3,'생산수량Back-Data'!$B$3:$AAA$3,0))</f>
        <v>0</v>
      </c>
      <c r="AJ62" s="310" cm="1">
        <f t="array" ref="AJ62">INDEX('생산수량Back-Data'!$B$5:$AAA$10041,
       MATCH($B61,'생산수량Back-Data'!$B$5:$B$10041,0)+2,
       MATCH(AJ$3,'생산수량Back-Data'!$B$3:$AAA$3,0))</f>
        <v>0</v>
      </c>
      <c r="AK62" s="310" cm="1">
        <f t="array" ref="AK62">INDEX('생산수량Back-Data'!$B$5:$AAA$10041,
       MATCH($B61,'생산수량Back-Data'!$B$5:$B$10041,0)+2,
       MATCH(AK$3,'생산수량Back-Data'!$B$3:$AAA$3,0))</f>
        <v>0</v>
      </c>
      <c r="AL62" s="310" cm="1">
        <f t="array" ref="AL62">INDEX('생산수량Back-Data'!$B$5:$AAA$10041,
       MATCH($B61,'생산수량Back-Data'!$B$5:$B$10041,0)+2,
       MATCH(AL$3,'생산수량Back-Data'!$B$3:$AAA$3,0))</f>
        <v>0</v>
      </c>
      <c r="AM62" s="310" cm="1">
        <f t="array" ref="AM62">INDEX('생산수량Back-Data'!$B$5:$AAA$10041,
       MATCH($B61,'생산수량Back-Data'!$B$5:$B$10041,0)+2,
       MATCH(AM$3,'생산수량Back-Data'!$B$3:$AAA$3,0))</f>
        <v>0</v>
      </c>
      <c r="AN62" s="310" cm="1">
        <f t="array" ref="AN62">INDEX('생산수량Back-Data'!$B$5:$AAA$10041,
       MATCH($B61,'생산수량Back-Data'!$B$5:$B$10041,0)+2,
       MATCH(AN$3,'생산수량Back-Data'!$B$3:$AAA$3,0))</f>
        <v>0</v>
      </c>
      <c r="AO62" s="310" cm="1">
        <f t="array" ref="AO62">INDEX('생산수량Back-Data'!$B$5:$AAA$10041,
       MATCH($B61,'생산수량Back-Data'!$B$5:$B$10041,0)+2,
       MATCH(AO$3,'생산수량Back-Data'!$B$3:$AAA$3,0))</f>
        <v>0</v>
      </c>
      <c r="AP62" s="310" cm="1">
        <f t="array" ref="AP62">INDEX('생산수량Back-Data'!$B$5:$AAA$10041,
       MATCH($B61,'생산수량Back-Data'!$B$5:$B$10041,0)+2,
       MATCH(AP$3,'생산수량Back-Data'!$B$3:$AAA$3,0))</f>
        <v>0</v>
      </c>
      <c r="AQ62" s="310" cm="1">
        <f t="array" ref="AQ62">INDEX('생산수량Back-Data'!$B$5:$AAA$10041,
       MATCH($B61,'생산수량Back-Data'!$B$5:$B$10041,0)+2,
       MATCH(AQ$3,'생산수량Back-Data'!$B$3:$AAA$3,0))</f>
        <v>0</v>
      </c>
      <c r="AR62" s="310" cm="1">
        <f t="array" ref="AR62">INDEX('생산수량Back-Data'!$B$5:$AAA$10041,
       MATCH($B61,'생산수량Back-Data'!$B$5:$B$10041,0)+2,
       MATCH(AR$3,'생산수량Back-Data'!$B$3:$AAA$3,0))</f>
        <v>0</v>
      </c>
      <c r="AS62" s="310" cm="1">
        <f t="array" ref="AS62">INDEX('생산수량Back-Data'!$B$5:$AAA$10041,
       MATCH($B61,'생산수량Back-Data'!$B$5:$B$10041,0)+2,
       MATCH(AS$3,'생산수량Back-Data'!$B$3:$AAA$3,0))</f>
        <v>0</v>
      </c>
      <c r="AT62" s="324" cm="1">
        <f t="array" ref="AT62">INDEX('생산수량Back-Data'!$B$5:$AAA$10041,
       MATCH($B61,'생산수량Back-Data'!$B$5:$B$10041,0)+2,
       MATCH(AT$3,'생산수량Back-Data'!$B$3:$AAA$3,0))</f>
        <v>0</v>
      </c>
    </row>
    <row r="63" spans="2:46" ht="32.1" customHeight="1" x14ac:dyDescent="0.3">
      <c r="B63" s="444" t="s">
        <v>56</v>
      </c>
      <c r="C63" s="444" t="s">
        <v>185</v>
      </c>
      <c r="D63" s="444" t="s">
        <v>196</v>
      </c>
      <c r="E63" s="438">
        <f>ABS(SUMIFS('Fixture 총 발주수량'!Z:Z,'Fixture 총 발주수량'!B:B,'후공정(애칭)생산계획'!B63,'Fixture 총 발주수량'!Z:Z,"&lt;0"))</f>
        <v>7821</v>
      </c>
      <c r="F63" s="431">
        <f>G63-E63</f>
        <v>-7821</v>
      </c>
      <c r="G63" s="437">
        <f>SUMIF(P63:AT63, "&gt;0")</f>
        <v>0</v>
      </c>
      <c r="H63" s="437">
        <f>SUMIF(P64:AT64, "&gt;0")</f>
        <v>0</v>
      </c>
      <c r="I63" s="442">
        <f>IFERROR(H63/G63,)</f>
        <v>0</v>
      </c>
      <c r="J63" s="437">
        <f ca="1">IFERROR(SUMIF('Fixture 총 발주수량'!B:AG,'후공정(애칭)생산계획'!B63,'Fixture 총 발주수량'!AA:AA),)</f>
        <v>518</v>
      </c>
      <c r="K63" s="458">
        <f>ROUNDUP(E63/2000,)</f>
        <v>4</v>
      </c>
      <c r="L63" s="458">
        <f>L61+K63</f>
        <v>55</v>
      </c>
      <c r="M63" s="458">
        <f>L63+K63</f>
        <v>59</v>
      </c>
      <c r="N63" s="438">
        <f>N61+K63</f>
        <v>55</v>
      </c>
      <c r="O63" s="306" t="s">
        <v>264</v>
      </c>
      <c r="P63" s="325"/>
      <c r="Q63" s="312"/>
      <c r="R63" s="312"/>
      <c r="S63" s="312"/>
      <c r="T63" s="312"/>
      <c r="U63" s="312"/>
      <c r="V63" s="312"/>
      <c r="W63" s="312"/>
      <c r="X63" s="312"/>
      <c r="Y63" s="312"/>
      <c r="Z63" s="312"/>
      <c r="AA63" s="312"/>
      <c r="AB63" s="312"/>
      <c r="AC63" s="312"/>
      <c r="AD63" s="312"/>
      <c r="AE63" s="312"/>
      <c r="AF63" s="312"/>
      <c r="AG63" s="312"/>
      <c r="AH63" s="312"/>
      <c r="AI63" s="312"/>
      <c r="AJ63" s="312"/>
      <c r="AK63" s="312"/>
      <c r="AL63" s="312"/>
      <c r="AM63" s="312"/>
      <c r="AN63" s="312"/>
      <c r="AO63" s="312"/>
      <c r="AP63" s="312"/>
      <c r="AQ63" s="312"/>
      <c r="AR63" s="312"/>
      <c r="AS63" s="312"/>
      <c r="AT63" s="313"/>
    </row>
    <row r="64" spans="2:46" ht="32.1" customHeight="1" x14ac:dyDescent="0.3">
      <c r="B64" s="445"/>
      <c r="C64" s="445"/>
      <c r="D64" s="445"/>
      <c r="E64" s="439"/>
      <c r="F64" s="459"/>
      <c r="G64" s="436"/>
      <c r="H64" s="436"/>
      <c r="I64" s="443"/>
      <c r="J64" s="436"/>
      <c r="K64" s="458"/>
      <c r="L64" s="458"/>
      <c r="M64" s="458"/>
      <c r="N64" s="439"/>
      <c r="O64" s="306" t="s">
        <v>266</v>
      </c>
      <c r="P64" s="323" cm="1">
        <f t="array" ref="P64">INDEX('생산수량Back-Data'!$B$5:$AAA$10041,
       MATCH($B63,'생산수량Back-Data'!$B$5:$B$10041,0)+2,
       MATCH(P$3,'생산수량Back-Data'!$B$3:$AAA$3,0))</f>
        <v>0</v>
      </c>
      <c r="Q64" s="310" cm="1">
        <f t="array" ref="Q64">INDEX('생산수량Back-Data'!$B$5:$AAA$10041,
       MATCH($B63,'생산수량Back-Data'!$B$5:$B$10041,0)+2,
       MATCH(Q$3,'생산수량Back-Data'!$B$3:$AAA$3,0))</f>
        <v>0</v>
      </c>
      <c r="R64" s="310" cm="1">
        <f t="array" ref="R64">INDEX('생산수량Back-Data'!$B$5:$AAA$10041,
       MATCH($B63,'생산수량Back-Data'!$B$5:$B$10041,0)+2,
       MATCH(R$3,'생산수량Back-Data'!$B$3:$AAA$3,0))</f>
        <v>0</v>
      </c>
      <c r="S64" s="310" cm="1">
        <f t="array" ref="S64">INDEX('생산수량Back-Data'!$B$5:$AAA$10041,
       MATCH($B63,'생산수량Back-Data'!$B$5:$B$10041,0)+2,
       MATCH(S$3,'생산수량Back-Data'!$B$3:$AAA$3,0))</f>
        <v>0</v>
      </c>
      <c r="T64" s="310" cm="1">
        <f t="array" ref="T64">INDEX('생산수량Back-Data'!$B$5:$AAA$10041,
       MATCH($B63,'생산수량Back-Data'!$B$5:$B$10041,0)+2,
       MATCH(T$3,'생산수량Back-Data'!$B$3:$AAA$3,0))</f>
        <v>0</v>
      </c>
      <c r="U64" s="310" cm="1">
        <f t="array" ref="U64">INDEX('생산수량Back-Data'!$B$5:$AAA$10041,
       MATCH($B63,'생산수량Back-Data'!$B$5:$B$10041,0)+2,
       MATCH(U$3,'생산수량Back-Data'!$B$3:$AAA$3,0))</f>
        <v>0</v>
      </c>
      <c r="V64" s="310" cm="1">
        <f t="array" ref="V64">INDEX('생산수량Back-Data'!$B$5:$AAA$10041,
       MATCH($B63,'생산수량Back-Data'!$B$5:$B$10041,0)+2,
       MATCH(V$3,'생산수량Back-Data'!$B$3:$AAA$3,0))</f>
        <v>0</v>
      </c>
      <c r="W64" s="310" cm="1">
        <f t="array" ref="W64">INDEX('생산수량Back-Data'!$B$5:$AAA$10041,
       MATCH($B63,'생산수량Back-Data'!$B$5:$B$10041,0)+2,
       MATCH(W$3,'생산수량Back-Data'!$B$3:$AAA$3,0))</f>
        <v>0</v>
      </c>
      <c r="X64" s="310" cm="1">
        <f t="array" ref="X64">INDEX('생산수량Back-Data'!$B$5:$AAA$10041,
       MATCH($B63,'생산수량Back-Data'!$B$5:$B$10041,0)+2,
       MATCH(X$3,'생산수량Back-Data'!$B$3:$AAA$3,0))</f>
        <v>0</v>
      </c>
      <c r="Y64" s="310" cm="1">
        <f t="array" ref="Y64">INDEX('생산수량Back-Data'!$B$5:$AAA$10041,
       MATCH($B63,'생산수량Back-Data'!$B$5:$B$10041,0)+2,
       MATCH(Y$3,'생산수량Back-Data'!$B$3:$AAA$3,0))</f>
        <v>0</v>
      </c>
      <c r="Z64" s="310" cm="1">
        <f t="array" ref="Z64">INDEX('생산수량Back-Data'!$B$5:$AAA$10041,
       MATCH($B63,'생산수량Back-Data'!$B$5:$B$10041,0)+2,
       MATCH(Z$3,'생산수량Back-Data'!$B$3:$AAA$3,0))</f>
        <v>0</v>
      </c>
      <c r="AA64" s="310" cm="1">
        <f t="array" ref="AA64">INDEX('생산수량Back-Data'!$B$5:$AAA$10041,
       MATCH($B63,'생산수량Back-Data'!$B$5:$B$10041,0)+2,
       MATCH(AA$3,'생산수량Back-Data'!$B$3:$AAA$3,0))</f>
        <v>0</v>
      </c>
      <c r="AB64" s="310" cm="1">
        <f t="array" ref="AB64">INDEX('생산수량Back-Data'!$B$5:$AAA$10041,
       MATCH($B63,'생산수량Back-Data'!$B$5:$B$10041,0)+2,
       MATCH(AB$3,'생산수량Back-Data'!$B$3:$AAA$3,0))</f>
        <v>0</v>
      </c>
      <c r="AC64" s="310" cm="1">
        <f t="array" ref="AC64">INDEX('생산수량Back-Data'!$B$5:$AAA$10041,
       MATCH($B63,'생산수량Back-Data'!$B$5:$B$10041,0)+2,
       MATCH(AC$3,'생산수량Back-Data'!$B$3:$AAA$3,0))</f>
        <v>0</v>
      </c>
      <c r="AD64" s="310" cm="1">
        <f t="array" ref="AD64">INDEX('생산수량Back-Data'!$B$5:$AAA$10041,
       MATCH($B63,'생산수량Back-Data'!$B$5:$B$10041,0)+2,
       MATCH(AD$3,'생산수량Back-Data'!$B$3:$AAA$3,0))</f>
        <v>0</v>
      </c>
      <c r="AE64" s="310" cm="1">
        <f t="array" ref="AE64">INDEX('생산수량Back-Data'!$B$5:$AAA$10041,
       MATCH($B63,'생산수량Back-Data'!$B$5:$B$10041,0)+2,
       MATCH(AE$3,'생산수량Back-Data'!$B$3:$AAA$3,0))</f>
        <v>0</v>
      </c>
      <c r="AF64" s="310" cm="1">
        <f t="array" ref="AF64">INDEX('생산수량Back-Data'!$B$5:$AAA$10041,
       MATCH($B63,'생산수량Back-Data'!$B$5:$B$10041,0)+2,
       MATCH(AF$3,'생산수량Back-Data'!$B$3:$AAA$3,0))</f>
        <v>0</v>
      </c>
      <c r="AG64" s="310" cm="1">
        <f t="array" ref="AG64">INDEX('생산수량Back-Data'!$B$5:$AAA$10041,
       MATCH($B63,'생산수량Back-Data'!$B$5:$B$10041,0)+2,
       MATCH(AG$3,'생산수량Back-Data'!$B$3:$AAA$3,0))</f>
        <v>0</v>
      </c>
      <c r="AH64" s="310" cm="1">
        <f t="array" ref="AH64">INDEX('생산수량Back-Data'!$B$5:$AAA$10041,
       MATCH($B63,'생산수량Back-Data'!$B$5:$B$10041,0)+2,
       MATCH(AH$3,'생산수량Back-Data'!$B$3:$AAA$3,0))</f>
        <v>0</v>
      </c>
      <c r="AI64" s="310" cm="1">
        <f t="array" ref="AI64">INDEX('생산수량Back-Data'!$B$5:$AAA$10041,
       MATCH($B63,'생산수량Back-Data'!$B$5:$B$10041,0)+2,
       MATCH(AI$3,'생산수량Back-Data'!$B$3:$AAA$3,0))</f>
        <v>0</v>
      </c>
      <c r="AJ64" s="310" cm="1">
        <f t="array" ref="AJ64">INDEX('생산수량Back-Data'!$B$5:$AAA$10041,
       MATCH($B63,'생산수량Back-Data'!$B$5:$B$10041,0)+2,
       MATCH(AJ$3,'생산수량Back-Data'!$B$3:$AAA$3,0))</f>
        <v>0</v>
      </c>
      <c r="AK64" s="310" cm="1">
        <f t="array" ref="AK64">INDEX('생산수량Back-Data'!$B$5:$AAA$10041,
       MATCH($B63,'생산수량Back-Data'!$B$5:$B$10041,0)+2,
       MATCH(AK$3,'생산수량Back-Data'!$B$3:$AAA$3,0))</f>
        <v>0</v>
      </c>
      <c r="AL64" s="310" cm="1">
        <f t="array" ref="AL64">INDEX('생산수량Back-Data'!$B$5:$AAA$10041,
       MATCH($B63,'생산수량Back-Data'!$B$5:$B$10041,0)+2,
       MATCH(AL$3,'생산수량Back-Data'!$B$3:$AAA$3,0))</f>
        <v>0</v>
      </c>
      <c r="AM64" s="310" cm="1">
        <f t="array" ref="AM64">INDEX('생산수량Back-Data'!$B$5:$AAA$10041,
       MATCH($B63,'생산수량Back-Data'!$B$5:$B$10041,0)+2,
       MATCH(AM$3,'생산수량Back-Data'!$B$3:$AAA$3,0))</f>
        <v>0</v>
      </c>
      <c r="AN64" s="310" cm="1">
        <f t="array" ref="AN64">INDEX('생산수량Back-Data'!$B$5:$AAA$10041,
       MATCH($B63,'생산수량Back-Data'!$B$5:$B$10041,0)+2,
       MATCH(AN$3,'생산수량Back-Data'!$B$3:$AAA$3,0))</f>
        <v>0</v>
      </c>
      <c r="AO64" s="310" cm="1">
        <f t="array" ref="AO64">INDEX('생산수량Back-Data'!$B$5:$AAA$10041,
       MATCH($B63,'생산수량Back-Data'!$B$5:$B$10041,0)+2,
       MATCH(AO$3,'생산수량Back-Data'!$B$3:$AAA$3,0))</f>
        <v>0</v>
      </c>
      <c r="AP64" s="310" cm="1">
        <f t="array" ref="AP64">INDEX('생산수량Back-Data'!$B$5:$AAA$10041,
       MATCH($B63,'생산수량Back-Data'!$B$5:$B$10041,0)+2,
       MATCH(AP$3,'생산수량Back-Data'!$B$3:$AAA$3,0))</f>
        <v>0</v>
      </c>
      <c r="AQ64" s="310" cm="1">
        <f t="array" ref="AQ64">INDEX('생산수량Back-Data'!$B$5:$AAA$10041,
       MATCH($B63,'생산수량Back-Data'!$B$5:$B$10041,0)+2,
       MATCH(AQ$3,'생산수량Back-Data'!$B$3:$AAA$3,0))</f>
        <v>0</v>
      </c>
      <c r="AR64" s="310" cm="1">
        <f t="array" ref="AR64">INDEX('생산수량Back-Data'!$B$5:$AAA$10041,
       MATCH($B63,'생산수량Back-Data'!$B$5:$B$10041,0)+2,
       MATCH(AR$3,'생산수량Back-Data'!$B$3:$AAA$3,0))</f>
        <v>0</v>
      </c>
      <c r="AS64" s="310" cm="1">
        <f t="array" ref="AS64">INDEX('생산수량Back-Data'!$B$5:$AAA$10041,
       MATCH($B63,'생산수량Back-Data'!$B$5:$B$10041,0)+2,
       MATCH(AS$3,'생산수량Back-Data'!$B$3:$AAA$3,0))</f>
        <v>0</v>
      </c>
      <c r="AT64" s="324" cm="1">
        <f t="array" ref="AT64">INDEX('생산수량Back-Data'!$B$5:$AAA$10041,
       MATCH($B63,'생산수량Back-Data'!$B$5:$B$10041,0)+2,
       MATCH(AT$3,'생산수량Back-Data'!$B$3:$AAA$3,0))</f>
        <v>0</v>
      </c>
    </row>
    <row r="65" spans="2:46" ht="32.1" customHeight="1" x14ac:dyDescent="0.3">
      <c r="B65" s="444" t="s">
        <v>52</v>
      </c>
      <c r="C65" s="444" t="s">
        <v>185</v>
      </c>
      <c r="D65" s="444" t="s">
        <v>197</v>
      </c>
      <c r="E65" s="438">
        <f>ABS(SUMIFS('Fixture 총 발주수량'!Z:Z,'Fixture 총 발주수량'!B:B,'후공정(애칭)생산계획'!B65,'Fixture 총 발주수량'!Z:Z,"&lt;0"))</f>
        <v>1440</v>
      </c>
      <c r="F65" s="431">
        <f>G65-E65</f>
        <v>-1440</v>
      </c>
      <c r="G65" s="437">
        <f>SUMIF(P65:AT65, "&gt;0")</f>
        <v>0</v>
      </c>
      <c r="H65" s="437">
        <f>SUMIF(P66:AT66, "&gt;0")</f>
        <v>0</v>
      </c>
      <c r="I65" s="442">
        <f>IFERROR(H65/G65,)</f>
        <v>0</v>
      </c>
      <c r="J65" s="437">
        <f ca="1">IFERROR(SUMIF('Fixture 총 발주수량'!B:AG,'후공정(애칭)생산계획'!B65,'Fixture 총 발주수량'!AA:AA),)</f>
        <v>0</v>
      </c>
      <c r="K65" s="458">
        <f>ROUNDUP(E65/2000,)</f>
        <v>1</v>
      </c>
      <c r="L65" s="458">
        <f>L63+K65</f>
        <v>56</v>
      </c>
      <c r="M65" s="458">
        <f>L65+K65</f>
        <v>57</v>
      </c>
      <c r="N65" s="438">
        <f>N63+K65</f>
        <v>56</v>
      </c>
      <c r="O65" s="306" t="s">
        <v>264</v>
      </c>
      <c r="P65" s="325"/>
      <c r="Q65" s="312"/>
      <c r="R65" s="312"/>
      <c r="S65" s="312"/>
      <c r="T65" s="312"/>
      <c r="U65" s="312"/>
      <c r="V65" s="312"/>
      <c r="W65" s="312"/>
      <c r="X65" s="312"/>
      <c r="Y65" s="312"/>
      <c r="Z65" s="312"/>
      <c r="AA65" s="312"/>
      <c r="AB65" s="312"/>
      <c r="AC65" s="312"/>
      <c r="AD65" s="312"/>
      <c r="AE65" s="312"/>
      <c r="AF65" s="312"/>
      <c r="AG65" s="312"/>
      <c r="AH65" s="312"/>
      <c r="AI65" s="312"/>
      <c r="AJ65" s="312"/>
      <c r="AK65" s="312"/>
      <c r="AL65" s="312"/>
      <c r="AM65" s="312"/>
      <c r="AN65" s="312"/>
      <c r="AO65" s="312"/>
      <c r="AP65" s="312"/>
      <c r="AQ65" s="312"/>
      <c r="AR65" s="312"/>
      <c r="AS65" s="312"/>
      <c r="AT65" s="313"/>
    </row>
    <row r="66" spans="2:46" ht="32.1" customHeight="1" x14ac:dyDescent="0.3">
      <c r="B66" s="445"/>
      <c r="C66" s="445"/>
      <c r="D66" s="445"/>
      <c r="E66" s="439"/>
      <c r="F66" s="459"/>
      <c r="G66" s="436"/>
      <c r="H66" s="436"/>
      <c r="I66" s="443"/>
      <c r="J66" s="436"/>
      <c r="K66" s="458"/>
      <c r="L66" s="458"/>
      <c r="M66" s="458"/>
      <c r="N66" s="439"/>
      <c r="O66" s="306" t="s">
        <v>266</v>
      </c>
      <c r="P66" s="323" cm="1">
        <f t="array" ref="P66">INDEX('생산수량Back-Data'!$B$5:$AAA$10041,
       MATCH($B65,'생산수량Back-Data'!$B$5:$B$10041,0)+2,
       MATCH(P$3,'생산수량Back-Data'!$B$3:$AAA$3,0))</f>
        <v>0</v>
      </c>
      <c r="Q66" s="310" cm="1">
        <f t="array" ref="Q66">INDEX('생산수량Back-Data'!$B$5:$AAA$10041,
       MATCH($B65,'생산수량Back-Data'!$B$5:$B$10041,0)+2,
       MATCH(Q$3,'생산수량Back-Data'!$B$3:$AAA$3,0))</f>
        <v>0</v>
      </c>
      <c r="R66" s="310" cm="1">
        <f t="array" ref="R66">INDEX('생산수량Back-Data'!$B$5:$AAA$10041,
       MATCH($B65,'생산수량Back-Data'!$B$5:$B$10041,0)+2,
       MATCH(R$3,'생산수량Back-Data'!$B$3:$AAA$3,0))</f>
        <v>0</v>
      </c>
      <c r="S66" s="310" cm="1">
        <f t="array" ref="S66">INDEX('생산수량Back-Data'!$B$5:$AAA$10041,
       MATCH($B65,'생산수량Back-Data'!$B$5:$B$10041,0)+2,
       MATCH(S$3,'생산수량Back-Data'!$B$3:$AAA$3,0))</f>
        <v>0</v>
      </c>
      <c r="T66" s="310" cm="1">
        <f t="array" ref="T66">INDEX('생산수량Back-Data'!$B$5:$AAA$10041,
       MATCH($B65,'생산수량Back-Data'!$B$5:$B$10041,0)+2,
       MATCH(T$3,'생산수량Back-Data'!$B$3:$AAA$3,0))</f>
        <v>0</v>
      </c>
      <c r="U66" s="310" cm="1">
        <f t="array" ref="U66">INDEX('생산수량Back-Data'!$B$5:$AAA$10041,
       MATCH($B65,'생산수량Back-Data'!$B$5:$B$10041,0)+2,
       MATCH(U$3,'생산수량Back-Data'!$B$3:$AAA$3,0))</f>
        <v>0</v>
      </c>
      <c r="V66" s="310" cm="1">
        <f t="array" ref="V66">INDEX('생산수량Back-Data'!$B$5:$AAA$10041,
       MATCH($B65,'생산수량Back-Data'!$B$5:$B$10041,0)+2,
       MATCH(V$3,'생산수량Back-Data'!$B$3:$AAA$3,0))</f>
        <v>0</v>
      </c>
      <c r="W66" s="310" cm="1">
        <f t="array" ref="W66">INDEX('생산수량Back-Data'!$B$5:$AAA$10041,
       MATCH($B65,'생산수량Back-Data'!$B$5:$B$10041,0)+2,
       MATCH(W$3,'생산수량Back-Data'!$B$3:$AAA$3,0))</f>
        <v>0</v>
      </c>
      <c r="X66" s="310" cm="1">
        <f t="array" ref="X66">INDEX('생산수량Back-Data'!$B$5:$AAA$10041,
       MATCH($B65,'생산수량Back-Data'!$B$5:$B$10041,0)+2,
       MATCH(X$3,'생산수량Back-Data'!$B$3:$AAA$3,0))</f>
        <v>0</v>
      </c>
      <c r="Y66" s="310" cm="1">
        <f t="array" ref="Y66">INDEX('생산수량Back-Data'!$B$5:$AAA$10041,
       MATCH($B65,'생산수량Back-Data'!$B$5:$B$10041,0)+2,
       MATCH(Y$3,'생산수량Back-Data'!$B$3:$AAA$3,0))</f>
        <v>0</v>
      </c>
      <c r="Z66" s="310" cm="1">
        <f t="array" ref="Z66">INDEX('생산수량Back-Data'!$B$5:$AAA$10041,
       MATCH($B65,'생산수량Back-Data'!$B$5:$B$10041,0)+2,
       MATCH(Z$3,'생산수량Back-Data'!$B$3:$AAA$3,0))</f>
        <v>0</v>
      </c>
      <c r="AA66" s="310" cm="1">
        <f t="array" ref="AA66">INDEX('생산수량Back-Data'!$B$5:$AAA$10041,
       MATCH($B65,'생산수량Back-Data'!$B$5:$B$10041,0)+2,
       MATCH(AA$3,'생산수량Back-Data'!$B$3:$AAA$3,0))</f>
        <v>0</v>
      </c>
      <c r="AB66" s="310" cm="1">
        <f t="array" ref="AB66">INDEX('생산수량Back-Data'!$B$5:$AAA$10041,
       MATCH($B65,'생산수량Back-Data'!$B$5:$B$10041,0)+2,
       MATCH(AB$3,'생산수량Back-Data'!$B$3:$AAA$3,0))</f>
        <v>0</v>
      </c>
      <c r="AC66" s="310" cm="1">
        <f t="array" ref="AC66">INDEX('생산수량Back-Data'!$B$5:$AAA$10041,
       MATCH($B65,'생산수량Back-Data'!$B$5:$B$10041,0)+2,
       MATCH(AC$3,'생산수량Back-Data'!$B$3:$AAA$3,0))</f>
        <v>0</v>
      </c>
      <c r="AD66" s="310" cm="1">
        <f t="array" ref="AD66">INDEX('생산수량Back-Data'!$B$5:$AAA$10041,
       MATCH($B65,'생산수량Back-Data'!$B$5:$B$10041,0)+2,
       MATCH(AD$3,'생산수량Back-Data'!$B$3:$AAA$3,0))</f>
        <v>0</v>
      </c>
      <c r="AE66" s="310" cm="1">
        <f t="array" ref="AE66">INDEX('생산수량Back-Data'!$B$5:$AAA$10041,
       MATCH($B65,'생산수량Back-Data'!$B$5:$B$10041,0)+2,
       MATCH(AE$3,'생산수량Back-Data'!$B$3:$AAA$3,0))</f>
        <v>0</v>
      </c>
      <c r="AF66" s="310" cm="1">
        <f t="array" ref="AF66">INDEX('생산수량Back-Data'!$B$5:$AAA$10041,
       MATCH($B65,'생산수량Back-Data'!$B$5:$B$10041,0)+2,
       MATCH(AF$3,'생산수량Back-Data'!$B$3:$AAA$3,0))</f>
        <v>0</v>
      </c>
      <c r="AG66" s="310" cm="1">
        <f t="array" ref="AG66">INDEX('생산수량Back-Data'!$B$5:$AAA$10041,
       MATCH($B65,'생산수량Back-Data'!$B$5:$B$10041,0)+2,
       MATCH(AG$3,'생산수량Back-Data'!$B$3:$AAA$3,0))</f>
        <v>0</v>
      </c>
      <c r="AH66" s="310" cm="1">
        <f t="array" ref="AH66">INDEX('생산수량Back-Data'!$B$5:$AAA$10041,
       MATCH($B65,'생산수량Back-Data'!$B$5:$B$10041,0)+2,
       MATCH(AH$3,'생산수량Back-Data'!$B$3:$AAA$3,0))</f>
        <v>0</v>
      </c>
      <c r="AI66" s="310" cm="1">
        <f t="array" ref="AI66">INDEX('생산수량Back-Data'!$B$5:$AAA$10041,
       MATCH($B65,'생산수량Back-Data'!$B$5:$B$10041,0)+2,
       MATCH(AI$3,'생산수량Back-Data'!$B$3:$AAA$3,0))</f>
        <v>0</v>
      </c>
      <c r="AJ66" s="310" cm="1">
        <f t="array" ref="AJ66">INDEX('생산수량Back-Data'!$B$5:$AAA$10041,
       MATCH($B65,'생산수량Back-Data'!$B$5:$B$10041,0)+2,
       MATCH(AJ$3,'생산수량Back-Data'!$B$3:$AAA$3,0))</f>
        <v>0</v>
      </c>
      <c r="AK66" s="310" cm="1">
        <f t="array" ref="AK66">INDEX('생산수량Back-Data'!$B$5:$AAA$10041,
       MATCH($B65,'생산수량Back-Data'!$B$5:$B$10041,0)+2,
       MATCH(AK$3,'생산수량Back-Data'!$B$3:$AAA$3,0))</f>
        <v>0</v>
      </c>
      <c r="AL66" s="310" cm="1">
        <f t="array" ref="AL66">INDEX('생산수량Back-Data'!$B$5:$AAA$10041,
       MATCH($B65,'생산수량Back-Data'!$B$5:$B$10041,0)+2,
       MATCH(AL$3,'생산수량Back-Data'!$B$3:$AAA$3,0))</f>
        <v>0</v>
      </c>
      <c r="AM66" s="310" cm="1">
        <f t="array" ref="AM66">INDEX('생산수량Back-Data'!$B$5:$AAA$10041,
       MATCH($B65,'생산수량Back-Data'!$B$5:$B$10041,0)+2,
       MATCH(AM$3,'생산수량Back-Data'!$B$3:$AAA$3,0))</f>
        <v>0</v>
      </c>
      <c r="AN66" s="310" cm="1">
        <f t="array" ref="AN66">INDEX('생산수량Back-Data'!$B$5:$AAA$10041,
       MATCH($B65,'생산수량Back-Data'!$B$5:$B$10041,0)+2,
       MATCH(AN$3,'생산수량Back-Data'!$B$3:$AAA$3,0))</f>
        <v>0</v>
      </c>
      <c r="AO66" s="310" cm="1">
        <f t="array" ref="AO66">INDEX('생산수량Back-Data'!$B$5:$AAA$10041,
       MATCH($B65,'생산수량Back-Data'!$B$5:$B$10041,0)+2,
       MATCH(AO$3,'생산수량Back-Data'!$B$3:$AAA$3,0))</f>
        <v>0</v>
      </c>
      <c r="AP66" s="310" cm="1">
        <f t="array" ref="AP66">INDEX('생산수량Back-Data'!$B$5:$AAA$10041,
       MATCH($B65,'생산수량Back-Data'!$B$5:$B$10041,0)+2,
       MATCH(AP$3,'생산수량Back-Data'!$B$3:$AAA$3,0))</f>
        <v>0</v>
      </c>
      <c r="AQ66" s="310" cm="1">
        <f t="array" ref="AQ66">INDEX('생산수량Back-Data'!$B$5:$AAA$10041,
       MATCH($B65,'생산수량Back-Data'!$B$5:$B$10041,0)+2,
       MATCH(AQ$3,'생산수량Back-Data'!$B$3:$AAA$3,0))</f>
        <v>0</v>
      </c>
      <c r="AR66" s="310" cm="1">
        <f t="array" ref="AR66">INDEX('생산수량Back-Data'!$B$5:$AAA$10041,
       MATCH($B65,'생산수량Back-Data'!$B$5:$B$10041,0)+2,
       MATCH(AR$3,'생산수량Back-Data'!$B$3:$AAA$3,0))</f>
        <v>0</v>
      </c>
      <c r="AS66" s="310" cm="1">
        <f t="array" ref="AS66">INDEX('생산수량Back-Data'!$B$5:$AAA$10041,
       MATCH($B65,'생산수량Back-Data'!$B$5:$B$10041,0)+2,
       MATCH(AS$3,'생산수량Back-Data'!$B$3:$AAA$3,0))</f>
        <v>0</v>
      </c>
      <c r="AT66" s="324" cm="1">
        <f t="array" ref="AT66">INDEX('생산수량Back-Data'!$B$5:$AAA$10041,
       MATCH($B65,'생산수량Back-Data'!$B$5:$B$10041,0)+2,
       MATCH(AT$3,'생산수량Back-Data'!$B$3:$AAA$3,0))</f>
        <v>0</v>
      </c>
    </row>
    <row r="67" spans="2:46" ht="32.1" customHeight="1" x14ac:dyDescent="0.3">
      <c r="B67" s="444" t="s">
        <v>57</v>
      </c>
      <c r="C67" s="444" t="s">
        <v>185</v>
      </c>
      <c r="D67" s="444" t="s">
        <v>197</v>
      </c>
      <c r="E67" s="438">
        <f>ABS(SUMIFS('Fixture 총 발주수량'!Z:Z,'Fixture 총 발주수량'!B:B,'후공정(애칭)생산계획'!B67,'Fixture 총 발주수량'!Z:Z,"&lt;0"))</f>
        <v>2158</v>
      </c>
      <c r="F67" s="431">
        <f>G67-E67</f>
        <v>-2158</v>
      </c>
      <c r="G67" s="437">
        <f>SUMIF(P67:AT67, "&gt;0")</f>
        <v>0</v>
      </c>
      <c r="H67" s="437">
        <f>SUMIF(P68:AT68, "&gt;0")</f>
        <v>0</v>
      </c>
      <c r="I67" s="442">
        <f>IFERROR(H67/G67,)</f>
        <v>0</v>
      </c>
      <c r="J67" s="437">
        <f ca="1">IFERROR(SUMIF('Fixture 총 발주수량'!B:AG,'후공정(애칭)생산계획'!B67,'Fixture 총 발주수량'!AA:AA),)</f>
        <v>0</v>
      </c>
      <c r="K67" s="458">
        <f>ROUNDUP(E67/2000,)</f>
        <v>2</v>
      </c>
      <c r="L67" s="458">
        <f>L65+K67</f>
        <v>58</v>
      </c>
      <c r="M67" s="458">
        <f>L67+K67</f>
        <v>60</v>
      </c>
      <c r="N67" s="438">
        <f>N65+K67</f>
        <v>58</v>
      </c>
      <c r="O67" s="306" t="s">
        <v>264</v>
      </c>
      <c r="P67" s="325"/>
      <c r="Q67" s="312"/>
      <c r="R67" s="312"/>
      <c r="S67" s="312"/>
      <c r="T67" s="312"/>
      <c r="U67" s="312"/>
      <c r="V67" s="312"/>
      <c r="W67" s="312"/>
      <c r="X67" s="312"/>
      <c r="Y67" s="312"/>
      <c r="Z67" s="312"/>
      <c r="AA67" s="312"/>
      <c r="AB67" s="312"/>
      <c r="AC67" s="312"/>
      <c r="AD67" s="312"/>
      <c r="AE67" s="312"/>
      <c r="AF67" s="312"/>
      <c r="AG67" s="312"/>
      <c r="AH67" s="312"/>
      <c r="AI67" s="312"/>
      <c r="AJ67" s="312"/>
      <c r="AK67" s="312"/>
      <c r="AL67" s="312"/>
      <c r="AM67" s="312"/>
      <c r="AN67" s="312"/>
      <c r="AO67" s="312"/>
      <c r="AP67" s="312"/>
      <c r="AQ67" s="312"/>
      <c r="AR67" s="312"/>
      <c r="AS67" s="312"/>
      <c r="AT67" s="313"/>
    </row>
    <row r="68" spans="2:46" ht="32.1" customHeight="1" thickBot="1" x14ac:dyDescent="0.35">
      <c r="B68" s="454"/>
      <c r="C68" s="454"/>
      <c r="D68" s="454"/>
      <c r="E68" s="450"/>
      <c r="F68" s="461"/>
      <c r="G68" s="452"/>
      <c r="H68" s="452"/>
      <c r="I68" s="453"/>
      <c r="J68" s="452"/>
      <c r="K68" s="438"/>
      <c r="L68" s="438"/>
      <c r="M68" s="438"/>
      <c r="N68" s="450"/>
      <c r="O68" s="305" t="s">
        <v>266</v>
      </c>
      <c r="P68" s="323" cm="1">
        <f t="array" ref="P68">INDEX('생산수량Back-Data'!$B$5:$AAA$10041,
       MATCH($B67,'생산수량Back-Data'!$B$5:$B$10041,0)+2,
       MATCH(P$3,'생산수량Back-Data'!$B$3:$AAA$3,0))</f>
        <v>0</v>
      </c>
      <c r="Q68" s="310" cm="1">
        <f t="array" ref="Q68">INDEX('생산수량Back-Data'!$B$5:$AAA$10041,
       MATCH($B67,'생산수량Back-Data'!$B$5:$B$10041,0)+2,
       MATCH(Q$3,'생산수량Back-Data'!$B$3:$AAA$3,0))</f>
        <v>0</v>
      </c>
      <c r="R68" s="310" cm="1">
        <f t="array" ref="R68">INDEX('생산수량Back-Data'!$B$5:$AAA$10041,
       MATCH($B67,'생산수량Back-Data'!$B$5:$B$10041,0)+2,
       MATCH(R$3,'생산수량Back-Data'!$B$3:$AAA$3,0))</f>
        <v>0</v>
      </c>
      <c r="S68" s="310" cm="1">
        <f t="array" ref="S68">INDEX('생산수량Back-Data'!$B$5:$AAA$10041,
       MATCH($B67,'생산수량Back-Data'!$B$5:$B$10041,0)+2,
       MATCH(S$3,'생산수량Back-Data'!$B$3:$AAA$3,0))</f>
        <v>0</v>
      </c>
      <c r="T68" s="310" cm="1">
        <f t="array" ref="T68">INDEX('생산수량Back-Data'!$B$5:$AAA$10041,
       MATCH($B67,'생산수량Back-Data'!$B$5:$B$10041,0)+2,
       MATCH(T$3,'생산수량Back-Data'!$B$3:$AAA$3,0))</f>
        <v>0</v>
      </c>
      <c r="U68" s="310" cm="1">
        <f t="array" ref="U68">INDEX('생산수량Back-Data'!$B$5:$AAA$10041,
       MATCH($B67,'생산수량Back-Data'!$B$5:$B$10041,0)+2,
       MATCH(U$3,'생산수량Back-Data'!$B$3:$AAA$3,0))</f>
        <v>0</v>
      </c>
      <c r="V68" s="310" cm="1">
        <f t="array" ref="V68">INDEX('생산수량Back-Data'!$B$5:$AAA$10041,
       MATCH($B67,'생산수량Back-Data'!$B$5:$B$10041,0)+2,
       MATCH(V$3,'생산수량Back-Data'!$B$3:$AAA$3,0))</f>
        <v>0</v>
      </c>
      <c r="W68" s="310" cm="1">
        <f t="array" ref="W68">INDEX('생산수량Back-Data'!$B$5:$AAA$10041,
       MATCH($B67,'생산수량Back-Data'!$B$5:$B$10041,0)+2,
       MATCH(W$3,'생산수량Back-Data'!$B$3:$AAA$3,0))</f>
        <v>0</v>
      </c>
      <c r="X68" s="310" cm="1">
        <f t="array" ref="X68">INDEX('생산수량Back-Data'!$B$5:$AAA$10041,
       MATCH($B67,'생산수량Back-Data'!$B$5:$B$10041,0)+2,
       MATCH(X$3,'생산수량Back-Data'!$B$3:$AAA$3,0))</f>
        <v>0</v>
      </c>
      <c r="Y68" s="310" cm="1">
        <f t="array" ref="Y68">INDEX('생산수량Back-Data'!$B$5:$AAA$10041,
       MATCH($B67,'생산수량Back-Data'!$B$5:$B$10041,0)+2,
       MATCH(Y$3,'생산수량Back-Data'!$B$3:$AAA$3,0))</f>
        <v>0</v>
      </c>
      <c r="Z68" s="310" cm="1">
        <f t="array" ref="Z68">INDEX('생산수량Back-Data'!$B$5:$AAA$10041,
       MATCH($B67,'생산수량Back-Data'!$B$5:$B$10041,0)+2,
       MATCH(Z$3,'생산수량Back-Data'!$B$3:$AAA$3,0))</f>
        <v>0</v>
      </c>
      <c r="AA68" s="310" cm="1">
        <f t="array" ref="AA68">INDEX('생산수량Back-Data'!$B$5:$AAA$10041,
       MATCH($B67,'생산수량Back-Data'!$B$5:$B$10041,0)+2,
       MATCH(AA$3,'생산수량Back-Data'!$B$3:$AAA$3,0))</f>
        <v>0</v>
      </c>
      <c r="AB68" s="310" cm="1">
        <f t="array" ref="AB68">INDEX('생산수량Back-Data'!$B$5:$AAA$10041,
       MATCH($B67,'생산수량Back-Data'!$B$5:$B$10041,0)+2,
       MATCH(AB$3,'생산수량Back-Data'!$B$3:$AAA$3,0))</f>
        <v>0</v>
      </c>
      <c r="AC68" s="310" cm="1">
        <f t="array" ref="AC68">INDEX('생산수량Back-Data'!$B$5:$AAA$10041,
       MATCH($B67,'생산수량Back-Data'!$B$5:$B$10041,0)+2,
       MATCH(AC$3,'생산수량Back-Data'!$B$3:$AAA$3,0))</f>
        <v>0</v>
      </c>
      <c r="AD68" s="310" cm="1">
        <f t="array" ref="AD68">INDEX('생산수량Back-Data'!$B$5:$AAA$10041,
       MATCH($B67,'생산수량Back-Data'!$B$5:$B$10041,0)+2,
       MATCH(AD$3,'생산수량Back-Data'!$B$3:$AAA$3,0))</f>
        <v>0</v>
      </c>
      <c r="AE68" s="310" cm="1">
        <f t="array" ref="AE68">INDEX('생산수량Back-Data'!$B$5:$AAA$10041,
       MATCH($B67,'생산수량Back-Data'!$B$5:$B$10041,0)+2,
       MATCH(AE$3,'생산수량Back-Data'!$B$3:$AAA$3,0))</f>
        <v>0</v>
      </c>
      <c r="AF68" s="310" cm="1">
        <f t="array" ref="AF68">INDEX('생산수량Back-Data'!$B$5:$AAA$10041,
       MATCH($B67,'생산수량Back-Data'!$B$5:$B$10041,0)+2,
       MATCH(AF$3,'생산수량Back-Data'!$B$3:$AAA$3,0))</f>
        <v>0</v>
      </c>
      <c r="AG68" s="310" cm="1">
        <f t="array" ref="AG68">INDEX('생산수량Back-Data'!$B$5:$AAA$10041,
       MATCH($B67,'생산수량Back-Data'!$B$5:$B$10041,0)+2,
       MATCH(AG$3,'생산수량Back-Data'!$B$3:$AAA$3,0))</f>
        <v>0</v>
      </c>
      <c r="AH68" s="310" cm="1">
        <f t="array" ref="AH68">INDEX('생산수량Back-Data'!$B$5:$AAA$10041,
       MATCH($B67,'생산수량Back-Data'!$B$5:$B$10041,0)+2,
       MATCH(AH$3,'생산수량Back-Data'!$B$3:$AAA$3,0))</f>
        <v>0</v>
      </c>
      <c r="AI68" s="310" cm="1">
        <f t="array" ref="AI68">INDEX('생산수량Back-Data'!$B$5:$AAA$10041,
       MATCH($B67,'생산수량Back-Data'!$B$5:$B$10041,0)+2,
       MATCH(AI$3,'생산수량Back-Data'!$B$3:$AAA$3,0))</f>
        <v>0</v>
      </c>
      <c r="AJ68" s="310" cm="1">
        <f t="array" ref="AJ68">INDEX('생산수량Back-Data'!$B$5:$AAA$10041,
       MATCH($B67,'생산수량Back-Data'!$B$5:$B$10041,0)+2,
       MATCH(AJ$3,'생산수량Back-Data'!$B$3:$AAA$3,0))</f>
        <v>0</v>
      </c>
      <c r="AK68" s="310" cm="1">
        <f t="array" ref="AK68">INDEX('생산수량Back-Data'!$B$5:$AAA$10041,
       MATCH($B67,'생산수량Back-Data'!$B$5:$B$10041,0)+2,
       MATCH(AK$3,'생산수량Back-Data'!$B$3:$AAA$3,0))</f>
        <v>0</v>
      </c>
      <c r="AL68" s="310" cm="1">
        <f t="array" ref="AL68">INDEX('생산수량Back-Data'!$B$5:$AAA$10041,
       MATCH($B67,'생산수량Back-Data'!$B$5:$B$10041,0)+2,
       MATCH(AL$3,'생산수량Back-Data'!$B$3:$AAA$3,0))</f>
        <v>0</v>
      </c>
      <c r="AM68" s="310" cm="1">
        <f t="array" ref="AM68">INDEX('생산수량Back-Data'!$B$5:$AAA$10041,
       MATCH($B67,'생산수량Back-Data'!$B$5:$B$10041,0)+2,
       MATCH(AM$3,'생산수량Back-Data'!$B$3:$AAA$3,0))</f>
        <v>0</v>
      </c>
      <c r="AN68" s="310" cm="1">
        <f t="array" ref="AN68">INDEX('생산수량Back-Data'!$B$5:$AAA$10041,
       MATCH($B67,'생산수량Back-Data'!$B$5:$B$10041,0)+2,
       MATCH(AN$3,'생산수량Back-Data'!$B$3:$AAA$3,0))</f>
        <v>0</v>
      </c>
      <c r="AO68" s="310" cm="1">
        <f t="array" ref="AO68">INDEX('생산수량Back-Data'!$B$5:$AAA$10041,
       MATCH($B67,'생산수량Back-Data'!$B$5:$B$10041,0)+2,
       MATCH(AO$3,'생산수량Back-Data'!$B$3:$AAA$3,0))</f>
        <v>0</v>
      </c>
      <c r="AP68" s="310" cm="1">
        <f t="array" ref="AP68">INDEX('생산수량Back-Data'!$B$5:$AAA$10041,
       MATCH($B67,'생산수량Back-Data'!$B$5:$B$10041,0)+2,
       MATCH(AP$3,'생산수량Back-Data'!$B$3:$AAA$3,0))</f>
        <v>0</v>
      </c>
      <c r="AQ68" s="310" cm="1">
        <f t="array" ref="AQ68">INDEX('생산수량Back-Data'!$B$5:$AAA$10041,
       MATCH($B67,'생산수량Back-Data'!$B$5:$B$10041,0)+2,
       MATCH(AQ$3,'생산수량Back-Data'!$B$3:$AAA$3,0))</f>
        <v>0</v>
      </c>
      <c r="AR68" s="310" cm="1">
        <f t="array" ref="AR68">INDEX('생산수량Back-Data'!$B$5:$AAA$10041,
       MATCH($B67,'생산수량Back-Data'!$B$5:$B$10041,0)+2,
       MATCH(AR$3,'생산수량Back-Data'!$B$3:$AAA$3,0))</f>
        <v>0</v>
      </c>
      <c r="AS68" s="310" cm="1">
        <f t="array" ref="AS68">INDEX('생산수량Back-Data'!$B$5:$AAA$10041,
       MATCH($B67,'생산수량Back-Data'!$B$5:$B$10041,0)+2,
       MATCH(AS$3,'생산수량Back-Data'!$B$3:$AAA$3,0))</f>
        <v>0</v>
      </c>
      <c r="AT68" s="324" cm="1">
        <f t="array" ref="AT68">INDEX('생산수량Back-Data'!$B$5:$AAA$10041,
       MATCH($B67,'생산수량Back-Data'!$B$5:$B$10041,0)+2,
       MATCH(AT$3,'생산수량Back-Data'!$B$3:$AAA$3,0))</f>
        <v>0</v>
      </c>
    </row>
    <row r="69" spans="2:46" ht="32.1" customHeight="1" x14ac:dyDescent="0.3">
      <c r="B69" s="449" t="s">
        <v>58</v>
      </c>
      <c r="C69" s="449" t="s">
        <v>185</v>
      </c>
      <c r="D69" s="449" t="s">
        <v>198</v>
      </c>
      <c r="E69" s="446">
        <f>ABS(SUMIFS('Fixture 총 발주수량'!Z:Z,'Fixture 총 발주수량'!B:B,'후공정(애칭)생산계획'!B69,'Fixture 총 발주수량'!Z:Z,"&lt;0"))</f>
        <v>105</v>
      </c>
      <c r="F69" s="434">
        <f>G69-E69</f>
        <v>-105</v>
      </c>
      <c r="G69" s="435">
        <f>SUMIF(P69:AT69, "&gt;0")</f>
        <v>0</v>
      </c>
      <c r="H69" s="435">
        <f>SUMIF(P70:AT70, "&gt;0")</f>
        <v>0</v>
      </c>
      <c r="I69" s="448">
        <f>IFERROR(H69/G69,)</f>
        <v>0</v>
      </c>
      <c r="J69" s="435">
        <f ca="1">IFERROR(SUMIF('Fixture 총 발주수량'!B:AG,'후공정(애칭)생산계획'!B69,'Fixture 총 발주수량'!AA:AA),)</f>
        <v>0</v>
      </c>
      <c r="K69" s="460">
        <f>ROUNDUP(E69/2000,)</f>
        <v>1</v>
      </c>
      <c r="L69" s="460">
        <f>L67+K69</f>
        <v>59</v>
      </c>
      <c r="M69" s="460">
        <f>L69+K69</f>
        <v>60</v>
      </c>
      <c r="N69" s="446">
        <f>N67+K69</f>
        <v>59</v>
      </c>
      <c r="O69" s="336" t="s">
        <v>264</v>
      </c>
      <c r="P69" s="419"/>
      <c r="Q69" s="417"/>
      <c r="R69" s="417"/>
      <c r="S69" s="417"/>
      <c r="T69" s="417"/>
      <c r="U69" s="417"/>
      <c r="V69" s="417"/>
      <c r="W69" s="417"/>
      <c r="X69" s="417"/>
      <c r="Y69" s="417"/>
      <c r="Z69" s="417"/>
      <c r="AA69" s="417"/>
      <c r="AB69" s="417"/>
      <c r="AC69" s="417"/>
      <c r="AD69" s="417"/>
      <c r="AE69" s="417"/>
      <c r="AF69" s="417"/>
      <c r="AG69" s="417"/>
      <c r="AH69" s="417"/>
      <c r="AI69" s="417"/>
      <c r="AJ69" s="417"/>
      <c r="AK69" s="417"/>
      <c r="AL69" s="417"/>
      <c r="AM69" s="417"/>
      <c r="AN69" s="417"/>
      <c r="AO69" s="417"/>
      <c r="AP69" s="417"/>
      <c r="AQ69" s="417"/>
      <c r="AR69" s="417"/>
      <c r="AS69" s="417"/>
      <c r="AT69" s="418"/>
    </row>
    <row r="70" spans="2:46" ht="32.1" customHeight="1" x14ac:dyDescent="0.3">
      <c r="B70" s="445"/>
      <c r="C70" s="445"/>
      <c r="D70" s="445"/>
      <c r="E70" s="439"/>
      <c r="F70" s="459"/>
      <c r="G70" s="436"/>
      <c r="H70" s="436"/>
      <c r="I70" s="443"/>
      <c r="J70" s="436"/>
      <c r="K70" s="458"/>
      <c r="L70" s="458"/>
      <c r="M70" s="458"/>
      <c r="N70" s="439"/>
      <c r="O70" s="306" t="s">
        <v>266</v>
      </c>
      <c r="P70" s="327" cm="1">
        <f t="array" ref="P70">INDEX('생산수량Back-Data'!$B$5:$AAA$10041,
       MATCH($B69,'생산수량Back-Data'!$B$5:$B$10041,0)+2,
       MATCH(P$3,'생산수량Back-Data'!$B$3:$AAA$3,0))</f>
        <v>0</v>
      </c>
      <c r="Q70" s="328" cm="1">
        <f t="array" ref="Q70">INDEX('생산수량Back-Data'!$B$5:$AAA$10041,
       MATCH($B69,'생산수량Back-Data'!$B$5:$B$10041,0)+2,
       MATCH(Q$3,'생산수량Back-Data'!$B$3:$AAA$3,0))</f>
        <v>0</v>
      </c>
      <c r="R70" s="328" cm="1">
        <f t="array" ref="R70">INDEX('생산수량Back-Data'!$B$5:$AAA$10041,
       MATCH($B69,'생산수량Back-Data'!$B$5:$B$10041,0)+2,
       MATCH(R$3,'생산수량Back-Data'!$B$3:$AAA$3,0))</f>
        <v>0</v>
      </c>
      <c r="S70" s="328" cm="1">
        <f t="array" ref="S70">INDEX('생산수량Back-Data'!$B$5:$AAA$10041,
       MATCH($B69,'생산수량Back-Data'!$B$5:$B$10041,0)+2,
       MATCH(S$3,'생산수량Back-Data'!$B$3:$AAA$3,0))</f>
        <v>0</v>
      </c>
      <c r="T70" s="328" cm="1">
        <f t="array" ref="T70">INDEX('생산수량Back-Data'!$B$5:$AAA$10041,
       MATCH($B69,'생산수량Back-Data'!$B$5:$B$10041,0)+2,
       MATCH(T$3,'생산수량Back-Data'!$B$3:$AAA$3,0))</f>
        <v>0</v>
      </c>
      <c r="U70" s="328" cm="1">
        <f t="array" ref="U70">INDEX('생산수량Back-Data'!$B$5:$AAA$10041,
       MATCH($B69,'생산수량Back-Data'!$B$5:$B$10041,0)+2,
       MATCH(U$3,'생산수량Back-Data'!$B$3:$AAA$3,0))</f>
        <v>0</v>
      </c>
      <c r="V70" s="328" cm="1">
        <f t="array" ref="V70">INDEX('생산수량Back-Data'!$B$5:$AAA$10041,
       MATCH($B69,'생산수량Back-Data'!$B$5:$B$10041,0)+2,
       MATCH(V$3,'생산수량Back-Data'!$B$3:$AAA$3,0))</f>
        <v>0</v>
      </c>
      <c r="W70" s="328" cm="1">
        <f t="array" ref="W70">INDEX('생산수량Back-Data'!$B$5:$AAA$10041,
       MATCH($B69,'생산수량Back-Data'!$B$5:$B$10041,0)+2,
       MATCH(W$3,'생산수량Back-Data'!$B$3:$AAA$3,0))</f>
        <v>0</v>
      </c>
      <c r="X70" s="328" cm="1">
        <f t="array" ref="X70">INDEX('생산수량Back-Data'!$B$5:$AAA$10041,
       MATCH($B69,'생산수량Back-Data'!$B$5:$B$10041,0)+2,
       MATCH(X$3,'생산수량Back-Data'!$B$3:$AAA$3,0))</f>
        <v>0</v>
      </c>
      <c r="Y70" s="328" cm="1">
        <f t="array" ref="Y70">INDEX('생산수량Back-Data'!$B$5:$AAA$10041,
       MATCH($B69,'생산수량Back-Data'!$B$5:$B$10041,0)+2,
       MATCH(Y$3,'생산수량Back-Data'!$B$3:$AAA$3,0))</f>
        <v>0</v>
      </c>
      <c r="Z70" s="328" cm="1">
        <f t="array" ref="Z70">INDEX('생산수량Back-Data'!$B$5:$AAA$10041,
       MATCH($B69,'생산수량Back-Data'!$B$5:$B$10041,0)+2,
       MATCH(Z$3,'생산수량Back-Data'!$B$3:$AAA$3,0))</f>
        <v>0</v>
      </c>
      <c r="AA70" s="328" cm="1">
        <f t="array" ref="AA70">INDEX('생산수량Back-Data'!$B$5:$AAA$10041,
       MATCH($B69,'생산수량Back-Data'!$B$5:$B$10041,0)+2,
       MATCH(AA$3,'생산수량Back-Data'!$B$3:$AAA$3,0))</f>
        <v>0</v>
      </c>
      <c r="AB70" s="328" cm="1">
        <f t="array" ref="AB70">INDEX('생산수량Back-Data'!$B$5:$AAA$10041,
       MATCH($B69,'생산수량Back-Data'!$B$5:$B$10041,0)+2,
       MATCH(AB$3,'생산수량Back-Data'!$B$3:$AAA$3,0))</f>
        <v>0</v>
      </c>
      <c r="AC70" s="328" cm="1">
        <f t="array" ref="AC70">INDEX('생산수량Back-Data'!$B$5:$AAA$10041,
       MATCH($B69,'생산수량Back-Data'!$B$5:$B$10041,0)+2,
       MATCH(AC$3,'생산수량Back-Data'!$B$3:$AAA$3,0))</f>
        <v>0</v>
      </c>
      <c r="AD70" s="328" cm="1">
        <f t="array" ref="AD70">INDEX('생산수량Back-Data'!$B$5:$AAA$10041,
       MATCH($B69,'생산수량Back-Data'!$B$5:$B$10041,0)+2,
       MATCH(AD$3,'생산수량Back-Data'!$B$3:$AAA$3,0))</f>
        <v>0</v>
      </c>
      <c r="AE70" s="328" cm="1">
        <f t="array" ref="AE70">INDEX('생산수량Back-Data'!$B$5:$AAA$10041,
       MATCH($B69,'생산수량Back-Data'!$B$5:$B$10041,0)+2,
       MATCH(AE$3,'생산수량Back-Data'!$B$3:$AAA$3,0))</f>
        <v>0</v>
      </c>
      <c r="AF70" s="328" cm="1">
        <f t="array" ref="AF70">INDEX('생산수량Back-Data'!$B$5:$AAA$10041,
       MATCH($B69,'생산수량Back-Data'!$B$5:$B$10041,0)+2,
       MATCH(AF$3,'생산수량Back-Data'!$B$3:$AAA$3,0))</f>
        <v>0</v>
      </c>
      <c r="AG70" s="328" cm="1">
        <f t="array" ref="AG70">INDEX('생산수량Back-Data'!$B$5:$AAA$10041,
       MATCH($B69,'생산수량Back-Data'!$B$5:$B$10041,0)+2,
       MATCH(AG$3,'생산수량Back-Data'!$B$3:$AAA$3,0))</f>
        <v>0</v>
      </c>
      <c r="AH70" s="328" cm="1">
        <f t="array" ref="AH70">INDEX('생산수량Back-Data'!$B$5:$AAA$10041,
       MATCH($B69,'생산수량Back-Data'!$B$5:$B$10041,0)+2,
       MATCH(AH$3,'생산수량Back-Data'!$B$3:$AAA$3,0))</f>
        <v>0</v>
      </c>
      <c r="AI70" s="328" cm="1">
        <f t="array" ref="AI70">INDEX('생산수량Back-Data'!$B$5:$AAA$10041,
       MATCH($B69,'생산수량Back-Data'!$B$5:$B$10041,0)+2,
       MATCH(AI$3,'생산수량Back-Data'!$B$3:$AAA$3,0))</f>
        <v>0</v>
      </c>
      <c r="AJ70" s="328" cm="1">
        <f t="array" ref="AJ70">INDEX('생산수량Back-Data'!$B$5:$AAA$10041,
       MATCH($B69,'생산수량Back-Data'!$B$5:$B$10041,0)+2,
       MATCH(AJ$3,'생산수량Back-Data'!$B$3:$AAA$3,0))</f>
        <v>0</v>
      </c>
      <c r="AK70" s="328" cm="1">
        <f t="array" ref="AK70">INDEX('생산수량Back-Data'!$B$5:$AAA$10041,
       MATCH($B69,'생산수량Back-Data'!$B$5:$B$10041,0)+2,
       MATCH(AK$3,'생산수량Back-Data'!$B$3:$AAA$3,0))</f>
        <v>0</v>
      </c>
      <c r="AL70" s="328" cm="1">
        <f t="array" ref="AL70">INDEX('생산수량Back-Data'!$B$5:$AAA$10041,
       MATCH($B69,'생산수량Back-Data'!$B$5:$B$10041,0)+2,
       MATCH(AL$3,'생산수량Back-Data'!$B$3:$AAA$3,0))</f>
        <v>0</v>
      </c>
      <c r="AM70" s="328" cm="1">
        <f t="array" ref="AM70">INDEX('생산수량Back-Data'!$B$5:$AAA$10041,
       MATCH($B69,'생산수량Back-Data'!$B$5:$B$10041,0)+2,
       MATCH(AM$3,'생산수량Back-Data'!$B$3:$AAA$3,0))</f>
        <v>0</v>
      </c>
      <c r="AN70" s="328" cm="1">
        <f t="array" ref="AN70">INDEX('생산수량Back-Data'!$B$5:$AAA$10041,
       MATCH($B69,'생산수량Back-Data'!$B$5:$B$10041,0)+2,
       MATCH(AN$3,'생산수량Back-Data'!$B$3:$AAA$3,0))</f>
        <v>0</v>
      </c>
      <c r="AO70" s="328" cm="1">
        <f t="array" ref="AO70">INDEX('생산수량Back-Data'!$B$5:$AAA$10041,
       MATCH($B69,'생산수량Back-Data'!$B$5:$B$10041,0)+2,
       MATCH(AO$3,'생산수량Back-Data'!$B$3:$AAA$3,0))</f>
        <v>0</v>
      </c>
      <c r="AP70" s="328" cm="1">
        <f t="array" ref="AP70">INDEX('생산수량Back-Data'!$B$5:$AAA$10041,
       MATCH($B69,'생산수량Back-Data'!$B$5:$B$10041,0)+2,
       MATCH(AP$3,'생산수량Back-Data'!$B$3:$AAA$3,0))</f>
        <v>0</v>
      </c>
      <c r="AQ70" s="328" cm="1">
        <f t="array" ref="AQ70">INDEX('생산수량Back-Data'!$B$5:$AAA$10041,
       MATCH($B69,'생산수량Back-Data'!$B$5:$B$10041,0)+2,
       MATCH(AQ$3,'생산수량Back-Data'!$B$3:$AAA$3,0))</f>
        <v>0</v>
      </c>
      <c r="AR70" s="328" cm="1">
        <f t="array" ref="AR70">INDEX('생산수량Back-Data'!$B$5:$AAA$10041,
       MATCH($B69,'생산수량Back-Data'!$B$5:$B$10041,0)+2,
       MATCH(AR$3,'생산수량Back-Data'!$B$3:$AAA$3,0))</f>
        <v>0</v>
      </c>
      <c r="AS70" s="328" cm="1">
        <f t="array" ref="AS70">INDEX('생산수량Back-Data'!$B$5:$AAA$10041,
       MATCH($B69,'생산수량Back-Data'!$B$5:$B$10041,0)+2,
       MATCH(AS$3,'생산수량Back-Data'!$B$3:$AAA$3,0))</f>
        <v>0</v>
      </c>
      <c r="AT70" s="329" cm="1">
        <f t="array" ref="AT70">INDEX('생산수량Back-Data'!$B$5:$AAA$10041,
       MATCH($B69,'생산수량Back-Data'!$B$5:$B$10041,0)+2,
       MATCH(AT$3,'생산수량Back-Data'!$B$3:$AAA$3,0))</f>
        <v>0</v>
      </c>
    </row>
    <row r="71" spans="2:46" ht="32.1" customHeight="1" x14ac:dyDescent="0.3">
      <c r="B71" s="444" t="s">
        <v>59</v>
      </c>
      <c r="C71" s="444" t="s">
        <v>185</v>
      </c>
      <c r="D71" s="444" t="s">
        <v>199</v>
      </c>
      <c r="E71" s="438">
        <f>ABS(SUMIFS('Fixture 총 발주수량'!Z:Z,'Fixture 총 발주수량'!B:B,'후공정(애칭)생산계획'!B71,'Fixture 총 발주수량'!Z:Z,"&lt;0"))</f>
        <v>3246</v>
      </c>
      <c r="F71" s="431">
        <f>G71-E71</f>
        <v>-3246</v>
      </c>
      <c r="G71" s="437">
        <f>SUMIF(P71:AT71, "&gt;0")</f>
        <v>0</v>
      </c>
      <c r="H71" s="437">
        <f>SUMIF(P72:AT72, "&gt;0")</f>
        <v>0</v>
      </c>
      <c r="I71" s="442">
        <f>IFERROR(H71/G71,)</f>
        <v>0</v>
      </c>
      <c r="J71" s="437">
        <f ca="1">IFERROR(SUMIF('Fixture 총 발주수량'!B:AG,'후공정(애칭)생산계획'!B71,'Fixture 총 발주수량'!AA:AA),)</f>
        <v>0</v>
      </c>
      <c r="K71" s="458">
        <f>ROUNDUP(E71/2000,)</f>
        <v>2</v>
      </c>
      <c r="L71" s="458">
        <f>L69+K71</f>
        <v>61</v>
      </c>
      <c r="M71" s="458">
        <f>L71+K71</f>
        <v>63</v>
      </c>
      <c r="N71" s="438">
        <f>N69+K71</f>
        <v>61</v>
      </c>
      <c r="O71" s="306" t="s">
        <v>264</v>
      </c>
      <c r="P71" s="325"/>
      <c r="Q71" s="312"/>
      <c r="R71" s="312"/>
      <c r="S71" s="312"/>
      <c r="T71" s="312"/>
      <c r="U71" s="312"/>
      <c r="V71" s="312"/>
      <c r="W71" s="312"/>
      <c r="X71" s="312"/>
      <c r="Y71" s="312"/>
      <c r="Z71" s="312"/>
      <c r="AA71" s="312"/>
      <c r="AB71" s="312"/>
      <c r="AC71" s="312"/>
      <c r="AD71" s="312"/>
      <c r="AE71" s="312"/>
      <c r="AF71" s="312"/>
      <c r="AG71" s="312"/>
      <c r="AH71" s="312"/>
      <c r="AI71" s="312"/>
      <c r="AJ71" s="312"/>
      <c r="AK71" s="312"/>
      <c r="AL71" s="312"/>
      <c r="AM71" s="312"/>
      <c r="AN71" s="312"/>
      <c r="AO71" s="312"/>
      <c r="AP71" s="312"/>
      <c r="AQ71" s="312"/>
      <c r="AR71" s="312"/>
      <c r="AS71" s="312"/>
      <c r="AT71" s="313"/>
    </row>
    <row r="72" spans="2:46" ht="32.1" customHeight="1" x14ac:dyDescent="0.3">
      <c r="B72" s="445"/>
      <c r="C72" s="445"/>
      <c r="D72" s="445"/>
      <c r="E72" s="439"/>
      <c r="F72" s="459"/>
      <c r="G72" s="436"/>
      <c r="H72" s="436"/>
      <c r="I72" s="443"/>
      <c r="J72" s="436"/>
      <c r="K72" s="458"/>
      <c r="L72" s="458"/>
      <c r="M72" s="458"/>
      <c r="N72" s="439"/>
      <c r="O72" s="306" t="s">
        <v>266</v>
      </c>
      <c r="P72" s="323" cm="1">
        <f t="array" ref="P72">INDEX('생산수량Back-Data'!$B$5:$AAA$10041,
       MATCH($B71,'생산수량Back-Data'!$B$5:$B$10041,0)+2,
       MATCH(P$3,'생산수량Back-Data'!$B$3:$AAA$3,0))</f>
        <v>0</v>
      </c>
      <c r="Q72" s="310" cm="1">
        <f t="array" ref="Q72">INDEX('생산수량Back-Data'!$B$5:$AAA$10041,
       MATCH($B71,'생산수량Back-Data'!$B$5:$B$10041,0)+2,
       MATCH(Q$3,'생산수량Back-Data'!$B$3:$AAA$3,0))</f>
        <v>0</v>
      </c>
      <c r="R72" s="310" cm="1">
        <f t="array" ref="R72">INDEX('생산수량Back-Data'!$B$5:$AAA$10041,
       MATCH($B71,'생산수량Back-Data'!$B$5:$B$10041,0)+2,
       MATCH(R$3,'생산수량Back-Data'!$B$3:$AAA$3,0))</f>
        <v>0</v>
      </c>
      <c r="S72" s="310" cm="1">
        <f t="array" ref="S72">INDEX('생산수량Back-Data'!$B$5:$AAA$10041,
       MATCH($B71,'생산수량Back-Data'!$B$5:$B$10041,0)+2,
       MATCH(S$3,'생산수량Back-Data'!$B$3:$AAA$3,0))</f>
        <v>0</v>
      </c>
      <c r="T72" s="310" cm="1">
        <f t="array" ref="T72">INDEX('생산수량Back-Data'!$B$5:$AAA$10041,
       MATCH($B71,'생산수량Back-Data'!$B$5:$B$10041,0)+2,
       MATCH(T$3,'생산수량Back-Data'!$B$3:$AAA$3,0))</f>
        <v>0</v>
      </c>
      <c r="U72" s="310" cm="1">
        <f t="array" ref="U72">INDEX('생산수량Back-Data'!$B$5:$AAA$10041,
       MATCH($B71,'생산수량Back-Data'!$B$5:$B$10041,0)+2,
       MATCH(U$3,'생산수량Back-Data'!$B$3:$AAA$3,0))</f>
        <v>0</v>
      </c>
      <c r="V72" s="310" cm="1">
        <f t="array" ref="V72">INDEX('생산수량Back-Data'!$B$5:$AAA$10041,
       MATCH($B71,'생산수량Back-Data'!$B$5:$B$10041,0)+2,
       MATCH(V$3,'생산수량Back-Data'!$B$3:$AAA$3,0))</f>
        <v>0</v>
      </c>
      <c r="W72" s="310" cm="1">
        <f t="array" ref="W72">INDEX('생산수량Back-Data'!$B$5:$AAA$10041,
       MATCH($B71,'생산수량Back-Data'!$B$5:$B$10041,0)+2,
       MATCH(W$3,'생산수량Back-Data'!$B$3:$AAA$3,0))</f>
        <v>0</v>
      </c>
      <c r="X72" s="310" cm="1">
        <f t="array" ref="X72">INDEX('생산수량Back-Data'!$B$5:$AAA$10041,
       MATCH($B71,'생산수량Back-Data'!$B$5:$B$10041,0)+2,
       MATCH(X$3,'생산수량Back-Data'!$B$3:$AAA$3,0))</f>
        <v>0</v>
      </c>
      <c r="Y72" s="310" cm="1">
        <f t="array" ref="Y72">INDEX('생산수량Back-Data'!$B$5:$AAA$10041,
       MATCH($B71,'생산수량Back-Data'!$B$5:$B$10041,0)+2,
       MATCH(Y$3,'생산수량Back-Data'!$B$3:$AAA$3,0))</f>
        <v>0</v>
      </c>
      <c r="Z72" s="310" cm="1">
        <f t="array" ref="Z72">INDEX('생산수량Back-Data'!$B$5:$AAA$10041,
       MATCH($B71,'생산수량Back-Data'!$B$5:$B$10041,0)+2,
       MATCH(Z$3,'생산수량Back-Data'!$B$3:$AAA$3,0))</f>
        <v>0</v>
      </c>
      <c r="AA72" s="310" cm="1">
        <f t="array" ref="AA72">INDEX('생산수량Back-Data'!$B$5:$AAA$10041,
       MATCH($B71,'생산수량Back-Data'!$B$5:$B$10041,0)+2,
       MATCH(AA$3,'생산수량Back-Data'!$B$3:$AAA$3,0))</f>
        <v>0</v>
      </c>
      <c r="AB72" s="310" cm="1">
        <f t="array" ref="AB72">INDEX('생산수량Back-Data'!$B$5:$AAA$10041,
       MATCH($B71,'생산수량Back-Data'!$B$5:$B$10041,0)+2,
       MATCH(AB$3,'생산수량Back-Data'!$B$3:$AAA$3,0))</f>
        <v>0</v>
      </c>
      <c r="AC72" s="310" cm="1">
        <f t="array" ref="AC72">INDEX('생산수량Back-Data'!$B$5:$AAA$10041,
       MATCH($B71,'생산수량Back-Data'!$B$5:$B$10041,0)+2,
       MATCH(AC$3,'생산수량Back-Data'!$B$3:$AAA$3,0))</f>
        <v>0</v>
      </c>
      <c r="AD72" s="310" cm="1">
        <f t="array" ref="AD72">INDEX('생산수량Back-Data'!$B$5:$AAA$10041,
       MATCH($B71,'생산수량Back-Data'!$B$5:$B$10041,0)+2,
       MATCH(AD$3,'생산수량Back-Data'!$B$3:$AAA$3,0))</f>
        <v>0</v>
      </c>
      <c r="AE72" s="310" cm="1">
        <f t="array" ref="AE72">INDEX('생산수량Back-Data'!$B$5:$AAA$10041,
       MATCH($B71,'생산수량Back-Data'!$B$5:$B$10041,0)+2,
       MATCH(AE$3,'생산수량Back-Data'!$B$3:$AAA$3,0))</f>
        <v>0</v>
      </c>
      <c r="AF72" s="310" cm="1">
        <f t="array" ref="AF72">INDEX('생산수량Back-Data'!$B$5:$AAA$10041,
       MATCH($B71,'생산수량Back-Data'!$B$5:$B$10041,0)+2,
       MATCH(AF$3,'생산수량Back-Data'!$B$3:$AAA$3,0))</f>
        <v>0</v>
      </c>
      <c r="AG72" s="310" cm="1">
        <f t="array" ref="AG72">INDEX('생산수량Back-Data'!$B$5:$AAA$10041,
       MATCH($B71,'생산수량Back-Data'!$B$5:$B$10041,0)+2,
       MATCH(AG$3,'생산수량Back-Data'!$B$3:$AAA$3,0))</f>
        <v>0</v>
      </c>
      <c r="AH72" s="310" cm="1">
        <f t="array" ref="AH72">INDEX('생산수량Back-Data'!$B$5:$AAA$10041,
       MATCH($B71,'생산수량Back-Data'!$B$5:$B$10041,0)+2,
       MATCH(AH$3,'생산수량Back-Data'!$B$3:$AAA$3,0))</f>
        <v>0</v>
      </c>
      <c r="AI72" s="310" cm="1">
        <f t="array" ref="AI72">INDEX('생산수량Back-Data'!$B$5:$AAA$10041,
       MATCH($B71,'생산수량Back-Data'!$B$5:$B$10041,0)+2,
       MATCH(AI$3,'생산수량Back-Data'!$B$3:$AAA$3,0))</f>
        <v>0</v>
      </c>
      <c r="AJ72" s="310" cm="1">
        <f t="array" ref="AJ72">INDEX('생산수량Back-Data'!$B$5:$AAA$10041,
       MATCH($B71,'생산수량Back-Data'!$B$5:$B$10041,0)+2,
       MATCH(AJ$3,'생산수량Back-Data'!$B$3:$AAA$3,0))</f>
        <v>0</v>
      </c>
      <c r="AK72" s="310" cm="1">
        <f t="array" ref="AK72">INDEX('생산수량Back-Data'!$B$5:$AAA$10041,
       MATCH($B71,'생산수량Back-Data'!$B$5:$B$10041,0)+2,
       MATCH(AK$3,'생산수량Back-Data'!$B$3:$AAA$3,0))</f>
        <v>0</v>
      </c>
      <c r="AL72" s="310" cm="1">
        <f t="array" ref="AL72">INDEX('생산수량Back-Data'!$B$5:$AAA$10041,
       MATCH($B71,'생산수량Back-Data'!$B$5:$B$10041,0)+2,
       MATCH(AL$3,'생산수량Back-Data'!$B$3:$AAA$3,0))</f>
        <v>0</v>
      </c>
      <c r="AM72" s="310" cm="1">
        <f t="array" ref="AM72">INDEX('생산수량Back-Data'!$B$5:$AAA$10041,
       MATCH($B71,'생산수량Back-Data'!$B$5:$B$10041,0)+2,
       MATCH(AM$3,'생산수량Back-Data'!$B$3:$AAA$3,0))</f>
        <v>0</v>
      </c>
      <c r="AN72" s="310" cm="1">
        <f t="array" ref="AN72">INDEX('생산수량Back-Data'!$B$5:$AAA$10041,
       MATCH($B71,'생산수량Back-Data'!$B$5:$B$10041,0)+2,
       MATCH(AN$3,'생산수량Back-Data'!$B$3:$AAA$3,0))</f>
        <v>0</v>
      </c>
      <c r="AO72" s="310" cm="1">
        <f t="array" ref="AO72">INDEX('생산수량Back-Data'!$B$5:$AAA$10041,
       MATCH($B71,'생산수량Back-Data'!$B$5:$B$10041,0)+2,
       MATCH(AO$3,'생산수량Back-Data'!$B$3:$AAA$3,0))</f>
        <v>0</v>
      </c>
      <c r="AP72" s="310" cm="1">
        <f t="array" ref="AP72">INDEX('생산수량Back-Data'!$B$5:$AAA$10041,
       MATCH($B71,'생산수량Back-Data'!$B$5:$B$10041,0)+2,
       MATCH(AP$3,'생산수량Back-Data'!$B$3:$AAA$3,0))</f>
        <v>0</v>
      </c>
      <c r="AQ72" s="310" cm="1">
        <f t="array" ref="AQ72">INDEX('생산수량Back-Data'!$B$5:$AAA$10041,
       MATCH($B71,'생산수량Back-Data'!$B$5:$B$10041,0)+2,
       MATCH(AQ$3,'생산수량Back-Data'!$B$3:$AAA$3,0))</f>
        <v>0</v>
      </c>
      <c r="AR72" s="310" cm="1">
        <f t="array" ref="AR72">INDEX('생산수량Back-Data'!$B$5:$AAA$10041,
       MATCH($B71,'생산수량Back-Data'!$B$5:$B$10041,0)+2,
       MATCH(AR$3,'생산수량Back-Data'!$B$3:$AAA$3,0))</f>
        <v>0</v>
      </c>
      <c r="AS72" s="310" cm="1">
        <f t="array" ref="AS72">INDEX('생산수량Back-Data'!$B$5:$AAA$10041,
       MATCH($B71,'생산수량Back-Data'!$B$5:$B$10041,0)+2,
       MATCH(AS$3,'생산수량Back-Data'!$B$3:$AAA$3,0))</f>
        <v>0</v>
      </c>
      <c r="AT72" s="324" cm="1">
        <f t="array" ref="AT72">INDEX('생산수량Back-Data'!$B$5:$AAA$10041,
       MATCH($B71,'생산수량Back-Data'!$B$5:$B$10041,0)+2,
       MATCH(AT$3,'생산수량Back-Data'!$B$3:$AAA$3,0))</f>
        <v>0</v>
      </c>
    </row>
    <row r="73" spans="2:46" ht="32.1" customHeight="1" x14ac:dyDescent="0.3">
      <c r="B73" s="444" t="s">
        <v>61</v>
      </c>
      <c r="C73" s="444" t="s">
        <v>185</v>
      </c>
      <c r="D73" s="444" t="s">
        <v>201</v>
      </c>
      <c r="E73" s="438">
        <f>ABS(SUMIFS('Fixture 총 발주수량'!Z:Z,'Fixture 총 발주수량'!B:B,'후공정(애칭)생산계획'!B73,'Fixture 총 발주수량'!Z:Z,"&lt;0"))</f>
        <v>5039</v>
      </c>
      <c r="F73" s="431">
        <f>G73-E73</f>
        <v>-5039</v>
      </c>
      <c r="G73" s="437">
        <f>SUMIF(P73:AT73, "&gt;0")</f>
        <v>0</v>
      </c>
      <c r="H73" s="437">
        <f>SUMIF(P74:AT74, "&gt;0")</f>
        <v>0</v>
      </c>
      <c r="I73" s="442">
        <f>IFERROR(H73/G73,)</f>
        <v>0</v>
      </c>
      <c r="J73" s="437">
        <f ca="1">IFERROR(SUMIF('Fixture 총 발주수량'!B:AG,'후공정(애칭)생산계획'!B73,'Fixture 총 발주수량'!AA:AA),)</f>
        <v>0</v>
      </c>
      <c r="K73" s="458">
        <f>ROUNDUP(E73/2000,)</f>
        <v>3</v>
      </c>
      <c r="L73" s="458">
        <f>L71+K73</f>
        <v>64</v>
      </c>
      <c r="M73" s="458">
        <f>L73+K73</f>
        <v>67</v>
      </c>
      <c r="N73" s="438">
        <f>N71+K73</f>
        <v>64</v>
      </c>
      <c r="O73" s="306" t="s">
        <v>264</v>
      </c>
      <c r="P73" s="325"/>
      <c r="Q73" s="312"/>
      <c r="R73" s="312"/>
      <c r="S73" s="312"/>
      <c r="T73" s="312"/>
      <c r="U73" s="312"/>
      <c r="V73" s="312"/>
      <c r="W73" s="312"/>
      <c r="X73" s="312"/>
      <c r="Y73" s="312"/>
      <c r="Z73" s="312"/>
      <c r="AA73" s="312"/>
      <c r="AB73" s="312"/>
      <c r="AC73" s="312"/>
      <c r="AD73" s="312"/>
      <c r="AE73" s="312"/>
      <c r="AF73" s="312"/>
      <c r="AG73" s="312"/>
      <c r="AH73" s="312"/>
      <c r="AI73" s="312"/>
      <c r="AJ73" s="312"/>
      <c r="AK73" s="312"/>
      <c r="AL73" s="312"/>
      <c r="AM73" s="312"/>
      <c r="AN73" s="312"/>
      <c r="AO73" s="312"/>
      <c r="AP73" s="312"/>
      <c r="AQ73" s="312"/>
      <c r="AR73" s="312"/>
      <c r="AS73" s="312"/>
      <c r="AT73" s="313"/>
    </row>
    <row r="74" spans="2:46" ht="32.1" customHeight="1" x14ac:dyDescent="0.3">
      <c r="B74" s="445"/>
      <c r="C74" s="445"/>
      <c r="D74" s="445"/>
      <c r="E74" s="439"/>
      <c r="F74" s="459"/>
      <c r="G74" s="436"/>
      <c r="H74" s="436"/>
      <c r="I74" s="443"/>
      <c r="J74" s="436"/>
      <c r="K74" s="458"/>
      <c r="L74" s="458"/>
      <c r="M74" s="458"/>
      <c r="N74" s="439"/>
      <c r="O74" s="306" t="s">
        <v>266</v>
      </c>
      <c r="P74" s="323" cm="1">
        <f t="array" ref="P74">INDEX('생산수량Back-Data'!$B$5:$AAA$10041,
       MATCH($B73,'생산수량Back-Data'!$B$5:$B$10041,0)+2,
       MATCH(P$3,'생산수량Back-Data'!$B$3:$AAA$3,0))</f>
        <v>0</v>
      </c>
      <c r="Q74" s="310" cm="1">
        <f t="array" ref="Q74">INDEX('생산수량Back-Data'!$B$5:$AAA$10041,
       MATCH($B73,'생산수량Back-Data'!$B$5:$B$10041,0)+2,
       MATCH(Q$3,'생산수량Back-Data'!$B$3:$AAA$3,0))</f>
        <v>0</v>
      </c>
      <c r="R74" s="310" cm="1">
        <f t="array" ref="R74">INDEX('생산수량Back-Data'!$B$5:$AAA$10041,
       MATCH($B73,'생산수량Back-Data'!$B$5:$B$10041,0)+2,
       MATCH(R$3,'생산수량Back-Data'!$B$3:$AAA$3,0))</f>
        <v>0</v>
      </c>
      <c r="S74" s="310" cm="1">
        <f t="array" ref="S74">INDEX('생산수량Back-Data'!$B$5:$AAA$10041,
       MATCH($B73,'생산수량Back-Data'!$B$5:$B$10041,0)+2,
       MATCH(S$3,'생산수량Back-Data'!$B$3:$AAA$3,0))</f>
        <v>0</v>
      </c>
      <c r="T74" s="310" cm="1">
        <f t="array" ref="T74">INDEX('생산수량Back-Data'!$B$5:$AAA$10041,
       MATCH($B73,'생산수량Back-Data'!$B$5:$B$10041,0)+2,
       MATCH(T$3,'생산수량Back-Data'!$B$3:$AAA$3,0))</f>
        <v>0</v>
      </c>
      <c r="U74" s="310" cm="1">
        <f t="array" ref="U74">INDEX('생산수량Back-Data'!$B$5:$AAA$10041,
       MATCH($B73,'생산수량Back-Data'!$B$5:$B$10041,0)+2,
       MATCH(U$3,'생산수량Back-Data'!$B$3:$AAA$3,0))</f>
        <v>0</v>
      </c>
      <c r="V74" s="310" cm="1">
        <f t="array" ref="V74">INDEX('생산수량Back-Data'!$B$5:$AAA$10041,
       MATCH($B73,'생산수량Back-Data'!$B$5:$B$10041,0)+2,
       MATCH(V$3,'생산수량Back-Data'!$B$3:$AAA$3,0))</f>
        <v>0</v>
      </c>
      <c r="W74" s="310" cm="1">
        <f t="array" ref="W74">INDEX('생산수량Back-Data'!$B$5:$AAA$10041,
       MATCH($B73,'생산수량Back-Data'!$B$5:$B$10041,0)+2,
       MATCH(W$3,'생산수량Back-Data'!$B$3:$AAA$3,0))</f>
        <v>0</v>
      </c>
      <c r="X74" s="310" cm="1">
        <f t="array" ref="X74">INDEX('생산수량Back-Data'!$B$5:$AAA$10041,
       MATCH($B73,'생산수량Back-Data'!$B$5:$B$10041,0)+2,
       MATCH(X$3,'생산수량Back-Data'!$B$3:$AAA$3,0))</f>
        <v>0</v>
      </c>
      <c r="Y74" s="310" cm="1">
        <f t="array" ref="Y74">INDEX('생산수량Back-Data'!$B$5:$AAA$10041,
       MATCH($B73,'생산수량Back-Data'!$B$5:$B$10041,0)+2,
       MATCH(Y$3,'생산수량Back-Data'!$B$3:$AAA$3,0))</f>
        <v>0</v>
      </c>
      <c r="Z74" s="310" cm="1">
        <f t="array" ref="Z74">INDEX('생산수량Back-Data'!$B$5:$AAA$10041,
       MATCH($B73,'생산수량Back-Data'!$B$5:$B$10041,0)+2,
       MATCH(Z$3,'생산수량Back-Data'!$B$3:$AAA$3,0))</f>
        <v>0</v>
      </c>
      <c r="AA74" s="310" cm="1">
        <f t="array" ref="AA74">INDEX('생산수량Back-Data'!$B$5:$AAA$10041,
       MATCH($B73,'생산수량Back-Data'!$B$5:$B$10041,0)+2,
       MATCH(AA$3,'생산수량Back-Data'!$B$3:$AAA$3,0))</f>
        <v>0</v>
      </c>
      <c r="AB74" s="310" cm="1">
        <f t="array" ref="AB74">INDEX('생산수량Back-Data'!$B$5:$AAA$10041,
       MATCH($B73,'생산수량Back-Data'!$B$5:$B$10041,0)+2,
       MATCH(AB$3,'생산수량Back-Data'!$B$3:$AAA$3,0))</f>
        <v>0</v>
      </c>
      <c r="AC74" s="310" cm="1">
        <f t="array" ref="AC74">INDEX('생산수량Back-Data'!$B$5:$AAA$10041,
       MATCH($B73,'생산수량Back-Data'!$B$5:$B$10041,0)+2,
       MATCH(AC$3,'생산수량Back-Data'!$B$3:$AAA$3,0))</f>
        <v>0</v>
      </c>
      <c r="AD74" s="310" cm="1">
        <f t="array" ref="AD74">INDEX('생산수량Back-Data'!$B$5:$AAA$10041,
       MATCH($B73,'생산수량Back-Data'!$B$5:$B$10041,0)+2,
       MATCH(AD$3,'생산수량Back-Data'!$B$3:$AAA$3,0))</f>
        <v>0</v>
      </c>
      <c r="AE74" s="310" cm="1">
        <f t="array" ref="AE74">INDEX('생산수량Back-Data'!$B$5:$AAA$10041,
       MATCH($B73,'생산수량Back-Data'!$B$5:$B$10041,0)+2,
       MATCH(AE$3,'생산수량Back-Data'!$B$3:$AAA$3,0))</f>
        <v>0</v>
      </c>
      <c r="AF74" s="310" cm="1">
        <f t="array" ref="AF74">INDEX('생산수량Back-Data'!$B$5:$AAA$10041,
       MATCH($B73,'생산수량Back-Data'!$B$5:$B$10041,0)+2,
       MATCH(AF$3,'생산수량Back-Data'!$B$3:$AAA$3,0))</f>
        <v>0</v>
      </c>
      <c r="AG74" s="310" cm="1">
        <f t="array" ref="AG74">INDEX('생산수량Back-Data'!$B$5:$AAA$10041,
       MATCH($B73,'생산수량Back-Data'!$B$5:$B$10041,0)+2,
       MATCH(AG$3,'생산수량Back-Data'!$B$3:$AAA$3,0))</f>
        <v>0</v>
      </c>
      <c r="AH74" s="310" cm="1">
        <f t="array" ref="AH74">INDEX('생산수량Back-Data'!$B$5:$AAA$10041,
       MATCH($B73,'생산수량Back-Data'!$B$5:$B$10041,0)+2,
       MATCH(AH$3,'생산수량Back-Data'!$B$3:$AAA$3,0))</f>
        <v>0</v>
      </c>
      <c r="AI74" s="310" cm="1">
        <f t="array" ref="AI74">INDEX('생산수량Back-Data'!$B$5:$AAA$10041,
       MATCH($B73,'생산수량Back-Data'!$B$5:$B$10041,0)+2,
       MATCH(AI$3,'생산수량Back-Data'!$B$3:$AAA$3,0))</f>
        <v>0</v>
      </c>
      <c r="AJ74" s="310" cm="1">
        <f t="array" ref="AJ74">INDEX('생산수량Back-Data'!$B$5:$AAA$10041,
       MATCH($B73,'생산수량Back-Data'!$B$5:$B$10041,0)+2,
       MATCH(AJ$3,'생산수량Back-Data'!$B$3:$AAA$3,0))</f>
        <v>0</v>
      </c>
      <c r="AK74" s="310" cm="1">
        <f t="array" ref="AK74">INDEX('생산수량Back-Data'!$B$5:$AAA$10041,
       MATCH($B73,'생산수량Back-Data'!$B$5:$B$10041,0)+2,
       MATCH(AK$3,'생산수량Back-Data'!$B$3:$AAA$3,0))</f>
        <v>0</v>
      </c>
      <c r="AL74" s="310" cm="1">
        <f t="array" ref="AL74">INDEX('생산수량Back-Data'!$B$5:$AAA$10041,
       MATCH($B73,'생산수량Back-Data'!$B$5:$B$10041,0)+2,
       MATCH(AL$3,'생산수량Back-Data'!$B$3:$AAA$3,0))</f>
        <v>0</v>
      </c>
      <c r="AM74" s="310" cm="1">
        <f t="array" ref="AM74">INDEX('생산수량Back-Data'!$B$5:$AAA$10041,
       MATCH($B73,'생산수량Back-Data'!$B$5:$B$10041,0)+2,
       MATCH(AM$3,'생산수량Back-Data'!$B$3:$AAA$3,0))</f>
        <v>0</v>
      </c>
      <c r="AN74" s="310" cm="1">
        <f t="array" ref="AN74">INDEX('생산수량Back-Data'!$B$5:$AAA$10041,
       MATCH($B73,'생산수량Back-Data'!$B$5:$B$10041,0)+2,
       MATCH(AN$3,'생산수량Back-Data'!$B$3:$AAA$3,0))</f>
        <v>0</v>
      </c>
      <c r="AO74" s="310" cm="1">
        <f t="array" ref="AO74">INDEX('생산수량Back-Data'!$B$5:$AAA$10041,
       MATCH($B73,'생산수량Back-Data'!$B$5:$B$10041,0)+2,
       MATCH(AO$3,'생산수량Back-Data'!$B$3:$AAA$3,0))</f>
        <v>0</v>
      </c>
      <c r="AP74" s="310" cm="1">
        <f t="array" ref="AP74">INDEX('생산수량Back-Data'!$B$5:$AAA$10041,
       MATCH($B73,'생산수량Back-Data'!$B$5:$B$10041,0)+2,
       MATCH(AP$3,'생산수량Back-Data'!$B$3:$AAA$3,0))</f>
        <v>0</v>
      </c>
      <c r="AQ74" s="310" cm="1">
        <f t="array" ref="AQ74">INDEX('생산수량Back-Data'!$B$5:$AAA$10041,
       MATCH($B73,'생산수량Back-Data'!$B$5:$B$10041,0)+2,
       MATCH(AQ$3,'생산수량Back-Data'!$B$3:$AAA$3,0))</f>
        <v>0</v>
      </c>
      <c r="AR74" s="310" cm="1">
        <f t="array" ref="AR74">INDEX('생산수량Back-Data'!$B$5:$AAA$10041,
       MATCH($B73,'생산수량Back-Data'!$B$5:$B$10041,0)+2,
       MATCH(AR$3,'생산수량Back-Data'!$B$3:$AAA$3,0))</f>
        <v>0</v>
      </c>
      <c r="AS74" s="310" cm="1">
        <f t="array" ref="AS74">INDEX('생산수량Back-Data'!$B$5:$AAA$10041,
       MATCH($B73,'생산수량Back-Data'!$B$5:$B$10041,0)+2,
       MATCH(AS$3,'생산수량Back-Data'!$B$3:$AAA$3,0))</f>
        <v>0</v>
      </c>
      <c r="AT74" s="324" cm="1">
        <f t="array" ref="AT74">INDEX('생산수량Back-Data'!$B$5:$AAA$10041,
       MATCH($B73,'생산수량Back-Data'!$B$5:$B$10041,0)+2,
       MATCH(AT$3,'생산수량Back-Data'!$B$3:$AAA$3,0))</f>
        <v>0</v>
      </c>
    </row>
    <row r="75" spans="2:46" ht="32.1" customHeight="1" x14ac:dyDescent="0.3">
      <c r="B75" s="444" t="s">
        <v>62</v>
      </c>
      <c r="C75" s="444" t="s">
        <v>185</v>
      </c>
      <c r="D75" s="444" t="s">
        <v>202</v>
      </c>
      <c r="E75" s="438">
        <f>ABS(SUMIFS('Fixture 총 발주수량'!Z:Z,'Fixture 총 발주수량'!B:B,'후공정(애칭)생산계획'!B75,'Fixture 총 발주수량'!Z:Z,"&lt;0"))</f>
        <v>717</v>
      </c>
      <c r="F75" s="431">
        <f>G75-E75</f>
        <v>-717</v>
      </c>
      <c r="G75" s="437">
        <f>SUMIF(P75:AT75, "&gt;0")</f>
        <v>0</v>
      </c>
      <c r="H75" s="437">
        <f>SUMIF(P76:AT76, "&gt;0")</f>
        <v>0</v>
      </c>
      <c r="I75" s="442">
        <f>IFERROR(H75/G75,)</f>
        <v>0</v>
      </c>
      <c r="J75" s="437">
        <f ca="1">IFERROR(SUMIF('Fixture 총 발주수량'!B:AG,'후공정(애칭)생산계획'!B75,'Fixture 총 발주수량'!AA:AA),)</f>
        <v>0</v>
      </c>
      <c r="K75" s="458">
        <f>ROUNDUP(E75/2000,)</f>
        <v>1</v>
      </c>
      <c r="L75" s="458">
        <f>L73+K75</f>
        <v>65</v>
      </c>
      <c r="M75" s="458">
        <f>L75+K75</f>
        <v>66</v>
      </c>
      <c r="N75" s="438">
        <f>N73+K75</f>
        <v>65</v>
      </c>
      <c r="O75" s="306" t="s">
        <v>264</v>
      </c>
      <c r="P75" s="325"/>
      <c r="Q75" s="312"/>
      <c r="R75" s="312"/>
      <c r="S75" s="312"/>
      <c r="T75" s="312"/>
      <c r="U75" s="312"/>
      <c r="V75" s="312"/>
      <c r="W75" s="312"/>
      <c r="X75" s="312"/>
      <c r="Y75" s="312"/>
      <c r="Z75" s="312"/>
      <c r="AA75" s="312"/>
      <c r="AB75" s="312"/>
      <c r="AC75" s="312"/>
      <c r="AD75" s="312"/>
      <c r="AE75" s="312"/>
      <c r="AF75" s="312"/>
      <c r="AG75" s="312"/>
      <c r="AH75" s="312"/>
      <c r="AI75" s="312"/>
      <c r="AJ75" s="312"/>
      <c r="AK75" s="312"/>
      <c r="AL75" s="312"/>
      <c r="AM75" s="312"/>
      <c r="AN75" s="312"/>
      <c r="AO75" s="312"/>
      <c r="AP75" s="312"/>
      <c r="AQ75" s="312"/>
      <c r="AR75" s="312"/>
      <c r="AS75" s="312"/>
      <c r="AT75" s="313"/>
    </row>
    <row r="76" spans="2:46" ht="32.1" customHeight="1" thickBot="1" x14ac:dyDescent="0.35">
      <c r="B76" s="454"/>
      <c r="C76" s="454"/>
      <c r="D76" s="454"/>
      <c r="E76" s="450"/>
      <c r="F76" s="461"/>
      <c r="G76" s="452"/>
      <c r="H76" s="452"/>
      <c r="I76" s="453"/>
      <c r="J76" s="452"/>
      <c r="K76" s="438"/>
      <c r="L76" s="438"/>
      <c r="M76" s="438"/>
      <c r="N76" s="450"/>
      <c r="O76" s="305" t="s">
        <v>266</v>
      </c>
      <c r="P76" s="323" cm="1">
        <f t="array" ref="P76">INDEX('생산수량Back-Data'!$B$5:$AAA$10041,
       MATCH($B75,'생산수량Back-Data'!$B$5:$B$10041,0)+2,
       MATCH(P$3,'생산수량Back-Data'!$B$3:$AAA$3,0))</f>
        <v>0</v>
      </c>
      <c r="Q76" s="310" cm="1">
        <f t="array" ref="Q76">INDEX('생산수량Back-Data'!$B$5:$AAA$10041,
       MATCH($B75,'생산수량Back-Data'!$B$5:$B$10041,0)+2,
       MATCH(Q$3,'생산수량Back-Data'!$B$3:$AAA$3,0))</f>
        <v>0</v>
      </c>
      <c r="R76" s="310" cm="1">
        <f t="array" ref="R76">INDEX('생산수량Back-Data'!$B$5:$AAA$10041,
       MATCH($B75,'생산수량Back-Data'!$B$5:$B$10041,0)+2,
       MATCH(R$3,'생산수량Back-Data'!$B$3:$AAA$3,0))</f>
        <v>0</v>
      </c>
      <c r="S76" s="310" cm="1">
        <f t="array" ref="S76">INDEX('생산수량Back-Data'!$B$5:$AAA$10041,
       MATCH($B75,'생산수량Back-Data'!$B$5:$B$10041,0)+2,
       MATCH(S$3,'생산수량Back-Data'!$B$3:$AAA$3,0))</f>
        <v>0</v>
      </c>
      <c r="T76" s="310" cm="1">
        <f t="array" ref="T76">INDEX('생산수량Back-Data'!$B$5:$AAA$10041,
       MATCH($B75,'생산수량Back-Data'!$B$5:$B$10041,0)+2,
       MATCH(T$3,'생산수량Back-Data'!$B$3:$AAA$3,0))</f>
        <v>0</v>
      </c>
      <c r="U76" s="310" cm="1">
        <f t="array" ref="U76">INDEX('생산수량Back-Data'!$B$5:$AAA$10041,
       MATCH($B75,'생산수량Back-Data'!$B$5:$B$10041,0)+2,
       MATCH(U$3,'생산수량Back-Data'!$B$3:$AAA$3,0))</f>
        <v>0</v>
      </c>
      <c r="V76" s="310" cm="1">
        <f t="array" ref="V76">INDEX('생산수량Back-Data'!$B$5:$AAA$10041,
       MATCH($B75,'생산수량Back-Data'!$B$5:$B$10041,0)+2,
       MATCH(V$3,'생산수량Back-Data'!$B$3:$AAA$3,0))</f>
        <v>0</v>
      </c>
      <c r="W76" s="310" cm="1">
        <f t="array" ref="W76">INDEX('생산수량Back-Data'!$B$5:$AAA$10041,
       MATCH($B75,'생산수량Back-Data'!$B$5:$B$10041,0)+2,
       MATCH(W$3,'생산수량Back-Data'!$B$3:$AAA$3,0))</f>
        <v>0</v>
      </c>
      <c r="X76" s="310" cm="1">
        <f t="array" ref="X76">INDEX('생산수량Back-Data'!$B$5:$AAA$10041,
       MATCH($B75,'생산수량Back-Data'!$B$5:$B$10041,0)+2,
       MATCH(X$3,'생산수량Back-Data'!$B$3:$AAA$3,0))</f>
        <v>0</v>
      </c>
      <c r="Y76" s="310" cm="1">
        <f t="array" ref="Y76">INDEX('생산수량Back-Data'!$B$5:$AAA$10041,
       MATCH($B75,'생산수량Back-Data'!$B$5:$B$10041,0)+2,
       MATCH(Y$3,'생산수량Back-Data'!$B$3:$AAA$3,0))</f>
        <v>0</v>
      </c>
      <c r="Z76" s="310" cm="1">
        <f t="array" ref="Z76">INDEX('생산수량Back-Data'!$B$5:$AAA$10041,
       MATCH($B75,'생산수량Back-Data'!$B$5:$B$10041,0)+2,
       MATCH(Z$3,'생산수량Back-Data'!$B$3:$AAA$3,0))</f>
        <v>0</v>
      </c>
      <c r="AA76" s="310" cm="1">
        <f t="array" ref="AA76">INDEX('생산수량Back-Data'!$B$5:$AAA$10041,
       MATCH($B75,'생산수량Back-Data'!$B$5:$B$10041,0)+2,
       MATCH(AA$3,'생산수량Back-Data'!$B$3:$AAA$3,0))</f>
        <v>0</v>
      </c>
      <c r="AB76" s="310" cm="1">
        <f t="array" ref="AB76">INDEX('생산수량Back-Data'!$B$5:$AAA$10041,
       MATCH($B75,'생산수량Back-Data'!$B$5:$B$10041,0)+2,
       MATCH(AB$3,'생산수량Back-Data'!$B$3:$AAA$3,0))</f>
        <v>0</v>
      </c>
      <c r="AC76" s="310" cm="1">
        <f t="array" ref="AC76">INDEX('생산수량Back-Data'!$B$5:$AAA$10041,
       MATCH($B75,'생산수량Back-Data'!$B$5:$B$10041,0)+2,
       MATCH(AC$3,'생산수량Back-Data'!$B$3:$AAA$3,0))</f>
        <v>0</v>
      </c>
      <c r="AD76" s="310" cm="1">
        <f t="array" ref="AD76">INDEX('생산수량Back-Data'!$B$5:$AAA$10041,
       MATCH($B75,'생산수량Back-Data'!$B$5:$B$10041,0)+2,
       MATCH(AD$3,'생산수량Back-Data'!$B$3:$AAA$3,0))</f>
        <v>0</v>
      </c>
      <c r="AE76" s="310" cm="1">
        <f t="array" ref="AE76">INDEX('생산수량Back-Data'!$B$5:$AAA$10041,
       MATCH($B75,'생산수량Back-Data'!$B$5:$B$10041,0)+2,
       MATCH(AE$3,'생산수량Back-Data'!$B$3:$AAA$3,0))</f>
        <v>0</v>
      </c>
      <c r="AF76" s="310" cm="1">
        <f t="array" ref="AF76">INDEX('생산수량Back-Data'!$B$5:$AAA$10041,
       MATCH($B75,'생산수량Back-Data'!$B$5:$B$10041,0)+2,
       MATCH(AF$3,'생산수량Back-Data'!$B$3:$AAA$3,0))</f>
        <v>0</v>
      </c>
      <c r="AG76" s="310" cm="1">
        <f t="array" ref="AG76">INDEX('생산수량Back-Data'!$B$5:$AAA$10041,
       MATCH($B75,'생산수량Back-Data'!$B$5:$B$10041,0)+2,
       MATCH(AG$3,'생산수량Back-Data'!$B$3:$AAA$3,0))</f>
        <v>0</v>
      </c>
      <c r="AH76" s="310" cm="1">
        <f t="array" ref="AH76">INDEX('생산수량Back-Data'!$B$5:$AAA$10041,
       MATCH($B75,'생산수량Back-Data'!$B$5:$B$10041,0)+2,
       MATCH(AH$3,'생산수량Back-Data'!$B$3:$AAA$3,0))</f>
        <v>0</v>
      </c>
      <c r="AI76" s="310" cm="1">
        <f t="array" ref="AI76">INDEX('생산수량Back-Data'!$B$5:$AAA$10041,
       MATCH($B75,'생산수량Back-Data'!$B$5:$B$10041,0)+2,
       MATCH(AI$3,'생산수량Back-Data'!$B$3:$AAA$3,0))</f>
        <v>0</v>
      </c>
      <c r="AJ76" s="310" cm="1">
        <f t="array" ref="AJ76">INDEX('생산수량Back-Data'!$B$5:$AAA$10041,
       MATCH($B75,'생산수량Back-Data'!$B$5:$B$10041,0)+2,
       MATCH(AJ$3,'생산수량Back-Data'!$B$3:$AAA$3,0))</f>
        <v>0</v>
      </c>
      <c r="AK76" s="310" cm="1">
        <f t="array" ref="AK76">INDEX('생산수량Back-Data'!$B$5:$AAA$10041,
       MATCH($B75,'생산수량Back-Data'!$B$5:$B$10041,0)+2,
       MATCH(AK$3,'생산수량Back-Data'!$B$3:$AAA$3,0))</f>
        <v>0</v>
      </c>
      <c r="AL76" s="310" cm="1">
        <f t="array" ref="AL76">INDEX('생산수량Back-Data'!$B$5:$AAA$10041,
       MATCH($B75,'생산수량Back-Data'!$B$5:$B$10041,0)+2,
       MATCH(AL$3,'생산수량Back-Data'!$B$3:$AAA$3,0))</f>
        <v>0</v>
      </c>
      <c r="AM76" s="310" cm="1">
        <f t="array" ref="AM76">INDEX('생산수량Back-Data'!$B$5:$AAA$10041,
       MATCH($B75,'생산수량Back-Data'!$B$5:$B$10041,0)+2,
       MATCH(AM$3,'생산수량Back-Data'!$B$3:$AAA$3,0))</f>
        <v>0</v>
      </c>
      <c r="AN76" s="310" cm="1">
        <f t="array" ref="AN76">INDEX('생산수량Back-Data'!$B$5:$AAA$10041,
       MATCH($B75,'생산수량Back-Data'!$B$5:$B$10041,0)+2,
       MATCH(AN$3,'생산수량Back-Data'!$B$3:$AAA$3,0))</f>
        <v>0</v>
      </c>
      <c r="AO76" s="310" cm="1">
        <f t="array" ref="AO76">INDEX('생산수량Back-Data'!$B$5:$AAA$10041,
       MATCH($B75,'생산수량Back-Data'!$B$5:$B$10041,0)+2,
       MATCH(AO$3,'생산수량Back-Data'!$B$3:$AAA$3,0))</f>
        <v>0</v>
      </c>
      <c r="AP76" s="310" cm="1">
        <f t="array" ref="AP76">INDEX('생산수량Back-Data'!$B$5:$AAA$10041,
       MATCH($B75,'생산수량Back-Data'!$B$5:$B$10041,0)+2,
       MATCH(AP$3,'생산수량Back-Data'!$B$3:$AAA$3,0))</f>
        <v>0</v>
      </c>
      <c r="AQ76" s="310" cm="1">
        <f t="array" ref="AQ76">INDEX('생산수량Back-Data'!$B$5:$AAA$10041,
       MATCH($B75,'생산수량Back-Data'!$B$5:$B$10041,0)+2,
       MATCH(AQ$3,'생산수량Back-Data'!$B$3:$AAA$3,0))</f>
        <v>0</v>
      </c>
      <c r="AR76" s="310" cm="1">
        <f t="array" ref="AR76">INDEX('생산수량Back-Data'!$B$5:$AAA$10041,
       MATCH($B75,'생산수량Back-Data'!$B$5:$B$10041,0)+2,
       MATCH(AR$3,'생산수량Back-Data'!$B$3:$AAA$3,0))</f>
        <v>0</v>
      </c>
      <c r="AS76" s="310" cm="1">
        <f t="array" ref="AS76">INDEX('생산수량Back-Data'!$B$5:$AAA$10041,
       MATCH($B75,'생산수량Back-Data'!$B$5:$B$10041,0)+2,
       MATCH(AS$3,'생산수량Back-Data'!$B$3:$AAA$3,0))</f>
        <v>0</v>
      </c>
      <c r="AT76" s="324" cm="1">
        <f t="array" ref="AT76">INDEX('생산수량Back-Data'!$B$5:$AAA$10041,
       MATCH($B75,'생산수량Back-Data'!$B$5:$B$10041,0)+2,
       MATCH(AT$3,'생산수량Back-Data'!$B$3:$AAA$3,0))</f>
        <v>0</v>
      </c>
    </row>
    <row r="77" spans="2:46" ht="32.1" customHeight="1" x14ac:dyDescent="0.3">
      <c r="B77" s="449" t="s">
        <v>63</v>
      </c>
      <c r="C77" s="449" t="s">
        <v>185</v>
      </c>
      <c r="D77" s="449" t="s">
        <v>203</v>
      </c>
      <c r="E77" s="446">
        <f>ABS(SUMIFS('Fixture 총 발주수량'!Z:Z,'Fixture 총 발주수량'!B:B,'후공정(애칭)생산계획'!B77,'Fixture 총 발주수량'!Z:Z,"&lt;0"))</f>
        <v>69</v>
      </c>
      <c r="F77" s="434">
        <f>G77-E77</f>
        <v>-69</v>
      </c>
      <c r="G77" s="435">
        <f>SUMIF(P77:AT77, "&gt;0")</f>
        <v>0</v>
      </c>
      <c r="H77" s="435">
        <f>SUMIF(P78:AT78, "&gt;0")</f>
        <v>0</v>
      </c>
      <c r="I77" s="448">
        <f>IFERROR(H77/G77,)</f>
        <v>0</v>
      </c>
      <c r="J77" s="435">
        <f ca="1">IFERROR(SUMIF('Fixture 총 발주수량'!B:AG,'후공정(애칭)생산계획'!B77,'Fixture 총 발주수량'!AA:AA),)</f>
        <v>0</v>
      </c>
      <c r="K77" s="460">
        <f>ROUNDUP(E77/2000,)</f>
        <v>1</v>
      </c>
      <c r="L77" s="460">
        <f>L75+K77</f>
        <v>66</v>
      </c>
      <c r="M77" s="460">
        <f>L77+K77</f>
        <v>67</v>
      </c>
      <c r="N77" s="446">
        <f>N75+K77</f>
        <v>66</v>
      </c>
      <c r="O77" s="336" t="s">
        <v>264</v>
      </c>
      <c r="P77" s="419"/>
      <c r="Q77" s="417"/>
      <c r="R77" s="417"/>
      <c r="S77" s="417"/>
      <c r="T77" s="417"/>
      <c r="U77" s="417"/>
      <c r="V77" s="417"/>
      <c r="W77" s="417"/>
      <c r="X77" s="417"/>
      <c r="Y77" s="417"/>
      <c r="Z77" s="417"/>
      <c r="AA77" s="417"/>
      <c r="AB77" s="417"/>
      <c r="AC77" s="417"/>
      <c r="AD77" s="417"/>
      <c r="AE77" s="417"/>
      <c r="AF77" s="417"/>
      <c r="AG77" s="417"/>
      <c r="AH77" s="417"/>
      <c r="AI77" s="417"/>
      <c r="AJ77" s="417"/>
      <c r="AK77" s="417"/>
      <c r="AL77" s="417"/>
      <c r="AM77" s="417"/>
      <c r="AN77" s="417"/>
      <c r="AO77" s="417"/>
      <c r="AP77" s="417"/>
      <c r="AQ77" s="417"/>
      <c r="AR77" s="417"/>
      <c r="AS77" s="417"/>
      <c r="AT77" s="418"/>
    </row>
    <row r="78" spans="2:46" ht="32.1" customHeight="1" x14ac:dyDescent="0.3">
      <c r="B78" s="445"/>
      <c r="C78" s="445"/>
      <c r="D78" s="445"/>
      <c r="E78" s="439"/>
      <c r="F78" s="459"/>
      <c r="G78" s="436"/>
      <c r="H78" s="436"/>
      <c r="I78" s="443"/>
      <c r="J78" s="436"/>
      <c r="K78" s="458"/>
      <c r="L78" s="458"/>
      <c r="M78" s="458"/>
      <c r="N78" s="439"/>
      <c r="O78" s="306" t="s">
        <v>266</v>
      </c>
      <c r="P78" s="327" cm="1">
        <f t="array" ref="P78">INDEX('생산수량Back-Data'!$B$5:$AAA$10041,
       MATCH($B77,'생산수량Back-Data'!$B$5:$B$10041,0)+2,
       MATCH(P$3,'생산수량Back-Data'!$B$3:$AAA$3,0))</f>
        <v>0</v>
      </c>
      <c r="Q78" s="328" cm="1">
        <f t="array" ref="Q78">INDEX('생산수량Back-Data'!$B$5:$AAA$10041,
       MATCH($B77,'생산수량Back-Data'!$B$5:$B$10041,0)+2,
       MATCH(Q$3,'생산수량Back-Data'!$B$3:$AAA$3,0))</f>
        <v>0</v>
      </c>
      <c r="R78" s="328" cm="1">
        <f t="array" ref="R78">INDEX('생산수량Back-Data'!$B$5:$AAA$10041,
       MATCH($B77,'생산수량Back-Data'!$B$5:$B$10041,0)+2,
       MATCH(R$3,'생산수량Back-Data'!$B$3:$AAA$3,0))</f>
        <v>0</v>
      </c>
      <c r="S78" s="328" cm="1">
        <f t="array" ref="S78">INDEX('생산수량Back-Data'!$B$5:$AAA$10041,
       MATCH($B77,'생산수량Back-Data'!$B$5:$B$10041,0)+2,
       MATCH(S$3,'생산수량Back-Data'!$B$3:$AAA$3,0))</f>
        <v>0</v>
      </c>
      <c r="T78" s="328" cm="1">
        <f t="array" ref="T78">INDEX('생산수량Back-Data'!$B$5:$AAA$10041,
       MATCH($B77,'생산수량Back-Data'!$B$5:$B$10041,0)+2,
       MATCH(T$3,'생산수량Back-Data'!$B$3:$AAA$3,0))</f>
        <v>0</v>
      </c>
      <c r="U78" s="328" cm="1">
        <f t="array" ref="U78">INDEX('생산수량Back-Data'!$B$5:$AAA$10041,
       MATCH($B77,'생산수량Back-Data'!$B$5:$B$10041,0)+2,
       MATCH(U$3,'생산수량Back-Data'!$B$3:$AAA$3,0))</f>
        <v>0</v>
      </c>
      <c r="V78" s="328" cm="1">
        <f t="array" ref="V78">INDEX('생산수량Back-Data'!$B$5:$AAA$10041,
       MATCH($B77,'생산수량Back-Data'!$B$5:$B$10041,0)+2,
       MATCH(V$3,'생산수량Back-Data'!$B$3:$AAA$3,0))</f>
        <v>0</v>
      </c>
      <c r="W78" s="328" cm="1">
        <f t="array" ref="W78">INDEX('생산수량Back-Data'!$B$5:$AAA$10041,
       MATCH($B77,'생산수량Back-Data'!$B$5:$B$10041,0)+2,
       MATCH(W$3,'생산수량Back-Data'!$B$3:$AAA$3,0))</f>
        <v>0</v>
      </c>
      <c r="X78" s="328" cm="1">
        <f t="array" ref="X78">INDEX('생산수량Back-Data'!$B$5:$AAA$10041,
       MATCH($B77,'생산수량Back-Data'!$B$5:$B$10041,0)+2,
       MATCH(X$3,'생산수량Back-Data'!$B$3:$AAA$3,0))</f>
        <v>0</v>
      </c>
      <c r="Y78" s="328" cm="1">
        <f t="array" ref="Y78">INDEX('생산수량Back-Data'!$B$5:$AAA$10041,
       MATCH($B77,'생산수량Back-Data'!$B$5:$B$10041,0)+2,
       MATCH(Y$3,'생산수량Back-Data'!$B$3:$AAA$3,0))</f>
        <v>0</v>
      </c>
      <c r="Z78" s="328" cm="1">
        <f t="array" ref="Z78">INDEX('생산수량Back-Data'!$B$5:$AAA$10041,
       MATCH($B77,'생산수량Back-Data'!$B$5:$B$10041,0)+2,
       MATCH(Z$3,'생산수량Back-Data'!$B$3:$AAA$3,0))</f>
        <v>0</v>
      </c>
      <c r="AA78" s="328" cm="1">
        <f t="array" ref="AA78">INDEX('생산수량Back-Data'!$B$5:$AAA$10041,
       MATCH($B77,'생산수량Back-Data'!$B$5:$B$10041,0)+2,
       MATCH(AA$3,'생산수량Back-Data'!$B$3:$AAA$3,0))</f>
        <v>0</v>
      </c>
      <c r="AB78" s="328" cm="1">
        <f t="array" ref="AB78">INDEX('생산수량Back-Data'!$B$5:$AAA$10041,
       MATCH($B77,'생산수량Back-Data'!$B$5:$B$10041,0)+2,
       MATCH(AB$3,'생산수량Back-Data'!$B$3:$AAA$3,0))</f>
        <v>0</v>
      </c>
      <c r="AC78" s="328" cm="1">
        <f t="array" ref="AC78">INDEX('생산수량Back-Data'!$B$5:$AAA$10041,
       MATCH($B77,'생산수량Back-Data'!$B$5:$B$10041,0)+2,
       MATCH(AC$3,'생산수량Back-Data'!$B$3:$AAA$3,0))</f>
        <v>0</v>
      </c>
      <c r="AD78" s="328" cm="1">
        <f t="array" ref="AD78">INDEX('생산수량Back-Data'!$B$5:$AAA$10041,
       MATCH($B77,'생산수량Back-Data'!$B$5:$B$10041,0)+2,
       MATCH(AD$3,'생산수량Back-Data'!$B$3:$AAA$3,0))</f>
        <v>0</v>
      </c>
      <c r="AE78" s="328" cm="1">
        <f t="array" ref="AE78">INDEX('생산수량Back-Data'!$B$5:$AAA$10041,
       MATCH($B77,'생산수량Back-Data'!$B$5:$B$10041,0)+2,
       MATCH(AE$3,'생산수량Back-Data'!$B$3:$AAA$3,0))</f>
        <v>0</v>
      </c>
      <c r="AF78" s="328" cm="1">
        <f t="array" ref="AF78">INDEX('생산수량Back-Data'!$B$5:$AAA$10041,
       MATCH($B77,'생산수량Back-Data'!$B$5:$B$10041,0)+2,
       MATCH(AF$3,'생산수량Back-Data'!$B$3:$AAA$3,0))</f>
        <v>0</v>
      </c>
      <c r="AG78" s="328" cm="1">
        <f t="array" ref="AG78">INDEX('생산수량Back-Data'!$B$5:$AAA$10041,
       MATCH($B77,'생산수량Back-Data'!$B$5:$B$10041,0)+2,
       MATCH(AG$3,'생산수량Back-Data'!$B$3:$AAA$3,0))</f>
        <v>0</v>
      </c>
      <c r="AH78" s="328" cm="1">
        <f t="array" ref="AH78">INDEX('생산수량Back-Data'!$B$5:$AAA$10041,
       MATCH($B77,'생산수량Back-Data'!$B$5:$B$10041,0)+2,
       MATCH(AH$3,'생산수량Back-Data'!$B$3:$AAA$3,0))</f>
        <v>0</v>
      </c>
      <c r="AI78" s="328" cm="1">
        <f t="array" ref="AI78">INDEX('생산수량Back-Data'!$B$5:$AAA$10041,
       MATCH($B77,'생산수량Back-Data'!$B$5:$B$10041,0)+2,
       MATCH(AI$3,'생산수량Back-Data'!$B$3:$AAA$3,0))</f>
        <v>0</v>
      </c>
      <c r="AJ78" s="328" cm="1">
        <f t="array" ref="AJ78">INDEX('생산수량Back-Data'!$B$5:$AAA$10041,
       MATCH($B77,'생산수량Back-Data'!$B$5:$B$10041,0)+2,
       MATCH(AJ$3,'생산수량Back-Data'!$B$3:$AAA$3,0))</f>
        <v>0</v>
      </c>
      <c r="AK78" s="328" cm="1">
        <f t="array" ref="AK78">INDEX('생산수량Back-Data'!$B$5:$AAA$10041,
       MATCH($B77,'생산수량Back-Data'!$B$5:$B$10041,0)+2,
       MATCH(AK$3,'생산수량Back-Data'!$B$3:$AAA$3,0))</f>
        <v>0</v>
      </c>
      <c r="AL78" s="328" cm="1">
        <f t="array" ref="AL78">INDEX('생산수량Back-Data'!$B$5:$AAA$10041,
       MATCH($B77,'생산수량Back-Data'!$B$5:$B$10041,0)+2,
       MATCH(AL$3,'생산수량Back-Data'!$B$3:$AAA$3,0))</f>
        <v>0</v>
      </c>
      <c r="AM78" s="328" cm="1">
        <f t="array" ref="AM78">INDEX('생산수량Back-Data'!$B$5:$AAA$10041,
       MATCH($B77,'생산수량Back-Data'!$B$5:$B$10041,0)+2,
       MATCH(AM$3,'생산수량Back-Data'!$B$3:$AAA$3,0))</f>
        <v>0</v>
      </c>
      <c r="AN78" s="328" cm="1">
        <f t="array" ref="AN78">INDEX('생산수량Back-Data'!$B$5:$AAA$10041,
       MATCH($B77,'생산수량Back-Data'!$B$5:$B$10041,0)+2,
       MATCH(AN$3,'생산수량Back-Data'!$B$3:$AAA$3,0))</f>
        <v>0</v>
      </c>
      <c r="AO78" s="328" cm="1">
        <f t="array" ref="AO78">INDEX('생산수량Back-Data'!$B$5:$AAA$10041,
       MATCH($B77,'생산수량Back-Data'!$B$5:$B$10041,0)+2,
       MATCH(AO$3,'생산수량Back-Data'!$B$3:$AAA$3,0))</f>
        <v>0</v>
      </c>
      <c r="AP78" s="328" cm="1">
        <f t="array" ref="AP78">INDEX('생산수량Back-Data'!$B$5:$AAA$10041,
       MATCH($B77,'생산수량Back-Data'!$B$5:$B$10041,0)+2,
       MATCH(AP$3,'생산수량Back-Data'!$B$3:$AAA$3,0))</f>
        <v>0</v>
      </c>
      <c r="AQ78" s="328" cm="1">
        <f t="array" ref="AQ78">INDEX('생산수량Back-Data'!$B$5:$AAA$10041,
       MATCH($B77,'생산수량Back-Data'!$B$5:$B$10041,0)+2,
       MATCH(AQ$3,'생산수량Back-Data'!$B$3:$AAA$3,0))</f>
        <v>0</v>
      </c>
      <c r="AR78" s="328" cm="1">
        <f t="array" ref="AR78">INDEX('생산수량Back-Data'!$B$5:$AAA$10041,
       MATCH($B77,'생산수량Back-Data'!$B$5:$B$10041,0)+2,
       MATCH(AR$3,'생산수량Back-Data'!$B$3:$AAA$3,0))</f>
        <v>0</v>
      </c>
      <c r="AS78" s="328" cm="1">
        <f t="array" ref="AS78">INDEX('생산수량Back-Data'!$B$5:$AAA$10041,
       MATCH($B77,'생산수량Back-Data'!$B$5:$B$10041,0)+2,
       MATCH(AS$3,'생산수량Back-Data'!$B$3:$AAA$3,0))</f>
        <v>0</v>
      </c>
      <c r="AT78" s="329" cm="1">
        <f t="array" ref="AT78">INDEX('생산수량Back-Data'!$B$5:$AAA$10041,
       MATCH($B77,'생산수량Back-Data'!$B$5:$B$10041,0)+2,
       MATCH(AT$3,'생산수량Back-Data'!$B$3:$AAA$3,0))</f>
        <v>0</v>
      </c>
    </row>
    <row r="79" spans="2:46" ht="32.1" customHeight="1" x14ac:dyDescent="0.3">
      <c r="B79" s="444" t="s">
        <v>64</v>
      </c>
      <c r="C79" s="444" t="s">
        <v>185</v>
      </c>
      <c r="D79" s="444" t="s">
        <v>204</v>
      </c>
      <c r="E79" s="438">
        <f>ABS(SUMIFS('Fixture 총 발주수량'!Z:Z,'Fixture 총 발주수량'!B:B,'후공정(애칭)생산계획'!B79,'Fixture 총 발주수량'!Z:Z,"&lt;0"))</f>
        <v>2054</v>
      </c>
      <c r="F79" s="431">
        <f>G79-E79</f>
        <v>-2054</v>
      </c>
      <c r="G79" s="437">
        <f>SUMIF(P79:AT79, "&gt;0")</f>
        <v>0</v>
      </c>
      <c r="H79" s="437">
        <f>SUMIF(P80:AT80, "&gt;0")</f>
        <v>0</v>
      </c>
      <c r="I79" s="442">
        <f>IFERROR(H79/G79,)</f>
        <v>0</v>
      </c>
      <c r="J79" s="437">
        <f ca="1">IFERROR(SUMIF('Fixture 총 발주수량'!B:AG,'후공정(애칭)생산계획'!B79,'Fixture 총 발주수량'!AA:AA),)</f>
        <v>0</v>
      </c>
      <c r="K79" s="458">
        <f>ROUNDUP(E79/2000,)</f>
        <v>2</v>
      </c>
      <c r="L79" s="458">
        <f>L77+K79</f>
        <v>68</v>
      </c>
      <c r="M79" s="458">
        <f>L79+K79</f>
        <v>70</v>
      </c>
      <c r="N79" s="438">
        <f>N77+K79</f>
        <v>68</v>
      </c>
      <c r="O79" s="306" t="s">
        <v>264</v>
      </c>
      <c r="P79" s="325"/>
      <c r="Q79" s="312"/>
      <c r="R79" s="312"/>
      <c r="S79" s="312"/>
      <c r="T79" s="312"/>
      <c r="U79" s="312"/>
      <c r="V79" s="312"/>
      <c r="W79" s="312"/>
      <c r="X79" s="312"/>
      <c r="Y79" s="312"/>
      <c r="Z79" s="312"/>
      <c r="AA79" s="312"/>
      <c r="AB79" s="312"/>
      <c r="AC79" s="312"/>
      <c r="AD79" s="312"/>
      <c r="AE79" s="312"/>
      <c r="AF79" s="312"/>
      <c r="AG79" s="312"/>
      <c r="AH79" s="312"/>
      <c r="AI79" s="312"/>
      <c r="AJ79" s="312"/>
      <c r="AK79" s="312"/>
      <c r="AL79" s="312"/>
      <c r="AM79" s="312"/>
      <c r="AN79" s="312"/>
      <c r="AO79" s="312"/>
      <c r="AP79" s="312"/>
      <c r="AQ79" s="312"/>
      <c r="AR79" s="312"/>
      <c r="AS79" s="312"/>
      <c r="AT79" s="313"/>
    </row>
    <row r="80" spans="2:46" ht="32.1" customHeight="1" x14ac:dyDescent="0.3">
      <c r="B80" s="445"/>
      <c r="C80" s="445"/>
      <c r="D80" s="445"/>
      <c r="E80" s="439"/>
      <c r="F80" s="459"/>
      <c r="G80" s="436"/>
      <c r="H80" s="436"/>
      <c r="I80" s="443"/>
      <c r="J80" s="436"/>
      <c r="K80" s="458"/>
      <c r="L80" s="458"/>
      <c r="M80" s="458"/>
      <c r="N80" s="439"/>
      <c r="O80" s="306" t="s">
        <v>266</v>
      </c>
      <c r="P80" s="323" cm="1">
        <f t="array" ref="P80">INDEX('생산수량Back-Data'!$B$5:$AAA$10041,
       MATCH($B79,'생산수량Back-Data'!$B$5:$B$10041,0)+2,
       MATCH(P$3,'생산수량Back-Data'!$B$3:$AAA$3,0))</f>
        <v>0</v>
      </c>
      <c r="Q80" s="310" cm="1">
        <f t="array" ref="Q80">INDEX('생산수량Back-Data'!$B$5:$AAA$10041,
       MATCH($B79,'생산수량Back-Data'!$B$5:$B$10041,0)+2,
       MATCH(Q$3,'생산수량Back-Data'!$B$3:$AAA$3,0))</f>
        <v>0</v>
      </c>
      <c r="R80" s="310" cm="1">
        <f t="array" ref="R80">INDEX('생산수량Back-Data'!$B$5:$AAA$10041,
       MATCH($B79,'생산수량Back-Data'!$B$5:$B$10041,0)+2,
       MATCH(R$3,'생산수량Back-Data'!$B$3:$AAA$3,0))</f>
        <v>0</v>
      </c>
      <c r="S80" s="310" cm="1">
        <f t="array" ref="S80">INDEX('생산수량Back-Data'!$B$5:$AAA$10041,
       MATCH($B79,'생산수량Back-Data'!$B$5:$B$10041,0)+2,
       MATCH(S$3,'생산수량Back-Data'!$B$3:$AAA$3,0))</f>
        <v>0</v>
      </c>
      <c r="T80" s="310" cm="1">
        <f t="array" ref="T80">INDEX('생산수량Back-Data'!$B$5:$AAA$10041,
       MATCH($B79,'생산수량Back-Data'!$B$5:$B$10041,0)+2,
       MATCH(T$3,'생산수량Back-Data'!$B$3:$AAA$3,0))</f>
        <v>0</v>
      </c>
      <c r="U80" s="310" cm="1">
        <f t="array" ref="U80">INDEX('생산수량Back-Data'!$B$5:$AAA$10041,
       MATCH($B79,'생산수량Back-Data'!$B$5:$B$10041,0)+2,
       MATCH(U$3,'생산수량Back-Data'!$B$3:$AAA$3,0))</f>
        <v>0</v>
      </c>
      <c r="V80" s="310" cm="1">
        <f t="array" ref="V80">INDEX('생산수량Back-Data'!$B$5:$AAA$10041,
       MATCH($B79,'생산수량Back-Data'!$B$5:$B$10041,0)+2,
       MATCH(V$3,'생산수량Back-Data'!$B$3:$AAA$3,0))</f>
        <v>0</v>
      </c>
      <c r="W80" s="310" cm="1">
        <f t="array" ref="W80">INDEX('생산수량Back-Data'!$B$5:$AAA$10041,
       MATCH($B79,'생산수량Back-Data'!$B$5:$B$10041,0)+2,
       MATCH(W$3,'생산수량Back-Data'!$B$3:$AAA$3,0))</f>
        <v>0</v>
      </c>
      <c r="X80" s="310" cm="1">
        <f t="array" ref="X80">INDEX('생산수량Back-Data'!$B$5:$AAA$10041,
       MATCH($B79,'생산수량Back-Data'!$B$5:$B$10041,0)+2,
       MATCH(X$3,'생산수량Back-Data'!$B$3:$AAA$3,0))</f>
        <v>0</v>
      </c>
      <c r="Y80" s="310" cm="1">
        <f t="array" ref="Y80">INDEX('생산수량Back-Data'!$B$5:$AAA$10041,
       MATCH($B79,'생산수량Back-Data'!$B$5:$B$10041,0)+2,
       MATCH(Y$3,'생산수량Back-Data'!$B$3:$AAA$3,0))</f>
        <v>0</v>
      </c>
      <c r="Z80" s="310" cm="1">
        <f t="array" ref="Z80">INDEX('생산수량Back-Data'!$B$5:$AAA$10041,
       MATCH($B79,'생산수량Back-Data'!$B$5:$B$10041,0)+2,
       MATCH(Z$3,'생산수량Back-Data'!$B$3:$AAA$3,0))</f>
        <v>0</v>
      </c>
      <c r="AA80" s="310" cm="1">
        <f t="array" ref="AA80">INDEX('생산수량Back-Data'!$B$5:$AAA$10041,
       MATCH($B79,'생산수량Back-Data'!$B$5:$B$10041,0)+2,
       MATCH(AA$3,'생산수량Back-Data'!$B$3:$AAA$3,0))</f>
        <v>0</v>
      </c>
      <c r="AB80" s="310" cm="1">
        <f t="array" ref="AB80">INDEX('생산수량Back-Data'!$B$5:$AAA$10041,
       MATCH($B79,'생산수량Back-Data'!$B$5:$B$10041,0)+2,
       MATCH(AB$3,'생산수량Back-Data'!$B$3:$AAA$3,0))</f>
        <v>0</v>
      </c>
      <c r="AC80" s="310" cm="1">
        <f t="array" ref="AC80">INDEX('생산수량Back-Data'!$B$5:$AAA$10041,
       MATCH($B79,'생산수량Back-Data'!$B$5:$B$10041,0)+2,
       MATCH(AC$3,'생산수량Back-Data'!$B$3:$AAA$3,0))</f>
        <v>0</v>
      </c>
      <c r="AD80" s="310" cm="1">
        <f t="array" ref="AD80">INDEX('생산수량Back-Data'!$B$5:$AAA$10041,
       MATCH($B79,'생산수량Back-Data'!$B$5:$B$10041,0)+2,
       MATCH(AD$3,'생산수량Back-Data'!$B$3:$AAA$3,0))</f>
        <v>0</v>
      </c>
      <c r="AE80" s="310" cm="1">
        <f t="array" ref="AE80">INDEX('생산수량Back-Data'!$B$5:$AAA$10041,
       MATCH($B79,'생산수량Back-Data'!$B$5:$B$10041,0)+2,
       MATCH(AE$3,'생산수량Back-Data'!$B$3:$AAA$3,0))</f>
        <v>0</v>
      </c>
      <c r="AF80" s="310" cm="1">
        <f t="array" ref="AF80">INDEX('생산수량Back-Data'!$B$5:$AAA$10041,
       MATCH($B79,'생산수량Back-Data'!$B$5:$B$10041,0)+2,
       MATCH(AF$3,'생산수량Back-Data'!$B$3:$AAA$3,0))</f>
        <v>0</v>
      </c>
      <c r="AG80" s="310" cm="1">
        <f t="array" ref="AG80">INDEX('생산수량Back-Data'!$B$5:$AAA$10041,
       MATCH($B79,'생산수량Back-Data'!$B$5:$B$10041,0)+2,
       MATCH(AG$3,'생산수량Back-Data'!$B$3:$AAA$3,0))</f>
        <v>0</v>
      </c>
      <c r="AH80" s="310" cm="1">
        <f t="array" ref="AH80">INDEX('생산수량Back-Data'!$B$5:$AAA$10041,
       MATCH($B79,'생산수량Back-Data'!$B$5:$B$10041,0)+2,
       MATCH(AH$3,'생산수량Back-Data'!$B$3:$AAA$3,0))</f>
        <v>0</v>
      </c>
      <c r="AI80" s="310" cm="1">
        <f t="array" ref="AI80">INDEX('생산수량Back-Data'!$B$5:$AAA$10041,
       MATCH($B79,'생산수량Back-Data'!$B$5:$B$10041,0)+2,
       MATCH(AI$3,'생산수량Back-Data'!$B$3:$AAA$3,0))</f>
        <v>0</v>
      </c>
      <c r="AJ80" s="310" cm="1">
        <f t="array" ref="AJ80">INDEX('생산수량Back-Data'!$B$5:$AAA$10041,
       MATCH($B79,'생산수량Back-Data'!$B$5:$B$10041,0)+2,
       MATCH(AJ$3,'생산수량Back-Data'!$B$3:$AAA$3,0))</f>
        <v>0</v>
      </c>
      <c r="AK80" s="310" cm="1">
        <f t="array" ref="AK80">INDEX('생산수량Back-Data'!$B$5:$AAA$10041,
       MATCH($B79,'생산수량Back-Data'!$B$5:$B$10041,0)+2,
       MATCH(AK$3,'생산수량Back-Data'!$B$3:$AAA$3,0))</f>
        <v>0</v>
      </c>
      <c r="AL80" s="310" cm="1">
        <f t="array" ref="AL80">INDEX('생산수량Back-Data'!$B$5:$AAA$10041,
       MATCH($B79,'생산수량Back-Data'!$B$5:$B$10041,0)+2,
       MATCH(AL$3,'생산수량Back-Data'!$B$3:$AAA$3,0))</f>
        <v>0</v>
      </c>
      <c r="AM80" s="310" cm="1">
        <f t="array" ref="AM80">INDEX('생산수량Back-Data'!$B$5:$AAA$10041,
       MATCH($B79,'생산수량Back-Data'!$B$5:$B$10041,0)+2,
       MATCH(AM$3,'생산수량Back-Data'!$B$3:$AAA$3,0))</f>
        <v>0</v>
      </c>
      <c r="AN80" s="310" cm="1">
        <f t="array" ref="AN80">INDEX('생산수량Back-Data'!$B$5:$AAA$10041,
       MATCH($B79,'생산수량Back-Data'!$B$5:$B$10041,0)+2,
       MATCH(AN$3,'생산수량Back-Data'!$B$3:$AAA$3,0))</f>
        <v>0</v>
      </c>
      <c r="AO80" s="310" cm="1">
        <f t="array" ref="AO80">INDEX('생산수량Back-Data'!$B$5:$AAA$10041,
       MATCH($B79,'생산수량Back-Data'!$B$5:$B$10041,0)+2,
       MATCH(AO$3,'생산수량Back-Data'!$B$3:$AAA$3,0))</f>
        <v>0</v>
      </c>
      <c r="AP80" s="310" cm="1">
        <f t="array" ref="AP80">INDEX('생산수량Back-Data'!$B$5:$AAA$10041,
       MATCH($B79,'생산수량Back-Data'!$B$5:$B$10041,0)+2,
       MATCH(AP$3,'생산수량Back-Data'!$B$3:$AAA$3,0))</f>
        <v>0</v>
      </c>
      <c r="AQ80" s="310" cm="1">
        <f t="array" ref="AQ80">INDEX('생산수량Back-Data'!$B$5:$AAA$10041,
       MATCH($B79,'생산수량Back-Data'!$B$5:$B$10041,0)+2,
       MATCH(AQ$3,'생산수량Back-Data'!$B$3:$AAA$3,0))</f>
        <v>0</v>
      </c>
      <c r="AR80" s="310" cm="1">
        <f t="array" ref="AR80">INDEX('생산수량Back-Data'!$B$5:$AAA$10041,
       MATCH($B79,'생산수량Back-Data'!$B$5:$B$10041,0)+2,
       MATCH(AR$3,'생산수량Back-Data'!$B$3:$AAA$3,0))</f>
        <v>0</v>
      </c>
      <c r="AS80" s="310" cm="1">
        <f t="array" ref="AS80">INDEX('생산수량Back-Data'!$B$5:$AAA$10041,
       MATCH($B79,'생산수량Back-Data'!$B$5:$B$10041,0)+2,
       MATCH(AS$3,'생산수량Back-Data'!$B$3:$AAA$3,0))</f>
        <v>0</v>
      </c>
      <c r="AT80" s="324" cm="1">
        <f t="array" ref="AT80">INDEX('생산수량Back-Data'!$B$5:$AAA$10041,
       MATCH($B79,'생산수량Back-Data'!$B$5:$B$10041,0)+2,
       MATCH(AT$3,'생산수량Back-Data'!$B$3:$AAA$3,0))</f>
        <v>0</v>
      </c>
    </row>
    <row r="81" spans="2:46" ht="32.1" customHeight="1" x14ac:dyDescent="0.3">
      <c r="B81" s="444" t="s">
        <v>65</v>
      </c>
      <c r="C81" s="444" t="s">
        <v>185</v>
      </c>
      <c r="D81" s="444" t="s">
        <v>205</v>
      </c>
      <c r="E81" s="438">
        <f>ABS(SUMIFS('Fixture 총 발주수량'!Z:Z,'Fixture 총 발주수량'!B:B,'후공정(애칭)생산계획'!B81,'Fixture 총 발주수량'!Z:Z,"&lt;0"))</f>
        <v>1085</v>
      </c>
      <c r="F81" s="431">
        <f>G81-E81</f>
        <v>-1085</v>
      </c>
      <c r="G81" s="437">
        <f>SUMIF(P81:AT81, "&gt;0")</f>
        <v>0</v>
      </c>
      <c r="H81" s="437">
        <f>SUMIF(P82:AT82, "&gt;0")</f>
        <v>0</v>
      </c>
      <c r="I81" s="442">
        <f>IFERROR(H81/G81,)</f>
        <v>0</v>
      </c>
      <c r="J81" s="437">
        <f ca="1">IFERROR(SUMIF('Fixture 총 발주수량'!B:AG,'후공정(애칭)생산계획'!B81,'Fixture 총 발주수량'!AA:AA),)</f>
        <v>0</v>
      </c>
      <c r="K81" s="458">
        <f>ROUNDUP(E81/2000,)</f>
        <v>1</v>
      </c>
      <c r="L81" s="458">
        <f>L79+K81</f>
        <v>69</v>
      </c>
      <c r="M81" s="458">
        <f>L81+K81</f>
        <v>70</v>
      </c>
      <c r="N81" s="438">
        <f>N79+K81</f>
        <v>69</v>
      </c>
      <c r="O81" s="306" t="s">
        <v>264</v>
      </c>
      <c r="P81" s="325"/>
      <c r="Q81" s="312"/>
      <c r="R81" s="312"/>
      <c r="S81" s="312"/>
      <c r="T81" s="312"/>
      <c r="U81" s="312"/>
      <c r="V81" s="312"/>
      <c r="W81" s="312"/>
      <c r="X81" s="312"/>
      <c r="Y81" s="312"/>
      <c r="Z81" s="312"/>
      <c r="AA81" s="312"/>
      <c r="AB81" s="312"/>
      <c r="AC81" s="312"/>
      <c r="AD81" s="312"/>
      <c r="AE81" s="312"/>
      <c r="AF81" s="312"/>
      <c r="AG81" s="312"/>
      <c r="AH81" s="312"/>
      <c r="AI81" s="312"/>
      <c r="AJ81" s="312"/>
      <c r="AK81" s="312"/>
      <c r="AL81" s="312"/>
      <c r="AM81" s="312"/>
      <c r="AN81" s="312"/>
      <c r="AO81" s="312"/>
      <c r="AP81" s="312"/>
      <c r="AQ81" s="312"/>
      <c r="AR81" s="312"/>
      <c r="AS81" s="312"/>
      <c r="AT81" s="313"/>
    </row>
    <row r="82" spans="2:46" ht="32.1" customHeight="1" x14ac:dyDescent="0.3">
      <c r="B82" s="445"/>
      <c r="C82" s="445"/>
      <c r="D82" s="445"/>
      <c r="E82" s="439"/>
      <c r="F82" s="459"/>
      <c r="G82" s="436"/>
      <c r="H82" s="436"/>
      <c r="I82" s="443"/>
      <c r="J82" s="436"/>
      <c r="K82" s="458"/>
      <c r="L82" s="458"/>
      <c r="M82" s="458"/>
      <c r="N82" s="439"/>
      <c r="O82" s="306" t="s">
        <v>266</v>
      </c>
      <c r="P82" s="323" cm="1">
        <f t="array" ref="P82">INDEX('생산수량Back-Data'!$B$5:$AAA$10041,
       MATCH($B81,'생산수량Back-Data'!$B$5:$B$10041,0)+2,
       MATCH(P$3,'생산수량Back-Data'!$B$3:$AAA$3,0))</f>
        <v>0</v>
      </c>
      <c r="Q82" s="310" cm="1">
        <f t="array" ref="Q82">INDEX('생산수량Back-Data'!$B$5:$AAA$10041,
       MATCH($B81,'생산수량Back-Data'!$B$5:$B$10041,0)+2,
       MATCH(Q$3,'생산수량Back-Data'!$B$3:$AAA$3,0))</f>
        <v>0</v>
      </c>
      <c r="R82" s="310" cm="1">
        <f t="array" ref="R82">INDEX('생산수량Back-Data'!$B$5:$AAA$10041,
       MATCH($B81,'생산수량Back-Data'!$B$5:$B$10041,0)+2,
       MATCH(R$3,'생산수량Back-Data'!$B$3:$AAA$3,0))</f>
        <v>0</v>
      </c>
      <c r="S82" s="310" cm="1">
        <f t="array" ref="S82">INDEX('생산수량Back-Data'!$B$5:$AAA$10041,
       MATCH($B81,'생산수량Back-Data'!$B$5:$B$10041,0)+2,
       MATCH(S$3,'생산수량Back-Data'!$B$3:$AAA$3,0))</f>
        <v>0</v>
      </c>
      <c r="T82" s="310" cm="1">
        <f t="array" ref="T82">INDEX('생산수량Back-Data'!$B$5:$AAA$10041,
       MATCH($B81,'생산수량Back-Data'!$B$5:$B$10041,0)+2,
       MATCH(T$3,'생산수량Back-Data'!$B$3:$AAA$3,0))</f>
        <v>0</v>
      </c>
      <c r="U82" s="310" cm="1">
        <f t="array" ref="U82">INDEX('생산수량Back-Data'!$B$5:$AAA$10041,
       MATCH($B81,'생산수량Back-Data'!$B$5:$B$10041,0)+2,
       MATCH(U$3,'생산수량Back-Data'!$B$3:$AAA$3,0))</f>
        <v>0</v>
      </c>
      <c r="V82" s="310" cm="1">
        <f t="array" ref="V82">INDEX('생산수량Back-Data'!$B$5:$AAA$10041,
       MATCH($B81,'생산수량Back-Data'!$B$5:$B$10041,0)+2,
       MATCH(V$3,'생산수량Back-Data'!$B$3:$AAA$3,0))</f>
        <v>0</v>
      </c>
      <c r="W82" s="310" cm="1">
        <f t="array" ref="W82">INDEX('생산수량Back-Data'!$B$5:$AAA$10041,
       MATCH($B81,'생산수량Back-Data'!$B$5:$B$10041,0)+2,
       MATCH(W$3,'생산수량Back-Data'!$B$3:$AAA$3,0))</f>
        <v>0</v>
      </c>
      <c r="X82" s="310" cm="1">
        <f t="array" ref="X82">INDEX('생산수량Back-Data'!$B$5:$AAA$10041,
       MATCH($B81,'생산수량Back-Data'!$B$5:$B$10041,0)+2,
       MATCH(X$3,'생산수량Back-Data'!$B$3:$AAA$3,0))</f>
        <v>0</v>
      </c>
      <c r="Y82" s="310" cm="1">
        <f t="array" ref="Y82">INDEX('생산수량Back-Data'!$B$5:$AAA$10041,
       MATCH($B81,'생산수량Back-Data'!$B$5:$B$10041,0)+2,
       MATCH(Y$3,'생산수량Back-Data'!$B$3:$AAA$3,0))</f>
        <v>0</v>
      </c>
      <c r="Z82" s="310" cm="1">
        <f t="array" ref="Z82">INDEX('생산수량Back-Data'!$B$5:$AAA$10041,
       MATCH($B81,'생산수량Back-Data'!$B$5:$B$10041,0)+2,
       MATCH(Z$3,'생산수량Back-Data'!$B$3:$AAA$3,0))</f>
        <v>0</v>
      </c>
      <c r="AA82" s="310" cm="1">
        <f t="array" ref="AA82">INDEX('생산수량Back-Data'!$B$5:$AAA$10041,
       MATCH($B81,'생산수량Back-Data'!$B$5:$B$10041,0)+2,
       MATCH(AA$3,'생산수량Back-Data'!$B$3:$AAA$3,0))</f>
        <v>0</v>
      </c>
      <c r="AB82" s="310" cm="1">
        <f t="array" ref="AB82">INDEX('생산수량Back-Data'!$B$5:$AAA$10041,
       MATCH($B81,'생산수량Back-Data'!$B$5:$B$10041,0)+2,
       MATCH(AB$3,'생산수량Back-Data'!$B$3:$AAA$3,0))</f>
        <v>0</v>
      </c>
      <c r="AC82" s="310" cm="1">
        <f t="array" ref="AC82">INDEX('생산수량Back-Data'!$B$5:$AAA$10041,
       MATCH($B81,'생산수량Back-Data'!$B$5:$B$10041,0)+2,
       MATCH(AC$3,'생산수량Back-Data'!$B$3:$AAA$3,0))</f>
        <v>0</v>
      </c>
      <c r="AD82" s="310" cm="1">
        <f t="array" ref="AD82">INDEX('생산수량Back-Data'!$B$5:$AAA$10041,
       MATCH($B81,'생산수량Back-Data'!$B$5:$B$10041,0)+2,
       MATCH(AD$3,'생산수량Back-Data'!$B$3:$AAA$3,0))</f>
        <v>0</v>
      </c>
      <c r="AE82" s="310" cm="1">
        <f t="array" ref="AE82">INDEX('생산수량Back-Data'!$B$5:$AAA$10041,
       MATCH($B81,'생산수량Back-Data'!$B$5:$B$10041,0)+2,
       MATCH(AE$3,'생산수량Back-Data'!$B$3:$AAA$3,0))</f>
        <v>0</v>
      </c>
      <c r="AF82" s="310" cm="1">
        <f t="array" ref="AF82">INDEX('생산수량Back-Data'!$B$5:$AAA$10041,
       MATCH($B81,'생산수량Back-Data'!$B$5:$B$10041,0)+2,
       MATCH(AF$3,'생산수량Back-Data'!$B$3:$AAA$3,0))</f>
        <v>0</v>
      </c>
      <c r="AG82" s="310" cm="1">
        <f t="array" ref="AG82">INDEX('생산수량Back-Data'!$B$5:$AAA$10041,
       MATCH($B81,'생산수량Back-Data'!$B$5:$B$10041,0)+2,
       MATCH(AG$3,'생산수량Back-Data'!$B$3:$AAA$3,0))</f>
        <v>0</v>
      </c>
      <c r="AH82" s="310" cm="1">
        <f t="array" ref="AH82">INDEX('생산수량Back-Data'!$B$5:$AAA$10041,
       MATCH($B81,'생산수량Back-Data'!$B$5:$B$10041,0)+2,
       MATCH(AH$3,'생산수량Back-Data'!$B$3:$AAA$3,0))</f>
        <v>0</v>
      </c>
      <c r="AI82" s="310" cm="1">
        <f t="array" ref="AI82">INDEX('생산수량Back-Data'!$B$5:$AAA$10041,
       MATCH($B81,'생산수량Back-Data'!$B$5:$B$10041,0)+2,
       MATCH(AI$3,'생산수량Back-Data'!$B$3:$AAA$3,0))</f>
        <v>0</v>
      </c>
      <c r="AJ82" s="310" cm="1">
        <f t="array" ref="AJ82">INDEX('생산수량Back-Data'!$B$5:$AAA$10041,
       MATCH($B81,'생산수량Back-Data'!$B$5:$B$10041,0)+2,
       MATCH(AJ$3,'생산수량Back-Data'!$B$3:$AAA$3,0))</f>
        <v>0</v>
      </c>
      <c r="AK82" s="310" cm="1">
        <f t="array" ref="AK82">INDEX('생산수량Back-Data'!$B$5:$AAA$10041,
       MATCH($B81,'생산수량Back-Data'!$B$5:$B$10041,0)+2,
       MATCH(AK$3,'생산수량Back-Data'!$B$3:$AAA$3,0))</f>
        <v>0</v>
      </c>
      <c r="AL82" s="310" cm="1">
        <f t="array" ref="AL82">INDEX('생산수량Back-Data'!$B$5:$AAA$10041,
       MATCH($B81,'생산수량Back-Data'!$B$5:$B$10041,0)+2,
       MATCH(AL$3,'생산수량Back-Data'!$B$3:$AAA$3,0))</f>
        <v>0</v>
      </c>
      <c r="AM82" s="310" cm="1">
        <f t="array" ref="AM82">INDEX('생산수량Back-Data'!$B$5:$AAA$10041,
       MATCH($B81,'생산수량Back-Data'!$B$5:$B$10041,0)+2,
       MATCH(AM$3,'생산수량Back-Data'!$B$3:$AAA$3,0))</f>
        <v>0</v>
      </c>
      <c r="AN82" s="310" cm="1">
        <f t="array" ref="AN82">INDEX('생산수량Back-Data'!$B$5:$AAA$10041,
       MATCH($B81,'생산수량Back-Data'!$B$5:$B$10041,0)+2,
       MATCH(AN$3,'생산수량Back-Data'!$B$3:$AAA$3,0))</f>
        <v>0</v>
      </c>
      <c r="AO82" s="310" cm="1">
        <f t="array" ref="AO82">INDEX('생산수량Back-Data'!$B$5:$AAA$10041,
       MATCH($B81,'생산수량Back-Data'!$B$5:$B$10041,0)+2,
       MATCH(AO$3,'생산수량Back-Data'!$B$3:$AAA$3,0))</f>
        <v>0</v>
      </c>
      <c r="AP82" s="310" cm="1">
        <f t="array" ref="AP82">INDEX('생산수량Back-Data'!$B$5:$AAA$10041,
       MATCH($B81,'생산수량Back-Data'!$B$5:$B$10041,0)+2,
       MATCH(AP$3,'생산수량Back-Data'!$B$3:$AAA$3,0))</f>
        <v>0</v>
      </c>
      <c r="AQ82" s="310" cm="1">
        <f t="array" ref="AQ82">INDEX('생산수량Back-Data'!$B$5:$AAA$10041,
       MATCH($B81,'생산수량Back-Data'!$B$5:$B$10041,0)+2,
       MATCH(AQ$3,'생산수량Back-Data'!$B$3:$AAA$3,0))</f>
        <v>0</v>
      </c>
      <c r="AR82" s="310" cm="1">
        <f t="array" ref="AR82">INDEX('생산수량Back-Data'!$B$5:$AAA$10041,
       MATCH($B81,'생산수량Back-Data'!$B$5:$B$10041,0)+2,
       MATCH(AR$3,'생산수량Back-Data'!$B$3:$AAA$3,0))</f>
        <v>0</v>
      </c>
      <c r="AS82" s="310" cm="1">
        <f t="array" ref="AS82">INDEX('생산수량Back-Data'!$B$5:$AAA$10041,
       MATCH($B81,'생산수량Back-Data'!$B$5:$B$10041,0)+2,
       MATCH(AS$3,'생산수량Back-Data'!$B$3:$AAA$3,0))</f>
        <v>0</v>
      </c>
      <c r="AT82" s="324" cm="1">
        <f t="array" ref="AT82">INDEX('생산수량Back-Data'!$B$5:$AAA$10041,
       MATCH($B81,'생산수량Back-Data'!$B$5:$B$10041,0)+2,
       MATCH(AT$3,'생산수량Back-Data'!$B$3:$AAA$3,0))</f>
        <v>0</v>
      </c>
    </row>
    <row r="83" spans="2:46" ht="32.1" customHeight="1" x14ac:dyDescent="0.3">
      <c r="B83" s="444" t="s">
        <v>66</v>
      </c>
      <c r="C83" s="444" t="s">
        <v>185</v>
      </c>
      <c r="D83" s="444" t="s">
        <v>206</v>
      </c>
      <c r="E83" s="438">
        <f>ABS(SUMIFS('Fixture 총 발주수량'!Z:Z,'Fixture 총 발주수량'!B:B,'후공정(애칭)생산계획'!B83,'Fixture 총 발주수량'!Z:Z,"&lt;0"))</f>
        <v>393</v>
      </c>
      <c r="F83" s="431">
        <f>G83-E83</f>
        <v>-393</v>
      </c>
      <c r="G83" s="437">
        <f>SUMIF(P83:AT83, "&gt;0")</f>
        <v>0</v>
      </c>
      <c r="H83" s="437">
        <f>SUMIF(P84:AT84, "&gt;0")</f>
        <v>0</v>
      </c>
      <c r="I83" s="442">
        <f>IFERROR(H83/G83,)</f>
        <v>0</v>
      </c>
      <c r="J83" s="437">
        <f ca="1">IFERROR(SUMIF('Fixture 총 발주수량'!B:AG,'후공정(애칭)생산계획'!B83,'Fixture 총 발주수량'!AA:AA),)</f>
        <v>0</v>
      </c>
      <c r="K83" s="458">
        <f>ROUNDUP(E83/2000,)</f>
        <v>1</v>
      </c>
      <c r="L83" s="458">
        <f>L81+K83</f>
        <v>70</v>
      </c>
      <c r="M83" s="458">
        <f>L83+K83</f>
        <v>71</v>
      </c>
      <c r="N83" s="438">
        <f>N81+K83</f>
        <v>70</v>
      </c>
      <c r="O83" s="306" t="s">
        <v>264</v>
      </c>
      <c r="P83" s="325"/>
      <c r="Q83" s="312"/>
      <c r="R83" s="312"/>
      <c r="S83" s="312"/>
      <c r="T83" s="312"/>
      <c r="U83" s="312"/>
      <c r="V83" s="312"/>
      <c r="W83" s="312"/>
      <c r="X83" s="312"/>
      <c r="Y83" s="312"/>
      <c r="Z83" s="312"/>
      <c r="AA83" s="312"/>
      <c r="AB83" s="312"/>
      <c r="AC83" s="312"/>
      <c r="AD83" s="312"/>
      <c r="AE83" s="312"/>
      <c r="AF83" s="312"/>
      <c r="AG83" s="312"/>
      <c r="AH83" s="312"/>
      <c r="AI83" s="312"/>
      <c r="AJ83" s="312"/>
      <c r="AK83" s="312"/>
      <c r="AL83" s="312"/>
      <c r="AM83" s="312"/>
      <c r="AN83" s="312"/>
      <c r="AO83" s="312"/>
      <c r="AP83" s="312"/>
      <c r="AQ83" s="312"/>
      <c r="AR83" s="312"/>
      <c r="AS83" s="312"/>
      <c r="AT83" s="313"/>
    </row>
    <row r="84" spans="2:46" ht="32.1" customHeight="1" x14ac:dyDescent="0.3">
      <c r="B84" s="445"/>
      <c r="C84" s="445"/>
      <c r="D84" s="445"/>
      <c r="E84" s="439"/>
      <c r="F84" s="459"/>
      <c r="G84" s="436"/>
      <c r="H84" s="436"/>
      <c r="I84" s="443"/>
      <c r="J84" s="436"/>
      <c r="K84" s="458"/>
      <c r="L84" s="458"/>
      <c r="M84" s="458"/>
      <c r="N84" s="439"/>
      <c r="O84" s="306" t="s">
        <v>266</v>
      </c>
      <c r="P84" s="323" cm="1">
        <f t="array" ref="P84">INDEX('생산수량Back-Data'!$B$5:$AAA$10041,
       MATCH($B83,'생산수량Back-Data'!$B$5:$B$10041,0)+2,
       MATCH(P$3,'생산수량Back-Data'!$B$3:$AAA$3,0))</f>
        <v>0</v>
      </c>
      <c r="Q84" s="310" cm="1">
        <f t="array" ref="Q84">INDEX('생산수량Back-Data'!$B$5:$AAA$10041,
       MATCH($B83,'생산수량Back-Data'!$B$5:$B$10041,0)+2,
       MATCH(Q$3,'생산수량Back-Data'!$B$3:$AAA$3,0))</f>
        <v>0</v>
      </c>
      <c r="R84" s="310" cm="1">
        <f t="array" ref="R84">INDEX('생산수량Back-Data'!$B$5:$AAA$10041,
       MATCH($B83,'생산수량Back-Data'!$B$5:$B$10041,0)+2,
       MATCH(R$3,'생산수량Back-Data'!$B$3:$AAA$3,0))</f>
        <v>0</v>
      </c>
      <c r="S84" s="310" cm="1">
        <f t="array" ref="S84">INDEX('생산수량Back-Data'!$B$5:$AAA$10041,
       MATCH($B83,'생산수량Back-Data'!$B$5:$B$10041,0)+2,
       MATCH(S$3,'생산수량Back-Data'!$B$3:$AAA$3,0))</f>
        <v>0</v>
      </c>
      <c r="T84" s="310" cm="1">
        <f t="array" ref="T84">INDEX('생산수량Back-Data'!$B$5:$AAA$10041,
       MATCH($B83,'생산수량Back-Data'!$B$5:$B$10041,0)+2,
       MATCH(T$3,'생산수량Back-Data'!$B$3:$AAA$3,0))</f>
        <v>0</v>
      </c>
      <c r="U84" s="310" cm="1">
        <f t="array" ref="U84">INDEX('생산수량Back-Data'!$B$5:$AAA$10041,
       MATCH($B83,'생산수량Back-Data'!$B$5:$B$10041,0)+2,
       MATCH(U$3,'생산수량Back-Data'!$B$3:$AAA$3,0))</f>
        <v>0</v>
      </c>
      <c r="V84" s="310" cm="1">
        <f t="array" ref="V84">INDEX('생산수량Back-Data'!$B$5:$AAA$10041,
       MATCH($B83,'생산수량Back-Data'!$B$5:$B$10041,0)+2,
       MATCH(V$3,'생산수량Back-Data'!$B$3:$AAA$3,0))</f>
        <v>0</v>
      </c>
      <c r="W84" s="310" cm="1">
        <f t="array" ref="W84">INDEX('생산수량Back-Data'!$B$5:$AAA$10041,
       MATCH($B83,'생산수량Back-Data'!$B$5:$B$10041,0)+2,
       MATCH(W$3,'생산수량Back-Data'!$B$3:$AAA$3,0))</f>
        <v>0</v>
      </c>
      <c r="X84" s="310" cm="1">
        <f t="array" ref="X84">INDEX('생산수량Back-Data'!$B$5:$AAA$10041,
       MATCH($B83,'생산수량Back-Data'!$B$5:$B$10041,0)+2,
       MATCH(X$3,'생산수량Back-Data'!$B$3:$AAA$3,0))</f>
        <v>0</v>
      </c>
      <c r="Y84" s="310" cm="1">
        <f t="array" ref="Y84">INDEX('생산수량Back-Data'!$B$5:$AAA$10041,
       MATCH($B83,'생산수량Back-Data'!$B$5:$B$10041,0)+2,
       MATCH(Y$3,'생산수량Back-Data'!$B$3:$AAA$3,0))</f>
        <v>0</v>
      </c>
      <c r="Z84" s="310" cm="1">
        <f t="array" ref="Z84">INDEX('생산수량Back-Data'!$B$5:$AAA$10041,
       MATCH($B83,'생산수량Back-Data'!$B$5:$B$10041,0)+2,
       MATCH(Z$3,'생산수량Back-Data'!$B$3:$AAA$3,0))</f>
        <v>0</v>
      </c>
      <c r="AA84" s="310" cm="1">
        <f t="array" ref="AA84">INDEX('생산수량Back-Data'!$B$5:$AAA$10041,
       MATCH($B83,'생산수량Back-Data'!$B$5:$B$10041,0)+2,
       MATCH(AA$3,'생산수량Back-Data'!$B$3:$AAA$3,0))</f>
        <v>0</v>
      </c>
      <c r="AB84" s="310" cm="1">
        <f t="array" ref="AB84">INDEX('생산수량Back-Data'!$B$5:$AAA$10041,
       MATCH($B83,'생산수량Back-Data'!$B$5:$B$10041,0)+2,
       MATCH(AB$3,'생산수량Back-Data'!$B$3:$AAA$3,0))</f>
        <v>0</v>
      </c>
      <c r="AC84" s="310" cm="1">
        <f t="array" ref="AC84">INDEX('생산수량Back-Data'!$B$5:$AAA$10041,
       MATCH($B83,'생산수량Back-Data'!$B$5:$B$10041,0)+2,
       MATCH(AC$3,'생산수량Back-Data'!$B$3:$AAA$3,0))</f>
        <v>0</v>
      </c>
      <c r="AD84" s="310" cm="1">
        <f t="array" ref="AD84">INDEX('생산수량Back-Data'!$B$5:$AAA$10041,
       MATCH($B83,'생산수량Back-Data'!$B$5:$B$10041,0)+2,
       MATCH(AD$3,'생산수량Back-Data'!$B$3:$AAA$3,0))</f>
        <v>0</v>
      </c>
      <c r="AE84" s="310" cm="1">
        <f t="array" ref="AE84">INDEX('생산수량Back-Data'!$B$5:$AAA$10041,
       MATCH($B83,'생산수량Back-Data'!$B$5:$B$10041,0)+2,
       MATCH(AE$3,'생산수량Back-Data'!$B$3:$AAA$3,0))</f>
        <v>0</v>
      </c>
      <c r="AF84" s="310" cm="1">
        <f t="array" ref="AF84">INDEX('생산수량Back-Data'!$B$5:$AAA$10041,
       MATCH($B83,'생산수량Back-Data'!$B$5:$B$10041,0)+2,
       MATCH(AF$3,'생산수량Back-Data'!$B$3:$AAA$3,0))</f>
        <v>0</v>
      </c>
      <c r="AG84" s="310" cm="1">
        <f t="array" ref="AG84">INDEX('생산수량Back-Data'!$B$5:$AAA$10041,
       MATCH($B83,'생산수량Back-Data'!$B$5:$B$10041,0)+2,
       MATCH(AG$3,'생산수량Back-Data'!$B$3:$AAA$3,0))</f>
        <v>0</v>
      </c>
      <c r="AH84" s="310" cm="1">
        <f t="array" ref="AH84">INDEX('생산수량Back-Data'!$B$5:$AAA$10041,
       MATCH($B83,'생산수량Back-Data'!$B$5:$B$10041,0)+2,
       MATCH(AH$3,'생산수량Back-Data'!$B$3:$AAA$3,0))</f>
        <v>0</v>
      </c>
      <c r="AI84" s="310" cm="1">
        <f t="array" ref="AI84">INDEX('생산수량Back-Data'!$B$5:$AAA$10041,
       MATCH($B83,'생산수량Back-Data'!$B$5:$B$10041,0)+2,
       MATCH(AI$3,'생산수량Back-Data'!$B$3:$AAA$3,0))</f>
        <v>0</v>
      </c>
      <c r="AJ84" s="310" cm="1">
        <f t="array" ref="AJ84">INDEX('생산수량Back-Data'!$B$5:$AAA$10041,
       MATCH($B83,'생산수량Back-Data'!$B$5:$B$10041,0)+2,
       MATCH(AJ$3,'생산수량Back-Data'!$B$3:$AAA$3,0))</f>
        <v>0</v>
      </c>
      <c r="AK84" s="310" cm="1">
        <f t="array" ref="AK84">INDEX('생산수량Back-Data'!$B$5:$AAA$10041,
       MATCH($B83,'생산수량Back-Data'!$B$5:$B$10041,0)+2,
       MATCH(AK$3,'생산수량Back-Data'!$B$3:$AAA$3,0))</f>
        <v>0</v>
      </c>
      <c r="AL84" s="310" cm="1">
        <f t="array" ref="AL84">INDEX('생산수량Back-Data'!$B$5:$AAA$10041,
       MATCH($B83,'생산수량Back-Data'!$B$5:$B$10041,0)+2,
       MATCH(AL$3,'생산수량Back-Data'!$B$3:$AAA$3,0))</f>
        <v>0</v>
      </c>
      <c r="AM84" s="310" cm="1">
        <f t="array" ref="AM84">INDEX('생산수량Back-Data'!$B$5:$AAA$10041,
       MATCH($B83,'생산수량Back-Data'!$B$5:$B$10041,0)+2,
       MATCH(AM$3,'생산수량Back-Data'!$B$3:$AAA$3,0))</f>
        <v>0</v>
      </c>
      <c r="AN84" s="310" cm="1">
        <f t="array" ref="AN84">INDEX('생산수량Back-Data'!$B$5:$AAA$10041,
       MATCH($B83,'생산수량Back-Data'!$B$5:$B$10041,0)+2,
       MATCH(AN$3,'생산수량Back-Data'!$B$3:$AAA$3,0))</f>
        <v>0</v>
      </c>
      <c r="AO84" s="310" cm="1">
        <f t="array" ref="AO84">INDEX('생산수량Back-Data'!$B$5:$AAA$10041,
       MATCH($B83,'생산수량Back-Data'!$B$5:$B$10041,0)+2,
       MATCH(AO$3,'생산수량Back-Data'!$B$3:$AAA$3,0))</f>
        <v>0</v>
      </c>
      <c r="AP84" s="310" cm="1">
        <f t="array" ref="AP84">INDEX('생산수량Back-Data'!$B$5:$AAA$10041,
       MATCH($B83,'생산수량Back-Data'!$B$5:$B$10041,0)+2,
       MATCH(AP$3,'생산수량Back-Data'!$B$3:$AAA$3,0))</f>
        <v>0</v>
      </c>
      <c r="AQ84" s="310" cm="1">
        <f t="array" ref="AQ84">INDEX('생산수량Back-Data'!$B$5:$AAA$10041,
       MATCH($B83,'생산수량Back-Data'!$B$5:$B$10041,0)+2,
       MATCH(AQ$3,'생산수량Back-Data'!$B$3:$AAA$3,0))</f>
        <v>0</v>
      </c>
      <c r="AR84" s="310" cm="1">
        <f t="array" ref="AR84">INDEX('생산수량Back-Data'!$B$5:$AAA$10041,
       MATCH($B83,'생산수량Back-Data'!$B$5:$B$10041,0)+2,
       MATCH(AR$3,'생산수량Back-Data'!$B$3:$AAA$3,0))</f>
        <v>0</v>
      </c>
      <c r="AS84" s="310" cm="1">
        <f t="array" ref="AS84">INDEX('생산수량Back-Data'!$B$5:$AAA$10041,
       MATCH($B83,'생산수량Back-Data'!$B$5:$B$10041,0)+2,
       MATCH(AS$3,'생산수량Back-Data'!$B$3:$AAA$3,0))</f>
        <v>0</v>
      </c>
      <c r="AT84" s="324" cm="1">
        <f t="array" ref="AT84">INDEX('생산수량Back-Data'!$B$5:$AAA$10041,
       MATCH($B83,'생산수량Back-Data'!$B$5:$B$10041,0)+2,
       MATCH(AT$3,'생산수량Back-Data'!$B$3:$AAA$3,0))</f>
        <v>0</v>
      </c>
    </row>
    <row r="85" spans="2:46" ht="32.1" customHeight="1" x14ac:dyDescent="0.3">
      <c r="B85" s="444" t="s">
        <v>67</v>
      </c>
      <c r="C85" s="444" t="s">
        <v>185</v>
      </c>
      <c r="D85" s="444" t="s">
        <v>207</v>
      </c>
      <c r="E85" s="438">
        <f>ABS(SUMIFS('Fixture 총 발주수량'!Z:Z,'Fixture 총 발주수량'!B:B,'후공정(애칭)생산계획'!B85,'Fixture 총 발주수량'!Z:Z,"&lt;0"))</f>
        <v>62</v>
      </c>
      <c r="F85" s="431">
        <f>G85-E85</f>
        <v>-62</v>
      </c>
      <c r="G85" s="437">
        <f>SUMIF(P85:AT85, "&gt;0")</f>
        <v>0</v>
      </c>
      <c r="H85" s="437">
        <f>SUMIF(P86:AT86, "&gt;0")</f>
        <v>0</v>
      </c>
      <c r="I85" s="442">
        <f>IFERROR(H85/G85,)</f>
        <v>0</v>
      </c>
      <c r="J85" s="437">
        <f ca="1">IFERROR(SUMIF('Fixture 총 발주수량'!B:AG,'후공정(애칭)생산계획'!B85,'Fixture 총 발주수량'!AA:AA),)</f>
        <v>0</v>
      </c>
      <c r="K85" s="458">
        <f>ROUNDUP(E85/2000,)</f>
        <v>1</v>
      </c>
      <c r="L85" s="458">
        <f>L83+K85</f>
        <v>71</v>
      </c>
      <c r="M85" s="458">
        <f>L85+K85</f>
        <v>72</v>
      </c>
      <c r="N85" s="438">
        <f>N83+K85</f>
        <v>71</v>
      </c>
      <c r="O85" s="306" t="s">
        <v>264</v>
      </c>
      <c r="P85" s="325"/>
      <c r="Q85" s="312"/>
      <c r="R85" s="312"/>
      <c r="S85" s="312"/>
      <c r="T85" s="312"/>
      <c r="U85" s="312"/>
      <c r="V85" s="312"/>
      <c r="W85" s="312"/>
      <c r="X85" s="312"/>
      <c r="Y85" s="312"/>
      <c r="Z85" s="312"/>
      <c r="AA85" s="312"/>
      <c r="AB85" s="312"/>
      <c r="AC85" s="312"/>
      <c r="AD85" s="312"/>
      <c r="AE85" s="312"/>
      <c r="AF85" s="312"/>
      <c r="AG85" s="312"/>
      <c r="AH85" s="312"/>
      <c r="AI85" s="312"/>
      <c r="AJ85" s="312"/>
      <c r="AK85" s="312"/>
      <c r="AL85" s="312"/>
      <c r="AM85" s="312"/>
      <c r="AN85" s="312"/>
      <c r="AO85" s="312"/>
      <c r="AP85" s="312"/>
      <c r="AQ85" s="312"/>
      <c r="AR85" s="312"/>
      <c r="AS85" s="312"/>
      <c r="AT85" s="313"/>
    </row>
    <row r="86" spans="2:46" ht="32.1" customHeight="1" x14ac:dyDescent="0.3">
      <c r="B86" s="445"/>
      <c r="C86" s="445"/>
      <c r="D86" s="445"/>
      <c r="E86" s="439"/>
      <c r="F86" s="459"/>
      <c r="G86" s="436"/>
      <c r="H86" s="436"/>
      <c r="I86" s="443"/>
      <c r="J86" s="436"/>
      <c r="K86" s="458"/>
      <c r="L86" s="458"/>
      <c r="M86" s="458"/>
      <c r="N86" s="439"/>
      <c r="O86" s="306" t="s">
        <v>266</v>
      </c>
      <c r="P86" s="327" cm="1">
        <f t="array" ref="P86">INDEX('생산수량Back-Data'!$B$5:$AAA$10041,
       MATCH($B85,'생산수량Back-Data'!$B$5:$B$10041,0)+2,
       MATCH(P$3,'생산수량Back-Data'!$B$3:$AAA$3,0))</f>
        <v>0</v>
      </c>
      <c r="Q86" s="328" cm="1">
        <f t="array" ref="Q86">INDEX('생산수량Back-Data'!$B$5:$AAA$10041,
       MATCH($B85,'생산수량Back-Data'!$B$5:$B$10041,0)+2,
       MATCH(Q$3,'생산수량Back-Data'!$B$3:$AAA$3,0))</f>
        <v>0</v>
      </c>
      <c r="R86" s="328" cm="1">
        <f t="array" ref="R86">INDEX('생산수량Back-Data'!$B$5:$AAA$10041,
       MATCH($B85,'생산수량Back-Data'!$B$5:$B$10041,0)+2,
       MATCH(R$3,'생산수량Back-Data'!$B$3:$AAA$3,0))</f>
        <v>0</v>
      </c>
      <c r="S86" s="328" cm="1">
        <f t="array" ref="S86">INDEX('생산수량Back-Data'!$B$5:$AAA$10041,
       MATCH($B85,'생산수량Back-Data'!$B$5:$B$10041,0)+2,
       MATCH(S$3,'생산수량Back-Data'!$B$3:$AAA$3,0))</f>
        <v>0</v>
      </c>
      <c r="T86" s="328" cm="1">
        <f t="array" ref="T86">INDEX('생산수량Back-Data'!$B$5:$AAA$10041,
       MATCH($B85,'생산수량Back-Data'!$B$5:$B$10041,0)+2,
       MATCH(T$3,'생산수량Back-Data'!$B$3:$AAA$3,0))</f>
        <v>0</v>
      </c>
      <c r="U86" s="328" cm="1">
        <f t="array" ref="U86">INDEX('생산수량Back-Data'!$B$5:$AAA$10041,
       MATCH($B85,'생산수량Back-Data'!$B$5:$B$10041,0)+2,
       MATCH(U$3,'생산수량Back-Data'!$B$3:$AAA$3,0))</f>
        <v>0</v>
      </c>
      <c r="V86" s="328" cm="1">
        <f t="array" ref="V86">INDEX('생산수량Back-Data'!$B$5:$AAA$10041,
       MATCH($B85,'생산수량Back-Data'!$B$5:$B$10041,0)+2,
       MATCH(V$3,'생산수량Back-Data'!$B$3:$AAA$3,0))</f>
        <v>0</v>
      </c>
      <c r="W86" s="328" cm="1">
        <f t="array" ref="W86">INDEX('생산수량Back-Data'!$B$5:$AAA$10041,
       MATCH($B85,'생산수량Back-Data'!$B$5:$B$10041,0)+2,
       MATCH(W$3,'생산수량Back-Data'!$B$3:$AAA$3,0))</f>
        <v>0</v>
      </c>
      <c r="X86" s="328" cm="1">
        <f t="array" ref="X86">INDEX('생산수량Back-Data'!$B$5:$AAA$10041,
       MATCH($B85,'생산수량Back-Data'!$B$5:$B$10041,0)+2,
       MATCH(X$3,'생산수량Back-Data'!$B$3:$AAA$3,0))</f>
        <v>0</v>
      </c>
      <c r="Y86" s="328" cm="1">
        <f t="array" ref="Y86">INDEX('생산수량Back-Data'!$B$5:$AAA$10041,
       MATCH($B85,'생산수량Back-Data'!$B$5:$B$10041,0)+2,
       MATCH(Y$3,'생산수량Back-Data'!$B$3:$AAA$3,0))</f>
        <v>0</v>
      </c>
      <c r="Z86" s="328" cm="1">
        <f t="array" ref="Z86">INDEX('생산수량Back-Data'!$B$5:$AAA$10041,
       MATCH($B85,'생산수량Back-Data'!$B$5:$B$10041,0)+2,
       MATCH(Z$3,'생산수량Back-Data'!$B$3:$AAA$3,0))</f>
        <v>0</v>
      </c>
      <c r="AA86" s="328" cm="1">
        <f t="array" ref="AA86">INDEX('생산수량Back-Data'!$B$5:$AAA$10041,
       MATCH($B85,'생산수량Back-Data'!$B$5:$B$10041,0)+2,
       MATCH(AA$3,'생산수량Back-Data'!$B$3:$AAA$3,0))</f>
        <v>0</v>
      </c>
      <c r="AB86" s="328" cm="1">
        <f t="array" ref="AB86">INDEX('생산수량Back-Data'!$B$5:$AAA$10041,
       MATCH($B85,'생산수량Back-Data'!$B$5:$B$10041,0)+2,
       MATCH(AB$3,'생산수량Back-Data'!$B$3:$AAA$3,0))</f>
        <v>0</v>
      </c>
      <c r="AC86" s="328" cm="1">
        <f t="array" ref="AC86">INDEX('생산수량Back-Data'!$B$5:$AAA$10041,
       MATCH($B85,'생산수량Back-Data'!$B$5:$B$10041,0)+2,
       MATCH(AC$3,'생산수량Back-Data'!$B$3:$AAA$3,0))</f>
        <v>0</v>
      </c>
      <c r="AD86" s="328" cm="1">
        <f t="array" ref="AD86">INDEX('생산수량Back-Data'!$B$5:$AAA$10041,
       MATCH($B85,'생산수량Back-Data'!$B$5:$B$10041,0)+2,
       MATCH(AD$3,'생산수량Back-Data'!$B$3:$AAA$3,0))</f>
        <v>0</v>
      </c>
      <c r="AE86" s="328" cm="1">
        <f t="array" ref="AE86">INDEX('생산수량Back-Data'!$B$5:$AAA$10041,
       MATCH($B85,'생산수량Back-Data'!$B$5:$B$10041,0)+2,
       MATCH(AE$3,'생산수량Back-Data'!$B$3:$AAA$3,0))</f>
        <v>0</v>
      </c>
      <c r="AF86" s="328" cm="1">
        <f t="array" ref="AF86">INDEX('생산수량Back-Data'!$B$5:$AAA$10041,
       MATCH($B85,'생산수량Back-Data'!$B$5:$B$10041,0)+2,
       MATCH(AF$3,'생산수량Back-Data'!$B$3:$AAA$3,0))</f>
        <v>0</v>
      </c>
      <c r="AG86" s="328" cm="1">
        <f t="array" ref="AG86">INDEX('생산수량Back-Data'!$B$5:$AAA$10041,
       MATCH($B85,'생산수량Back-Data'!$B$5:$B$10041,0)+2,
       MATCH(AG$3,'생산수량Back-Data'!$B$3:$AAA$3,0))</f>
        <v>0</v>
      </c>
      <c r="AH86" s="328" cm="1">
        <f t="array" ref="AH86">INDEX('생산수량Back-Data'!$B$5:$AAA$10041,
       MATCH($B85,'생산수량Back-Data'!$B$5:$B$10041,0)+2,
       MATCH(AH$3,'생산수량Back-Data'!$B$3:$AAA$3,0))</f>
        <v>0</v>
      </c>
      <c r="AI86" s="328" cm="1">
        <f t="array" ref="AI86">INDEX('생산수량Back-Data'!$B$5:$AAA$10041,
       MATCH($B85,'생산수량Back-Data'!$B$5:$B$10041,0)+2,
       MATCH(AI$3,'생산수량Back-Data'!$B$3:$AAA$3,0))</f>
        <v>0</v>
      </c>
      <c r="AJ86" s="328" cm="1">
        <f t="array" ref="AJ86">INDEX('생산수량Back-Data'!$B$5:$AAA$10041,
       MATCH($B85,'생산수량Back-Data'!$B$5:$B$10041,0)+2,
       MATCH(AJ$3,'생산수량Back-Data'!$B$3:$AAA$3,0))</f>
        <v>0</v>
      </c>
      <c r="AK86" s="328" cm="1">
        <f t="array" ref="AK86">INDEX('생산수량Back-Data'!$B$5:$AAA$10041,
       MATCH($B85,'생산수량Back-Data'!$B$5:$B$10041,0)+2,
       MATCH(AK$3,'생산수량Back-Data'!$B$3:$AAA$3,0))</f>
        <v>0</v>
      </c>
      <c r="AL86" s="328" cm="1">
        <f t="array" ref="AL86">INDEX('생산수량Back-Data'!$B$5:$AAA$10041,
       MATCH($B85,'생산수량Back-Data'!$B$5:$B$10041,0)+2,
       MATCH(AL$3,'생산수량Back-Data'!$B$3:$AAA$3,0))</f>
        <v>0</v>
      </c>
      <c r="AM86" s="328" cm="1">
        <f t="array" ref="AM86">INDEX('생산수량Back-Data'!$B$5:$AAA$10041,
       MATCH($B85,'생산수량Back-Data'!$B$5:$B$10041,0)+2,
       MATCH(AM$3,'생산수량Back-Data'!$B$3:$AAA$3,0))</f>
        <v>0</v>
      </c>
      <c r="AN86" s="328" cm="1">
        <f t="array" ref="AN86">INDEX('생산수량Back-Data'!$B$5:$AAA$10041,
       MATCH($B85,'생산수량Back-Data'!$B$5:$B$10041,0)+2,
       MATCH(AN$3,'생산수량Back-Data'!$B$3:$AAA$3,0))</f>
        <v>0</v>
      </c>
      <c r="AO86" s="328" cm="1">
        <f t="array" ref="AO86">INDEX('생산수량Back-Data'!$B$5:$AAA$10041,
       MATCH($B85,'생산수량Back-Data'!$B$5:$B$10041,0)+2,
       MATCH(AO$3,'생산수량Back-Data'!$B$3:$AAA$3,0))</f>
        <v>0</v>
      </c>
      <c r="AP86" s="328" cm="1">
        <f t="array" ref="AP86">INDEX('생산수량Back-Data'!$B$5:$AAA$10041,
       MATCH($B85,'생산수량Back-Data'!$B$5:$B$10041,0)+2,
       MATCH(AP$3,'생산수량Back-Data'!$B$3:$AAA$3,0))</f>
        <v>0</v>
      </c>
      <c r="AQ86" s="328" cm="1">
        <f t="array" ref="AQ86">INDEX('생산수량Back-Data'!$B$5:$AAA$10041,
       MATCH($B85,'생산수량Back-Data'!$B$5:$B$10041,0)+2,
       MATCH(AQ$3,'생산수량Back-Data'!$B$3:$AAA$3,0))</f>
        <v>0</v>
      </c>
      <c r="AR86" s="328" cm="1">
        <f t="array" ref="AR86">INDEX('생산수량Back-Data'!$B$5:$AAA$10041,
       MATCH($B85,'생산수량Back-Data'!$B$5:$B$10041,0)+2,
       MATCH(AR$3,'생산수량Back-Data'!$B$3:$AAA$3,0))</f>
        <v>0</v>
      </c>
      <c r="AS86" s="328" cm="1">
        <f t="array" ref="AS86">INDEX('생산수량Back-Data'!$B$5:$AAA$10041,
       MATCH($B85,'생산수량Back-Data'!$B$5:$B$10041,0)+2,
       MATCH(AS$3,'생산수량Back-Data'!$B$3:$AAA$3,0))</f>
        <v>0</v>
      </c>
      <c r="AT86" s="329" cm="1">
        <f t="array" ref="AT86">INDEX('생산수량Back-Data'!$B$5:$AAA$10041,
       MATCH($B85,'생산수량Back-Data'!$B$5:$B$10041,0)+2,
       MATCH(AT$3,'생산수량Back-Data'!$B$3:$AAA$3,0))</f>
        <v>0</v>
      </c>
    </row>
    <row r="87" spans="2:46" ht="20.100000000000001" customHeight="1" x14ac:dyDescent="0.3">
      <c r="B87" s="317"/>
      <c r="C87" s="317"/>
      <c r="D87" s="317"/>
      <c r="E87" s="318"/>
      <c r="F87" s="318"/>
      <c r="G87" s="319"/>
      <c r="H87" s="319"/>
      <c r="I87" s="319"/>
      <c r="J87" s="319"/>
      <c r="K87" s="318"/>
      <c r="L87" s="318"/>
      <c r="M87" s="318"/>
      <c r="O87" s="318"/>
      <c r="P87" s="320"/>
      <c r="Q87" s="320"/>
      <c r="R87" s="320"/>
      <c r="S87" s="320"/>
      <c r="T87" s="320"/>
      <c r="U87" s="320"/>
      <c r="V87" s="320"/>
      <c r="W87" s="320"/>
      <c r="X87" s="320"/>
      <c r="Y87" s="320"/>
      <c r="Z87" s="320"/>
      <c r="AA87" s="320"/>
      <c r="AB87" s="320"/>
      <c r="AC87" s="320"/>
      <c r="AD87" s="320"/>
      <c r="AE87" s="320"/>
      <c r="AF87" s="320"/>
      <c r="AG87" s="320"/>
      <c r="AH87" s="320"/>
      <c r="AI87" s="320"/>
      <c r="AJ87" s="320"/>
      <c r="AK87" s="320"/>
      <c r="AL87" s="320"/>
      <c r="AM87" s="320"/>
      <c r="AN87" s="320"/>
      <c r="AO87" s="320"/>
      <c r="AP87" s="320"/>
      <c r="AQ87" s="320"/>
      <c r="AR87" s="320"/>
      <c r="AS87" s="320"/>
      <c r="AT87" s="320"/>
    </row>
    <row r="88" spans="2:46" ht="20.100000000000001" customHeight="1" x14ac:dyDescent="0.3">
      <c r="B88" s="317"/>
      <c r="C88" s="317"/>
      <c r="D88" s="317"/>
      <c r="E88" s="318"/>
      <c r="F88" s="318"/>
      <c r="G88" s="319"/>
      <c r="H88" s="319"/>
      <c r="I88" s="319"/>
      <c r="J88" s="319"/>
      <c r="K88" s="318"/>
      <c r="L88" s="318"/>
      <c r="M88" s="318"/>
      <c r="O88" s="318"/>
      <c r="P88" s="320"/>
      <c r="Q88" s="320"/>
      <c r="R88" s="320"/>
      <c r="S88" s="320"/>
      <c r="T88" s="320"/>
      <c r="U88" s="320"/>
      <c r="V88" s="320"/>
      <c r="W88" s="320"/>
      <c r="X88" s="320"/>
      <c r="Y88" s="320"/>
      <c r="Z88" s="320"/>
      <c r="AA88" s="320"/>
      <c r="AB88" s="320"/>
      <c r="AC88" s="320"/>
      <c r="AD88" s="320"/>
      <c r="AE88" s="320"/>
      <c r="AF88" s="320"/>
      <c r="AG88" s="320"/>
      <c r="AH88" s="320"/>
      <c r="AI88" s="320"/>
      <c r="AJ88" s="320"/>
      <c r="AK88" s="320"/>
      <c r="AL88" s="320"/>
      <c r="AM88" s="320"/>
      <c r="AN88" s="320"/>
      <c r="AO88" s="320"/>
      <c r="AP88" s="320"/>
      <c r="AQ88" s="320"/>
      <c r="AR88" s="320"/>
      <c r="AS88" s="320"/>
      <c r="AT88" s="320"/>
    </row>
  </sheetData>
  <autoFilter ref="B4:AT86" xr:uid="{6AE1D452-7451-4FE9-B9D5-849CABFAA101}"/>
  <mergeCells count="533">
    <mergeCell ref="I5:I6"/>
    <mergeCell ref="K5:K6"/>
    <mergeCell ref="L5:L6"/>
    <mergeCell ref="M5:M6"/>
    <mergeCell ref="B5:B6"/>
    <mergeCell ref="C5:C6"/>
    <mergeCell ref="D5:D6"/>
    <mergeCell ref="E5:E6"/>
    <mergeCell ref="G5:G6"/>
    <mergeCell ref="H5:H6"/>
    <mergeCell ref="F5:F6"/>
    <mergeCell ref="J5:J6"/>
    <mergeCell ref="K7:K8"/>
    <mergeCell ref="L7:L8"/>
    <mergeCell ref="M7:M8"/>
    <mergeCell ref="B7:B8"/>
    <mergeCell ref="C7:C8"/>
    <mergeCell ref="D7:D8"/>
    <mergeCell ref="E7:E8"/>
    <mergeCell ref="G7:G8"/>
    <mergeCell ref="H7:H8"/>
    <mergeCell ref="I7:I8"/>
    <mergeCell ref="F7:F8"/>
    <mergeCell ref="J7:J8"/>
    <mergeCell ref="L9:L10"/>
    <mergeCell ref="M9:M10"/>
    <mergeCell ref="B9:B10"/>
    <mergeCell ref="C9:C10"/>
    <mergeCell ref="D9:D10"/>
    <mergeCell ref="E9:E10"/>
    <mergeCell ref="G9:G10"/>
    <mergeCell ref="H9:H10"/>
    <mergeCell ref="I9:I10"/>
    <mergeCell ref="K9:K10"/>
    <mergeCell ref="F9:F10"/>
    <mergeCell ref="L11:L12"/>
    <mergeCell ref="M11:M12"/>
    <mergeCell ref="B11:B12"/>
    <mergeCell ref="C11:C12"/>
    <mergeCell ref="D11:D12"/>
    <mergeCell ref="E11:E12"/>
    <mergeCell ref="G11:G12"/>
    <mergeCell ref="H11:H12"/>
    <mergeCell ref="I11:I12"/>
    <mergeCell ref="K11:K12"/>
    <mergeCell ref="F11:F12"/>
    <mergeCell ref="I13:I14"/>
    <mergeCell ref="K13:K14"/>
    <mergeCell ref="L13:L14"/>
    <mergeCell ref="M13:M14"/>
    <mergeCell ref="B13:B14"/>
    <mergeCell ref="C13:C14"/>
    <mergeCell ref="D13:D14"/>
    <mergeCell ref="E13:E14"/>
    <mergeCell ref="G13:G14"/>
    <mergeCell ref="H13:H14"/>
    <mergeCell ref="F13:F14"/>
    <mergeCell ref="K15:K16"/>
    <mergeCell ref="L15:L16"/>
    <mergeCell ref="M15:M16"/>
    <mergeCell ref="B15:B16"/>
    <mergeCell ref="C15:C16"/>
    <mergeCell ref="D15:D16"/>
    <mergeCell ref="E15:E16"/>
    <mergeCell ref="G15:G16"/>
    <mergeCell ref="H15:H16"/>
    <mergeCell ref="I15:I16"/>
    <mergeCell ref="F15:F16"/>
    <mergeCell ref="L17:L18"/>
    <mergeCell ref="M17:M18"/>
    <mergeCell ref="B17:B18"/>
    <mergeCell ref="C17:C18"/>
    <mergeCell ref="D17:D18"/>
    <mergeCell ref="E17:E18"/>
    <mergeCell ref="G17:G18"/>
    <mergeCell ref="H17:H18"/>
    <mergeCell ref="I17:I18"/>
    <mergeCell ref="K17:K18"/>
    <mergeCell ref="F17:F18"/>
    <mergeCell ref="L19:L20"/>
    <mergeCell ref="M19:M20"/>
    <mergeCell ref="B19:B20"/>
    <mergeCell ref="C19:C20"/>
    <mergeCell ref="D19:D20"/>
    <mergeCell ref="E19:E20"/>
    <mergeCell ref="G19:G20"/>
    <mergeCell ref="H19:H20"/>
    <mergeCell ref="I19:I20"/>
    <mergeCell ref="K19:K20"/>
    <mergeCell ref="F19:F20"/>
    <mergeCell ref="I21:I22"/>
    <mergeCell ref="K21:K22"/>
    <mergeCell ref="L21:L22"/>
    <mergeCell ref="M21:M22"/>
    <mergeCell ref="B21:B22"/>
    <mergeCell ref="C21:C22"/>
    <mergeCell ref="D21:D22"/>
    <mergeCell ref="E21:E22"/>
    <mergeCell ref="G21:G22"/>
    <mergeCell ref="H21:H22"/>
    <mergeCell ref="F21:F22"/>
    <mergeCell ref="K23:K24"/>
    <mergeCell ref="L23:L24"/>
    <mergeCell ref="M23:M24"/>
    <mergeCell ref="B23:B24"/>
    <mergeCell ref="C23:C24"/>
    <mergeCell ref="D23:D24"/>
    <mergeCell ref="E23:E24"/>
    <mergeCell ref="G23:G24"/>
    <mergeCell ref="H23:H24"/>
    <mergeCell ref="I23:I24"/>
    <mergeCell ref="F23:F24"/>
    <mergeCell ref="L25:L26"/>
    <mergeCell ref="M25:M26"/>
    <mergeCell ref="B25:B26"/>
    <mergeCell ref="C25:C26"/>
    <mergeCell ref="D25:D26"/>
    <mergeCell ref="E25:E26"/>
    <mergeCell ref="G25:G26"/>
    <mergeCell ref="H25:H26"/>
    <mergeCell ref="I25:I26"/>
    <mergeCell ref="K25:K26"/>
    <mergeCell ref="F25:F26"/>
    <mergeCell ref="L27:L28"/>
    <mergeCell ref="M27:M28"/>
    <mergeCell ref="B27:B28"/>
    <mergeCell ref="C27:C28"/>
    <mergeCell ref="D27:D28"/>
    <mergeCell ref="E27:E28"/>
    <mergeCell ref="G27:G28"/>
    <mergeCell ref="H27:H28"/>
    <mergeCell ref="I27:I28"/>
    <mergeCell ref="K27:K28"/>
    <mergeCell ref="F27:F28"/>
    <mergeCell ref="I29:I30"/>
    <mergeCell ref="K29:K30"/>
    <mergeCell ref="L29:L30"/>
    <mergeCell ref="M29:M30"/>
    <mergeCell ref="B29:B30"/>
    <mergeCell ref="C29:C30"/>
    <mergeCell ref="D29:D30"/>
    <mergeCell ref="E29:E30"/>
    <mergeCell ref="G29:G30"/>
    <mergeCell ref="H29:H30"/>
    <mergeCell ref="F29:F30"/>
    <mergeCell ref="K31:K32"/>
    <mergeCell ref="L31:L32"/>
    <mergeCell ref="M31:M32"/>
    <mergeCell ref="B31:B32"/>
    <mergeCell ref="C31:C32"/>
    <mergeCell ref="D31:D32"/>
    <mergeCell ref="E31:E32"/>
    <mergeCell ref="G31:G32"/>
    <mergeCell ref="H31:H32"/>
    <mergeCell ref="I31:I32"/>
    <mergeCell ref="F31:F32"/>
    <mergeCell ref="L33:L34"/>
    <mergeCell ref="M33:M34"/>
    <mergeCell ref="B33:B34"/>
    <mergeCell ref="C33:C34"/>
    <mergeCell ref="D33:D34"/>
    <mergeCell ref="E33:E34"/>
    <mergeCell ref="G33:G34"/>
    <mergeCell ref="H33:H34"/>
    <mergeCell ref="I33:I34"/>
    <mergeCell ref="K33:K34"/>
    <mergeCell ref="F33:F34"/>
    <mergeCell ref="L35:L36"/>
    <mergeCell ref="M35:M36"/>
    <mergeCell ref="B35:B36"/>
    <mergeCell ref="C35:C36"/>
    <mergeCell ref="D35:D36"/>
    <mergeCell ref="E35:E36"/>
    <mergeCell ref="G35:G36"/>
    <mergeCell ref="H35:H36"/>
    <mergeCell ref="I35:I36"/>
    <mergeCell ref="K35:K36"/>
    <mergeCell ref="F35:F36"/>
    <mergeCell ref="I37:I38"/>
    <mergeCell ref="K37:K38"/>
    <mergeCell ref="L37:L38"/>
    <mergeCell ref="M37:M38"/>
    <mergeCell ref="B37:B38"/>
    <mergeCell ref="C37:C38"/>
    <mergeCell ref="D37:D38"/>
    <mergeCell ref="E37:E38"/>
    <mergeCell ref="G37:G38"/>
    <mergeCell ref="H37:H38"/>
    <mergeCell ref="F37:F38"/>
    <mergeCell ref="K39:K40"/>
    <mergeCell ref="L39:L40"/>
    <mergeCell ref="M39:M40"/>
    <mergeCell ref="B39:B40"/>
    <mergeCell ref="C39:C40"/>
    <mergeCell ref="D39:D40"/>
    <mergeCell ref="E39:E40"/>
    <mergeCell ref="G39:G40"/>
    <mergeCell ref="H39:H40"/>
    <mergeCell ref="I39:I40"/>
    <mergeCell ref="F39:F40"/>
    <mergeCell ref="L41:L42"/>
    <mergeCell ref="M41:M42"/>
    <mergeCell ref="B41:B42"/>
    <mergeCell ref="C41:C42"/>
    <mergeCell ref="D41:D42"/>
    <mergeCell ref="E41:E42"/>
    <mergeCell ref="G41:G42"/>
    <mergeCell ref="H41:H42"/>
    <mergeCell ref="I41:I42"/>
    <mergeCell ref="K41:K42"/>
    <mergeCell ref="F41:F42"/>
    <mergeCell ref="L43:L44"/>
    <mergeCell ref="M43:M44"/>
    <mergeCell ref="B43:B44"/>
    <mergeCell ref="C43:C44"/>
    <mergeCell ref="D43:D44"/>
    <mergeCell ref="E43:E44"/>
    <mergeCell ref="G43:G44"/>
    <mergeCell ref="H43:H44"/>
    <mergeCell ref="I43:I44"/>
    <mergeCell ref="K43:K44"/>
    <mergeCell ref="F43:F44"/>
    <mergeCell ref="I45:I46"/>
    <mergeCell ref="K45:K46"/>
    <mergeCell ref="L45:L46"/>
    <mergeCell ref="M45:M46"/>
    <mergeCell ref="B45:B46"/>
    <mergeCell ref="C45:C46"/>
    <mergeCell ref="D45:D46"/>
    <mergeCell ref="E45:E46"/>
    <mergeCell ref="G45:G46"/>
    <mergeCell ref="H45:H46"/>
    <mergeCell ref="F45:F46"/>
    <mergeCell ref="K47:K48"/>
    <mergeCell ref="L47:L48"/>
    <mergeCell ref="M47:M48"/>
    <mergeCell ref="B47:B48"/>
    <mergeCell ref="C47:C48"/>
    <mergeCell ref="D47:D48"/>
    <mergeCell ref="E47:E48"/>
    <mergeCell ref="G47:G48"/>
    <mergeCell ref="H47:H48"/>
    <mergeCell ref="I47:I48"/>
    <mergeCell ref="F47:F48"/>
    <mergeCell ref="L49:L50"/>
    <mergeCell ref="M49:M50"/>
    <mergeCell ref="B49:B50"/>
    <mergeCell ref="C49:C50"/>
    <mergeCell ref="D49:D50"/>
    <mergeCell ref="E49:E50"/>
    <mergeCell ref="G49:G50"/>
    <mergeCell ref="H49:H50"/>
    <mergeCell ref="I49:I50"/>
    <mergeCell ref="K49:K50"/>
    <mergeCell ref="F49:F50"/>
    <mergeCell ref="L51:L52"/>
    <mergeCell ref="M51:M52"/>
    <mergeCell ref="B51:B52"/>
    <mergeCell ref="C51:C52"/>
    <mergeCell ref="D51:D52"/>
    <mergeCell ref="E51:E52"/>
    <mergeCell ref="G51:G52"/>
    <mergeCell ref="H51:H52"/>
    <mergeCell ref="I51:I52"/>
    <mergeCell ref="K51:K52"/>
    <mergeCell ref="F51:F52"/>
    <mergeCell ref="I53:I54"/>
    <mergeCell ref="K53:K54"/>
    <mergeCell ref="L53:L54"/>
    <mergeCell ref="M53:M54"/>
    <mergeCell ref="B53:B54"/>
    <mergeCell ref="C53:C54"/>
    <mergeCell ref="D53:D54"/>
    <mergeCell ref="E53:E54"/>
    <mergeCell ref="G53:G54"/>
    <mergeCell ref="H53:H54"/>
    <mergeCell ref="F53:F54"/>
    <mergeCell ref="K55:K56"/>
    <mergeCell ref="L55:L56"/>
    <mergeCell ref="M55:M56"/>
    <mergeCell ref="B55:B56"/>
    <mergeCell ref="C55:C56"/>
    <mergeCell ref="D55:D56"/>
    <mergeCell ref="E55:E56"/>
    <mergeCell ref="G55:G56"/>
    <mergeCell ref="H55:H56"/>
    <mergeCell ref="I55:I56"/>
    <mergeCell ref="F55:F56"/>
    <mergeCell ref="L57:L58"/>
    <mergeCell ref="M57:M58"/>
    <mergeCell ref="B57:B58"/>
    <mergeCell ref="C57:C58"/>
    <mergeCell ref="D57:D58"/>
    <mergeCell ref="E57:E58"/>
    <mergeCell ref="G57:G58"/>
    <mergeCell ref="H57:H58"/>
    <mergeCell ref="I57:I58"/>
    <mergeCell ref="K57:K58"/>
    <mergeCell ref="F57:F58"/>
    <mergeCell ref="L59:L60"/>
    <mergeCell ref="M59:M60"/>
    <mergeCell ref="B59:B60"/>
    <mergeCell ref="C59:C60"/>
    <mergeCell ref="D59:D60"/>
    <mergeCell ref="E59:E60"/>
    <mergeCell ref="G59:G60"/>
    <mergeCell ref="H59:H60"/>
    <mergeCell ref="I59:I60"/>
    <mergeCell ref="K59:K60"/>
    <mergeCell ref="F59:F60"/>
    <mergeCell ref="M63:M64"/>
    <mergeCell ref="B63:B64"/>
    <mergeCell ref="C63:C64"/>
    <mergeCell ref="D63:D64"/>
    <mergeCell ref="E63:E64"/>
    <mergeCell ref="G63:G64"/>
    <mergeCell ref="H63:H64"/>
    <mergeCell ref="I63:I64"/>
    <mergeCell ref="I61:I62"/>
    <mergeCell ref="K61:K62"/>
    <mergeCell ref="L61:L62"/>
    <mergeCell ref="M61:M62"/>
    <mergeCell ref="B61:B62"/>
    <mergeCell ref="C61:C62"/>
    <mergeCell ref="D61:D62"/>
    <mergeCell ref="E61:E62"/>
    <mergeCell ref="G61:G62"/>
    <mergeCell ref="H61:H62"/>
    <mergeCell ref="K63:K64"/>
    <mergeCell ref="L63:L64"/>
    <mergeCell ref="F61:F62"/>
    <mergeCell ref="F63:F64"/>
    <mergeCell ref="M65:M66"/>
    <mergeCell ref="B65:B66"/>
    <mergeCell ref="C65:C66"/>
    <mergeCell ref="D65:D66"/>
    <mergeCell ref="E65:E66"/>
    <mergeCell ref="G65:G66"/>
    <mergeCell ref="H65:H66"/>
    <mergeCell ref="I65:I66"/>
    <mergeCell ref="K65:K66"/>
    <mergeCell ref="L65:L66"/>
    <mergeCell ref="F65:F66"/>
    <mergeCell ref="M67:M68"/>
    <mergeCell ref="B67:B68"/>
    <mergeCell ref="C67:C68"/>
    <mergeCell ref="D67:D68"/>
    <mergeCell ref="E67:E68"/>
    <mergeCell ref="G67:G68"/>
    <mergeCell ref="H67:H68"/>
    <mergeCell ref="I67:I68"/>
    <mergeCell ref="K67:K68"/>
    <mergeCell ref="L67:L68"/>
    <mergeCell ref="F67:F68"/>
    <mergeCell ref="M71:M72"/>
    <mergeCell ref="B71:B72"/>
    <mergeCell ref="C71:C72"/>
    <mergeCell ref="D71:D72"/>
    <mergeCell ref="E71:E72"/>
    <mergeCell ref="G71:G72"/>
    <mergeCell ref="H71:H72"/>
    <mergeCell ref="I71:I72"/>
    <mergeCell ref="I69:I70"/>
    <mergeCell ref="K69:K70"/>
    <mergeCell ref="L69:L70"/>
    <mergeCell ref="M69:M70"/>
    <mergeCell ref="B69:B70"/>
    <mergeCell ref="C69:C70"/>
    <mergeCell ref="D69:D70"/>
    <mergeCell ref="E69:E70"/>
    <mergeCell ref="G69:G70"/>
    <mergeCell ref="H69:H70"/>
    <mergeCell ref="K71:K72"/>
    <mergeCell ref="L71:L72"/>
    <mergeCell ref="F69:F70"/>
    <mergeCell ref="F71:F72"/>
    <mergeCell ref="M73:M74"/>
    <mergeCell ref="B73:B74"/>
    <mergeCell ref="C73:C74"/>
    <mergeCell ref="D73:D74"/>
    <mergeCell ref="E73:E74"/>
    <mergeCell ref="G73:G74"/>
    <mergeCell ref="H73:H74"/>
    <mergeCell ref="I73:I74"/>
    <mergeCell ref="K73:K74"/>
    <mergeCell ref="L73:L74"/>
    <mergeCell ref="F73:F74"/>
    <mergeCell ref="M75:M76"/>
    <mergeCell ref="B75:B76"/>
    <mergeCell ref="C75:C76"/>
    <mergeCell ref="D75:D76"/>
    <mergeCell ref="E75:E76"/>
    <mergeCell ref="G75:G76"/>
    <mergeCell ref="H75:H76"/>
    <mergeCell ref="I75:I76"/>
    <mergeCell ref="K75:K76"/>
    <mergeCell ref="L75:L76"/>
    <mergeCell ref="F75:F76"/>
    <mergeCell ref="M79:M80"/>
    <mergeCell ref="B79:B80"/>
    <mergeCell ref="C79:C80"/>
    <mergeCell ref="D79:D80"/>
    <mergeCell ref="E79:E80"/>
    <mergeCell ref="G79:G80"/>
    <mergeCell ref="H79:H80"/>
    <mergeCell ref="I79:I80"/>
    <mergeCell ref="I77:I78"/>
    <mergeCell ref="K77:K78"/>
    <mergeCell ref="M77:M78"/>
    <mergeCell ref="B77:B78"/>
    <mergeCell ref="C77:C78"/>
    <mergeCell ref="D77:D78"/>
    <mergeCell ref="E77:E78"/>
    <mergeCell ref="G77:G78"/>
    <mergeCell ref="H77:H78"/>
    <mergeCell ref="L77:L78"/>
    <mergeCell ref="L79:L80"/>
    <mergeCell ref="K79:K80"/>
    <mergeCell ref="F77:F78"/>
    <mergeCell ref="F79:F80"/>
    <mergeCell ref="M81:M82"/>
    <mergeCell ref="B81:B82"/>
    <mergeCell ref="C81:C82"/>
    <mergeCell ref="D81:D82"/>
    <mergeCell ref="E81:E82"/>
    <mergeCell ref="G81:G82"/>
    <mergeCell ref="H81:H82"/>
    <mergeCell ref="I81:I82"/>
    <mergeCell ref="K81:K82"/>
    <mergeCell ref="L81:L82"/>
    <mergeCell ref="F81:F82"/>
    <mergeCell ref="M85:M86"/>
    <mergeCell ref="B85:B86"/>
    <mergeCell ref="C85:C86"/>
    <mergeCell ref="D85:D86"/>
    <mergeCell ref="E85:E86"/>
    <mergeCell ref="G85:G86"/>
    <mergeCell ref="H85:H86"/>
    <mergeCell ref="L83:L84"/>
    <mergeCell ref="M83:M84"/>
    <mergeCell ref="B83:B84"/>
    <mergeCell ref="C83:C84"/>
    <mergeCell ref="D83:D84"/>
    <mergeCell ref="E83:E84"/>
    <mergeCell ref="G83:G84"/>
    <mergeCell ref="H83:H84"/>
    <mergeCell ref="I83:I84"/>
    <mergeCell ref="K83:K84"/>
    <mergeCell ref="L85:L86"/>
    <mergeCell ref="J83:J84"/>
    <mergeCell ref="J85:J86"/>
    <mergeCell ref="I85:I86"/>
    <mergeCell ref="K85:K86"/>
    <mergeCell ref="F83:F84"/>
    <mergeCell ref="F85:F86"/>
    <mergeCell ref="N5:N6"/>
    <mergeCell ref="N7:N8"/>
    <mergeCell ref="N13:N14"/>
    <mergeCell ref="N15:N16"/>
    <mergeCell ref="J67:J68"/>
    <mergeCell ref="J69:J70"/>
    <mergeCell ref="J71:J72"/>
    <mergeCell ref="J73:J74"/>
    <mergeCell ref="J75:J76"/>
    <mergeCell ref="J55:J56"/>
    <mergeCell ref="J57:J58"/>
    <mergeCell ref="J59:J60"/>
    <mergeCell ref="J61:J62"/>
    <mergeCell ref="J63:J64"/>
    <mergeCell ref="J65:J66"/>
    <mergeCell ref="J43:J44"/>
    <mergeCell ref="J45:J46"/>
    <mergeCell ref="J47:J48"/>
    <mergeCell ref="J49:J50"/>
    <mergeCell ref="J51:J52"/>
    <mergeCell ref="J53:J54"/>
    <mergeCell ref="J31:J32"/>
    <mergeCell ref="J33:J34"/>
    <mergeCell ref="J35:J36"/>
    <mergeCell ref="N21:N22"/>
    <mergeCell ref="N23:N24"/>
    <mergeCell ref="N25:N26"/>
    <mergeCell ref="N17:N18"/>
    <mergeCell ref="N19:N20"/>
    <mergeCell ref="N9:N10"/>
    <mergeCell ref="N11:N12"/>
    <mergeCell ref="J79:J80"/>
    <mergeCell ref="J81:J82"/>
    <mergeCell ref="J77:J78"/>
    <mergeCell ref="J37:J38"/>
    <mergeCell ref="J39:J40"/>
    <mergeCell ref="J41:J42"/>
    <mergeCell ref="J19:J20"/>
    <mergeCell ref="J21:J22"/>
    <mergeCell ref="J23:J24"/>
    <mergeCell ref="J25:J26"/>
    <mergeCell ref="J27:J28"/>
    <mergeCell ref="J29:J30"/>
    <mergeCell ref="J9:J10"/>
    <mergeCell ref="J11:J12"/>
    <mergeCell ref="J13:J14"/>
    <mergeCell ref="J15:J16"/>
    <mergeCell ref="J17:J18"/>
    <mergeCell ref="N43:N44"/>
    <mergeCell ref="N45:N46"/>
    <mergeCell ref="N47:N48"/>
    <mergeCell ref="N37:N38"/>
    <mergeCell ref="N39:N40"/>
    <mergeCell ref="N41:N42"/>
    <mergeCell ref="N33:N34"/>
    <mergeCell ref="N35:N36"/>
    <mergeCell ref="N27:N28"/>
    <mergeCell ref="N29:N30"/>
    <mergeCell ref="N31:N32"/>
    <mergeCell ref="N65:N66"/>
    <mergeCell ref="N67:N68"/>
    <mergeCell ref="N59:N60"/>
    <mergeCell ref="N61:N62"/>
    <mergeCell ref="N63:N64"/>
    <mergeCell ref="N53:N54"/>
    <mergeCell ref="N55:N56"/>
    <mergeCell ref="N57:N58"/>
    <mergeCell ref="N49:N50"/>
    <mergeCell ref="N51:N52"/>
    <mergeCell ref="N85:N86"/>
    <mergeCell ref="N81:N82"/>
    <mergeCell ref="N83:N84"/>
    <mergeCell ref="N75:N76"/>
    <mergeCell ref="N77:N78"/>
    <mergeCell ref="N79:N80"/>
    <mergeCell ref="N69:N70"/>
    <mergeCell ref="N71:N72"/>
    <mergeCell ref="N73:N74"/>
  </mergeCells>
  <phoneticPr fontId="2" type="noConversion"/>
  <conditionalFormatting sqref="B87:B1048576 B85 B1:B5 B7 B9 B11 B13 B15 B17 B19 B21 B23 B25 B27 B29 B31 B33 B35 B37 B39 B41 B43 B45 B47 B49 B51 B53 B55 B57 B59 B61 B63 B65 B67 B69 B71 B73 B75 B77 B79 B81 B83">
    <cfRule type="duplicateValues" dxfId="57" priority="28"/>
  </conditionalFormatting>
  <conditionalFormatting sqref="C2">
    <cfRule type="duplicateValues" dxfId="56" priority="26"/>
  </conditionalFormatting>
  <conditionalFormatting sqref="F1:F1048576">
    <cfRule type="cellIs" dxfId="55" priority="1" operator="lessThan">
      <formula>0</formula>
    </cfRule>
  </conditionalFormatting>
  <conditionalFormatting sqref="F4:F5">
    <cfRule type="cellIs" dxfId="54" priority="21" operator="lessThan">
      <formula>0</formula>
    </cfRule>
  </conditionalFormatting>
  <conditionalFormatting sqref="F7">
    <cfRule type="cellIs" dxfId="53" priority="20" operator="lessThan">
      <formula>0</formula>
    </cfRule>
  </conditionalFormatting>
  <conditionalFormatting sqref="F9">
    <cfRule type="cellIs" dxfId="52" priority="19" operator="lessThan">
      <formula>0</formula>
    </cfRule>
  </conditionalFormatting>
  <conditionalFormatting sqref="F11">
    <cfRule type="cellIs" dxfId="51" priority="18" operator="lessThan">
      <formula>0</formula>
    </cfRule>
  </conditionalFormatting>
  <conditionalFormatting sqref="F13">
    <cfRule type="cellIs" dxfId="50" priority="17" operator="lessThan">
      <formula>0</formula>
    </cfRule>
  </conditionalFormatting>
  <conditionalFormatting sqref="F15">
    <cfRule type="cellIs" dxfId="49" priority="16" operator="lessThan">
      <formula>0</formula>
    </cfRule>
  </conditionalFormatting>
  <conditionalFormatting sqref="F17">
    <cfRule type="cellIs" dxfId="48" priority="15" operator="lessThan">
      <formula>0</formula>
    </cfRule>
  </conditionalFormatting>
  <conditionalFormatting sqref="F19">
    <cfRule type="cellIs" dxfId="47" priority="14" operator="lessThan">
      <formula>0</formula>
    </cfRule>
  </conditionalFormatting>
  <conditionalFormatting sqref="F21">
    <cfRule type="cellIs" dxfId="46" priority="13" operator="lessThan">
      <formula>0</formula>
    </cfRule>
  </conditionalFormatting>
  <conditionalFormatting sqref="F23">
    <cfRule type="cellIs" dxfId="45" priority="12" operator="lessThan">
      <formula>0</formula>
    </cfRule>
  </conditionalFormatting>
  <conditionalFormatting sqref="F25">
    <cfRule type="cellIs" dxfId="44" priority="11" operator="lessThan">
      <formula>0</formula>
    </cfRule>
  </conditionalFormatting>
  <conditionalFormatting sqref="F27">
    <cfRule type="cellIs" dxfId="43" priority="10" operator="lessThan">
      <formula>0</formula>
    </cfRule>
  </conditionalFormatting>
  <conditionalFormatting sqref="F29">
    <cfRule type="cellIs" dxfId="42" priority="9" operator="lessThan">
      <formula>0</formula>
    </cfRule>
  </conditionalFormatting>
  <conditionalFormatting sqref="F31">
    <cfRule type="cellIs" dxfId="41" priority="8" operator="lessThan">
      <formula>0</formula>
    </cfRule>
  </conditionalFormatting>
  <conditionalFormatting sqref="F33">
    <cfRule type="cellIs" dxfId="40" priority="7" operator="lessThan">
      <formula>0</formula>
    </cfRule>
  </conditionalFormatting>
  <conditionalFormatting sqref="F35">
    <cfRule type="cellIs" dxfId="39" priority="6" operator="lessThan">
      <formula>0</formula>
    </cfRule>
  </conditionalFormatting>
  <conditionalFormatting sqref="F37">
    <cfRule type="cellIs" dxfId="38" priority="5" operator="lessThan">
      <formula>0</formula>
    </cfRule>
  </conditionalFormatting>
  <conditionalFormatting sqref="F39">
    <cfRule type="cellIs" dxfId="37" priority="4" operator="lessThan">
      <formula>0</formula>
    </cfRule>
  </conditionalFormatting>
  <conditionalFormatting sqref="F41">
    <cfRule type="cellIs" dxfId="36" priority="3" operator="lessThan">
      <formula>0</formula>
    </cfRule>
  </conditionalFormatting>
  <conditionalFormatting sqref="F43">
    <cfRule type="cellIs" dxfId="35" priority="2" operator="lessThan">
      <formula>0</formula>
    </cfRule>
  </conditionalFormatting>
  <conditionalFormatting sqref="J1:J5 J7 J9 J11 J13 J15 J17 J19 J21 J23 J25 J27 J29 J31 J33 J35 J37 J39 J41 J43 J45 J47 J49 J51 J53 J55 J57 J59 J61 J63 J65 J67 J69 J71 J73 J75 J77 J79 J81 J83 J85 J87:J1048576">
    <cfRule type="cellIs" dxfId="34" priority="25" operator="lessThan">
      <formula>0</formula>
    </cfRule>
  </conditionalFormatting>
  <conditionalFormatting sqref="M1:M5 M7 M9 M11 M13 M15 M17 M19 M21 M23 M25 M27 M29 M31 M33 M35 M37 M39 M41 M43 M45 M87:M1048576 M47 M49 M51 M53 M55 M57 M59 M61 M63 M65 M67 M69 M71 M73 M75 M77 M79 M81 M83 M85">
    <cfRule type="top10" dxfId="33" priority="27" rank="3"/>
  </conditionalFormatting>
  <conditionalFormatting sqref="P4:AT4">
    <cfRule type="expression" dxfId="32" priority="23">
      <formula>WEEKDAY(P4)=7</formula>
    </cfRule>
    <cfRule type="expression" dxfId="31" priority="24">
      <formula>WEEKDAY(P4)=1</formula>
    </cfRule>
  </conditionalFormatting>
  <pageMargins left="0.75" right="0.75" top="1" bottom="1" header="0.5" footer="0.5"/>
  <pageSetup paperSize="8" scale="40"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96E8-448F-4C6C-9930-B7046C4E944C}">
  <sheetPr>
    <pageSetUpPr fitToPage="1"/>
  </sheetPr>
  <dimension ref="B1:AU87"/>
  <sheetViews>
    <sheetView showGridLines="0" zoomScale="55" zoomScaleNormal="55" workbookViewId="0">
      <pane ySplit="4" topLeftCell="A33" activePane="bottomLeft" state="frozen"/>
      <selection activeCell="R14" sqref="R14"/>
      <selection pane="bottomLeft" activeCell="R14" sqref="R14"/>
    </sheetView>
  </sheetViews>
  <sheetFormatPr defaultRowHeight="17.25" x14ac:dyDescent="0.3"/>
  <cols>
    <col min="1" max="1" width="1.625" style="291" customWidth="1"/>
    <col min="2" max="3" width="17" style="291" bestFit="1" customWidth="1"/>
    <col min="4" max="4" width="19.625" style="291" customWidth="1"/>
    <col min="5" max="5" width="19.625" style="291" bestFit="1" customWidth="1"/>
    <col min="6" max="6" width="17.125" style="291" customWidth="1"/>
    <col min="7" max="7" width="13.125" style="291" bestFit="1" customWidth="1"/>
    <col min="8" max="9" width="13" style="291" customWidth="1"/>
    <col min="10" max="10" width="11.375" style="291" customWidth="1"/>
    <col min="11" max="11" width="14.125" style="291" customWidth="1"/>
    <col min="12" max="12" width="9" style="291" customWidth="1"/>
    <col min="13" max="14" width="9" style="291" hidden="1" customWidth="1"/>
    <col min="15" max="15" width="11.125" style="292" hidden="1" customWidth="1"/>
    <col min="16" max="16" width="13.75" style="291" customWidth="1"/>
    <col min="17" max="47" width="9.625" style="291" customWidth="1"/>
    <col min="48" max="16384" width="9" style="291"/>
  </cols>
  <sheetData>
    <row r="1" spans="2:47" ht="11.25" customHeight="1" x14ac:dyDescent="0.3"/>
    <row r="2" spans="2:47" ht="29.25" customHeight="1" x14ac:dyDescent="0.3">
      <c r="B2" s="293" t="s">
        <v>178</v>
      </c>
      <c r="C2" s="294">
        <v>46143</v>
      </c>
      <c r="D2" s="295" t="s">
        <v>179</v>
      </c>
      <c r="E2" s="296">
        <v>46107</v>
      </c>
      <c r="F2" s="321">
        <v>0.60624999999999996</v>
      </c>
      <c r="G2" s="298"/>
      <c r="H2" s="298"/>
      <c r="I2" s="298"/>
      <c r="O2" s="291"/>
    </row>
    <row r="3" spans="2:47" ht="28.5" customHeight="1" x14ac:dyDescent="0.3">
      <c r="B3" s="299" t="s">
        <v>260</v>
      </c>
      <c r="C3" s="299"/>
      <c r="D3" s="299"/>
      <c r="E3" s="299"/>
      <c r="F3" s="299"/>
      <c r="G3" s="299"/>
      <c r="H3" s="299"/>
      <c r="I3" s="299"/>
      <c r="J3" s="299"/>
      <c r="K3" s="299"/>
      <c r="L3" s="299"/>
      <c r="M3" s="299"/>
      <c r="N3" s="299"/>
      <c r="O3" s="299"/>
      <c r="P3" s="299"/>
      <c r="Q3" s="300">
        <f>C2</f>
        <v>46143</v>
      </c>
      <c r="R3" s="300">
        <f t="shared" ref="R3:AU3" si="0">Q3+1</f>
        <v>46144</v>
      </c>
      <c r="S3" s="300">
        <f t="shared" si="0"/>
        <v>46145</v>
      </c>
      <c r="T3" s="300">
        <f t="shared" si="0"/>
        <v>46146</v>
      </c>
      <c r="U3" s="300">
        <f t="shared" si="0"/>
        <v>46147</v>
      </c>
      <c r="V3" s="300">
        <f t="shared" si="0"/>
        <v>46148</v>
      </c>
      <c r="W3" s="300">
        <f t="shared" si="0"/>
        <v>46149</v>
      </c>
      <c r="X3" s="300">
        <f t="shared" si="0"/>
        <v>46150</v>
      </c>
      <c r="Y3" s="300">
        <f t="shared" si="0"/>
        <v>46151</v>
      </c>
      <c r="Z3" s="300">
        <f t="shared" si="0"/>
        <v>46152</v>
      </c>
      <c r="AA3" s="300">
        <f t="shared" si="0"/>
        <v>46153</v>
      </c>
      <c r="AB3" s="300">
        <f t="shared" si="0"/>
        <v>46154</v>
      </c>
      <c r="AC3" s="300">
        <f t="shared" si="0"/>
        <v>46155</v>
      </c>
      <c r="AD3" s="300">
        <f t="shared" si="0"/>
        <v>46156</v>
      </c>
      <c r="AE3" s="300">
        <f t="shared" si="0"/>
        <v>46157</v>
      </c>
      <c r="AF3" s="300">
        <f t="shared" si="0"/>
        <v>46158</v>
      </c>
      <c r="AG3" s="300">
        <f t="shared" si="0"/>
        <v>46159</v>
      </c>
      <c r="AH3" s="300">
        <f t="shared" si="0"/>
        <v>46160</v>
      </c>
      <c r="AI3" s="300">
        <f t="shared" si="0"/>
        <v>46161</v>
      </c>
      <c r="AJ3" s="300">
        <f t="shared" si="0"/>
        <v>46162</v>
      </c>
      <c r="AK3" s="300">
        <f t="shared" si="0"/>
        <v>46163</v>
      </c>
      <c r="AL3" s="300">
        <f t="shared" si="0"/>
        <v>46164</v>
      </c>
      <c r="AM3" s="300">
        <f t="shared" si="0"/>
        <v>46165</v>
      </c>
      <c r="AN3" s="300">
        <f t="shared" si="0"/>
        <v>46166</v>
      </c>
      <c r="AO3" s="300">
        <f t="shared" si="0"/>
        <v>46167</v>
      </c>
      <c r="AP3" s="300">
        <f t="shared" si="0"/>
        <v>46168</v>
      </c>
      <c r="AQ3" s="300">
        <f t="shared" si="0"/>
        <v>46169</v>
      </c>
      <c r="AR3" s="300">
        <f t="shared" si="0"/>
        <v>46170</v>
      </c>
      <c r="AS3" s="300">
        <f t="shared" si="0"/>
        <v>46171</v>
      </c>
      <c r="AT3" s="300">
        <f t="shared" si="0"/>
        <v>46172</v>
      </c>
      <c r="AU3" s="300">
        <f t="shared" si="0"/>
        <v>46173</v>
      </c>
    </row>
    <row r="4" spans="2:47" ht="37.5" customHeight="1" x14ac:dyDescent="0.3">
      <c r="B4" s="301" t="s">
        <v>173</v>
      </c>
      <c r="C4" s="301" t="s">
        <v>181</v>
      </c>
      <c r="D4" s="301" t="s">
        <v>182</v>
      </c>
      <c r="E4" s="302" t="s">
        <v>261</v>
      </c>
      <c r="F4" s="301" t="s">
        <v>269</v>
      </c>
      <c r="G4" s="301" t="s">
        <v>259</v>
      </c>
      <c r="H4" s="301" t="s">
        <v>267</v>
      </c>
      <c r="I4" s="301" t="s">
        <v>318</v>
      </c>
      <c r="J4" s="302" t="s">
        <v>334</v>
      </c>
      <c r="K4" s="302" t="s">
        <v>335</v>
      </c>
      <c r="L4" s="301" t="s">
        <v>258</v>
      </c>
      <c r="M4" s="301" t="s">
        <v>256</v>
      </c>
      <c r="N4" s="301" t="s">
        <v>255</v>
      </c>
      <c r="O4" s="301" t="s">
        <v>263</v>
      </c>
      <c r="P4" s="301" t="s">
        <v>268</v>
      </c>
      <c r="Q4" s="304">
        <f t="shared" ref="Q4:AU4" si="1">Q3</f>
        <v>46143</v>
      </c>
      <c r="R4" s="304">
        <f t="shared" si="1"/>
        <v>46144</v>
      </c>
      <c r="S4" s="304">
        <f t="shared" si="1"/>
        <v>46145</v>
      </c>
      <c r="T4" s="304">
        <f t="shared" si="1"/>
        <v>46146</v>
      </c>
      <c r="U4" s="304">
        <f t="shared" si="1"/>
        <v>46147</v>
      </c>
      <c r="V4" s="304">
        <f t="shared" si="1"/>
        <v>46148</v>
      </c>
      <c r="W4" s="304">
        <f t="shared" si="1"/>
        <v>46149</v>
      </c>
      <c r="X4" s="304">
        <f t="shared" si="1"/>
        <v>46150</v>
      </c>
      <c r="Y4" s="304">
        <f t="shared" si="1"/>
        <v>46151</v>
      </c>
      <c r="Z4" s="304">
        <f t="shared" si="1"/>
        <v>46152</v>
      </c>
      <c r="AA4" s="304">
        <f t="shared" si="1"/>
        <v>46153</v>
      </c>
      <c r="AB4" s="304">
        <f t="shared" si="1"/>
        <v>46154</v>
      </c>
      <c r="AC4" s="304">
        <f t="shared" si="1"/>
        <v>46155</v>
      </c>
      <c r="AD4" s="304">
        <f t="shared" si="1"/>
        <v>46156</v>
      </c>
      <c r="AE4" s="304">
        <f t="shared" si="1"/>
        <v>46157</v>
      </c>
      <c r="AF4" s="304">
        <f t="shared" si="1"/>
        <v>46158</v>
      </c>
      <c r="AG4" s="304">
        <f t="shared" si="1"/>
        <v>46159</v>
      </c>
      <c r="AH4" s="304">
        <f t="shared" si="1"/>
        <v>46160</v>
      </c>
      <c r="AI4" s="304">
        <f t="shared" si="1"/>
        <v>46161</v>
      </c>
      <c r="AJ4" s="304">
        <f t="shared" si="1"/>
        <v>46162</v>
      </c>
      <c r="AK4" s="304">
        <f t="shared" si="1"/>
        <v>46163</v>
      </c>
      <c r="AL4" s="304">
        <f t="shared" si="1"/>
        <v>46164</v>
      </c>
      <c r="AM4" s="304">
        <f t="shared" si="1"/>
        <v>46165</v>
      </c>
      <c r="AN4" s="304">
        <f t="shared" si="1"/>
        <v>46166</v>
      </c>
      <c r="AO4" s="304">
        <f t="shared" si="1"/>
        <v>46167</v>
      </c>
      <c r="AP4" s="304">
        <f t="shared" si="1"/>
        <v>46168</v>
      </c>
      <c r="AQ4" s="304">
        <f t="shared" si="1"/>
        <v>46169</v>
      </c>
      <c r="AR4" s="304">
        <f t="shared" si="1"/>
        <v>46170</v>
      </c>
      <c r="AS4" s="304">
        <f t="shared" si="1"/>
        <v>46171</v>
      </c>
      <c r="AT4" s="304">
        <f t="shared" si="1"/>
        <v>46172</v>
      </c>
      <c r="AU4" s="304">
        <f t="shared" si="1"/>
        <v>46173</v>
      </c>
    </row>
    <row r="5" spans="2:47" ht="32.1" customHeight="1" x14ac:dyDescent="0.3">
      <c r="B5" s="444" t="s">
        <v>33</v>
      </c>
      <c r="C5" s="444" t="s">
        <v>185</v>
      </c>
      <c r="D5" s="444" t="s">
        <v>250</v>
      </c>
      <c r="E5" s="438">
        <f>ABS(SUMIFS('Fixture 총 발주수량'!V:V,'Fixture 총 발주수량'!B:B,'클린룸 생산계획'!B5,'Fixture 총 발주수량'!V:V,"&lt;0"))</f>
        <v>534</v>
      </c>
      <c r="F5" s="437">
        <f>G5-E5</f>
        <v>-534</v>
      </c>
      <c r="G5" s="437">
        <f>SUMIF(Q5:AU5, "&gt;0")</f>
        <v>0</v>
      </c>
      <c r="H5" s="437">
        <f>SUMIF(Q6:AU6, "&gt;0")</f>
        <v>0</v>
      </c>
      <c r="I5" s="442">
        <f>IFERROR(H5/G5,)</f>
        <v>0</v>
      </c>
      <c r="J5" s="437">
        <f ca="1">IFERROR(SUMIF('Fixture 총 발주수량'!B:AG,'클린룸 생산계획'!B5,'Fixture 총 발주수량'!Y:Y),)</f>
        <v>0</v>
      </c>
      <c r="K5" s="437">
        <f ca="1">IFERROR(SUMIF('Fixture 총 발주수량'!B:AG,'클린룸 생산계획'!B5,'Fixture 총 발주수량'!W:W),)</f>
        <v>0</v>
      </c>
      <c r="L5" s="438">
        <f>ROUNDUP(E5/2000,)</f>
        <v>1</v>
      </c>
      <c r="M5" s="438">
        <f>O5</f>
        <v>1</v>
      </c>
      <c r="N5" s="438">
        <f>M5+L5</f>
        <v>2</v>
      </c>
      <c r="O5" s="438">
        <f>L5</f>
        <v>1</v>
      </c>
      <c r="P5" s="306" t="s">
        <v>265</v>
      </c>
      <c r="Q5" s="326"/>
      <c r="R5" s="308">
        <v>0</v>
      </c>
      <c r="S5" s="308"/>
      <c r="T5" s="308"/>
      <c r="U5" s="308"/>
      <c r="V5" s="308"/>
      <c r="W5" s="308"/>
      <c r="X5" s="308"/>
      <c r="Y5" s="308"/>
      <c r="Z5" s="308"/>
      <c r="AA5" s="308"/>
      <c r="AB5" s="308"/>
      <c r="AC5" s="308"/>
      <c r="AD5" s="308"/>
      <c r="AE5" s="308"/>
      <c r="AF5" s="308"/>
      <c r="AG5" s="308"/>
      <c r="AH5" s="308"/>
      <c r="AI5" s="308"/>
      <c r="AJ5" s="308"/>
      <c r="AK5" s="308"/>
      <c r="AL5" s="308"/>
      <c r="AM5" s="308"/>
      <c r="AN5" s="308"/>
      <c r="AO5" s="308"/>
      <c r="AP5" s="308"/>
      <c r="AQ5" s="308"/>
      <c r="AR5" s="308"/>
      <c r="AS5" s="308"/>
      <c r="AT5" s="308"/>
      <c r="AU5" s="309"/>
    </row>
    <row r="6" spans="2:47" ht="32.1" customHeight="1" x14ac:dyDescent="0.3">
      <c r="B6" s="445"/>
      <c r="C6" s="445"/>
      <c r="D6" s="445"/>
      <c r="E6" s="439"/>
      <c r="F6" s="436"/>
      <c r="G6" s="436"/>
      <c r="H6" s="436"/>
      <c r="I6" s="443"/>
      <c r="J6" s="436"/>
      <c r="K6" s="436"/>
      <c r="L6" s="439"/>
      <c r="M6" s="439"/>
      <c r="N6" s="439"/>
      <c r="O6" s="439"/>
      <c r="P6" s="306" t="s">
        <v>267</v>
      </c>
      <c r="Q6" s="323" cm="1">
        <f t="array" ref="Q6">INDEX('생산수량Back-Data'!$B$5:$AAA$10041,
       MATCH($B5,'생산수량Back-Data'!$B$5:$B$10041,0)+3,
       MATCH(Q$3,'생산수량Back-Data'!$B$3:$AAA$3,0))</f>
        <v>0</v>
      </c>
      <c r="R6" s="310" cm="1">
        <f t="array" ref="R6">INDEX('생산수량Back-Data'!$B$5:$AAA$10041,
       MATCH($B5,'생산수량Back-Data'!$B$5:$B$10041,0)+3,
       MATCH(R$3,'생산수량Back-Data'!$B$3:$AAA$3,0))</f>
        <v>0</v>
      </c>
      <c r="S6" s="310" cm="1">
        <f t="array" ref="S6">INDEX('생산수량Back-Data'!$B$5:$AAA$10041,
       MATCH($B5,'생산수량Back-Data'!$B$5:$B$10041,0)+3,
       MATCH(S$3,'생산수량Back-Data'!$B$3:$AAA$3,0))</f>
        <v>0</v>
      </c>
      <c r="T6" s="310" cm="1">
        <f t="array" ref="T6">INDEX('생산수량Back-Data'!$B$5:$AAA$10041,
       MATCH($B5,'생산수량Back-Data'!$B$5:$B$10041,0)+3,
       MATCH(T$3,'생산수량Back-Data'!$B$3:$AAA$3,0))</f>
        <v>0</v>
      </c>
      <c r="U6" s="310" cm="1">
        <f t="array" ref="U6">INDEX('생산수량Back-Data'!$B$5:$AAA$10041,
       MATCH($B5,'생산수량Back-Data'!$B$5:$B$10041,0)+3,
       MATCH(U$3,'생산수량Back-Data'!$B$3:$AAA$3,0))</f>
        <v>0</v>
      </c>
      <c r="V6" s="310" cm="1">
        <f t="array" ref="V6">INDEX('생산수량Back-Data'!$B$5:$AAA$10041,
       MATCH($B5,'생산수량Back-Data'!$B$5:$B$10041,0)+3,
       MATCH(V$3,'생산수량Back-Data'!$B$3:$AAA$3,0))</f>
        <v>0</v>
      </c>
      <c r="W6" s="310" cm="1">
        <f t="array" ref="W6">INDEX('생산수량Back-Data'!$B$5:$AAA$10041,
       MATCH($B5,'생산수량Back-Data'!$B$5:$B$10041,0)+3,
       MATCH(W$3,'생산수량Back-Data'!$B$3:$AAA$3,0))</f>
        <v>0</v>
      </c>
      <c r="X6" s="310" cm="1">
        <f t="array" ref="X6">INDEX('생산수량Back-Data'!$B$5:$AAA$10041,
       MATCH($B5,'생산수량Back-Data'!$B$5:$B$10041,0)+3,
       MATCH(X$3,'생산수량Back-Data'!$B$3:$AAA$3,0))</f>
        <v>0</v>
      </c>
      <c r="Y6" s="310" cm="1">
        <f t="array" ref="Y6">INDEX('생산수량Back-Data'!$B$5:$AAA$10041,
       MATCH($B5,'생산수량Back-Data'!$B$5:$B$10041,0)+3,
       MATCH(Y$3,'생산수량Back-Data'!$B$3:$AAA$3,0))</f>
        <v>0</v>
      </c>
      <c r="Z6" s="310" cm="1">
        <f t="array" ref="Z6">INDEX('생산수량Back-Data'!$B$5:$AAA$10041,
       MATCH($B5,'생산수량Back-Data'!$B$5:$B$10041,0)+3,
       MATCH(Z$3,'생산수량Back-Data'!$B$3:$AAA$3,0))</f>
        <v>0</v>
      </c>
      <c r="AA6" s="310" cm="1">
        <f t="array" ref="AA6">INDEX('생산수량Back-Data'!$B$5:$AAA$10041,
       MATCH($B5,'생산수량Back-Data'!$B$5:$B$10041,0)+3,
       MATCH(AA$3,'생산수량Back-Data'!$B$3:$AAA$3,0))</f>
        <v>0</v>
      </c>
      <c r="AB6" s="310" cm="1">
        <f t="array" ref="AB6">INDEX('생산수량Back-Data'!$B$5:$AAA$10041,
       MATCH($B5,'생산수량Back-Data'!$B$5:$B$10041,0)+3,
       MATCH(AB$3,'생산수량Back-Data'!$B$3:$AAA$3,0))</f>
        <v>0</v>
      </c>
      <c r="AC6" s="310" cm="1">
        <f t="array" ref="AC6">INDEX('생산수량Back-Data'!$B$5:$AAA$10041,
       MATCH($B5,'생산수량Back-Data'!$B$5:$B$10041,0)+3,
       MATCH(AC$3,'생산수량Back-Data'!$B$3:$AAA$3,0))</f>
        <v>0</v>
      </c>
      <c r="AD6" s="310" cm="1">
        <f t="array" ref="AD6">INDEX('생산수량Back-Data'!$B$5:$AAA$10041,
       MATCH($B5,'생산수량Back-Data'!$B$5:$B$10041,0)+3,
       MATCH(AD$3,'생산수량Back-Data'!$B$3:$AAA$3,0))</f>
        <v>0</v>
      </c>
      <c r="AE6" s="310" cm="1">
        <f t="array" ref="AE6">INDEX('생산수량Back-Data'!$B$5:$AAA$10041,
       MATCH($B5,'생산수량Back-Data'!$B$5:$B$10041,0)+3,
       MATCH(AE$3,'생산수량Back-Data'!$B$3:$AAA$3,0))</f>
        <v>0</v>
      </c>
      <c r="AF6" s="310" cm="1">
        <f t="array" ref="AF6">INDEX('생산수량Back-Data'!$B$5:$AAA$10041,
       MATCH($B5,'생산수량Back-Data'!$B$5:$B$10041,0)+3,
       MATCH(AF$3,'생산수량Back-Data'!$B$3:$AAA$3,0))</f>
        <v>0</v>
      </c>
      <c r="AG6" s="310" cm="1">
        <f t="array" ref="AG6">INDEX('생산수량Back-Data'!$B$5:$AAA$10041,
       MATCH($B5,'생산수량Back-Data'!$B$5:$B$10041,0)+3,
       MATCH(AG$3,'생산수량Back-Data'!$B$3:$AAA$3,0))</f>
        <v>0</v>
      </c>
      <c r="AH6" s="310" cm="1">
        <f t="array" ref="AH6">INDEX('생산수량Back-Data'!$B$5:$AAA$10041,
       MATCH($B5,'생산수량Back-Data'!$B$5:$B$10041,0)+3,
       MATCH(AH$3,'생산수량Back-Data'!$B$3:$AAA$3,0))</f>
        <v>0</v>
      </c>
      <c r="AI6" s="310" cm="1">
        <f t="array" ref="AI6">INDEX('생산수량Back-Data'!$B$5:$AAA$10041,
       MATCH($B5,'생산수량Back-Data'!$B$5:$B$10041,0)+3,
       MATCH(AI$3,'생산수량Back-Data'!$B$3:$AAA$3,0))</f>
        <v>0</v>
      </c>
      <c r="AJ6" s="310" cm="1">
        <f t="array" ref="AJ6">INDEX('생산수량Back-Data'!$B$5:$AAA$10041,
       MATCH($B5,'생산수량Back-Data'!$B$5:$B$10041,0)+3,
       MATCH(AJ$3,'생산수량Back-Data'!$B$3:$AAA$3,0))</f>
        <v>0</v>
      </c>
      <c r="AK6" s="310" cm="1">
        <f t="array" ref="AK6">INDEX('생산수량Back-Data'!$B$5:$AAA$10041,
       MATCH($B5,'생산수량Back-Data'!$B$5:$B$10041,0)+3,
       MATCH(AK$3,'생산수량Back-Data'!$B$3:$AAA$3,0))</f>
        <v>0</v>
      </c>
      <c r="AL6" s="310" cm="1">
        <f t="array" ref="AL6">INDEX('생산수량Back-Data'!$B$5:$AAA$10041,
       MATCH($B5,'생산수량Back-Data'!$B$5:$B$10041,0)+3,
       MATCH(AL$3,'생산수량Back-Data'!$B$3:$AAA$3,0))</f>
        <v>0</v>
      </c>
      <c r="AM6" s="310" cm="1">
        <f t="array" ref="AM6">INDEX('생산수량Back-Data'!$B$5:$AAA$10041,
       MATCH($B5,'생산수량Back-Data'!$B$5:$B$10041,0)+3,
       MATCH(AM$3,'생산수량Back-Data'!$B$3:$AAA$3,0))</f>
        <v>0</v>
      </c>
      <c r="AN6" s="310" cm="1">
        <f t="array" ref="AN6">INDEX('생산수량Back-Data'!$B$5:$AAA$10041,
       MATCH($B5,'생산수량Back-Data'!$B$5:$B$10041,0)+3,
       MATCH(AN$3,'생산수량Back-Data'!$B$3:$AAA$3,0))</f>
        <v>0</v>
      </c>
      <c r="AO6" s="310" cm="1">
        <f t="array" ref="AO6">INDEX('생산수량Back-Data'!$B$5:$AAA$10041,
       MATCH($B5,'생산수량Back-Data'!$B$5:$B$10041,0)+3,
       MATCH(AO$3,'생산수량Back-Data'!$B$3:$AAA$3,0))</f>
        <v>0</v>
      </c>
      <c r="AP6" s="310" cm="1">
        <f t="array" ref="AP6">INDEX('생산수량Back-Data'!$B$5:$AAA$10041,
       MATCH($B5,'생산수량Back-Data'!$B$5:$B$10041,0)+3,
       MATCH(AP$3,'생산수량Back-Data'!$B$3:$AAA$3,0))</f>
        <v>0</v>
      </c>
      <c r="AQ6" s="310" cm="1">
        <f t="array" ref="AQ6">INDEX('생산수량Back-Data'!$B$5:$AAA$10041,
       MATCH($B5,'생산수량Back-Data'!$B$5:$B$10041,0)+3,
       MATCH(AQ$3,'생산수량Back-Data'!$B$3:$AAA$3,0))</f>
        <v>0</v>
      </c>
      <c r="AR6" s="310" cm="1">
        <f t="array" ref="AR6">INDEX('생산수량Back-Data'!$B$5:$AAA$10041,
       MATCH($B5,'생산수량Back-Data'!$B$5:$B$10041,0)+3,
       MATCH(AR$3,'생산수량Back-Data'!$B$3:$AAA$3,0))</f>
        <v>0</v>
      </c>
      <c r="AS6" s="310" cm="1">
        <f t="array" ref="AS6">INDEX('생산수량Back-Data'!$B$5:$AAA$10041,
       MATCH($B5,'생산수량Back-Data'!$B$5:$B$10041,0)+3,
       MATCH(AS$3,'생산수량Back-Data'!$B$3:$AAA$3,0))</f>
        <v>0</v>
      </c>
      <c r="AT6" s="310" cm="1">
        <f t="array" ref="AT6">INDEX('생산수량Back-Data'!$B$5:$AAA$10041,
       MATCH($B5,'생산수량Back-Data'!$B$5:$B$10041,0)+3,
       MATCH(AT$3,'생산수량Back-Data'!$B$3:$AAA$3,0))</f>
        <v>0</v>
      </c>
      <c r="AU6" s="324" cm="1">
        <f t="array" ref="AU6">INDEX('생산수량Back-Data'!$B$5:$AAA$10041,
       MATCH($B5,'생산수량Back-Data'!$B$5:$B$10041,0)+3,
       MATCH(AU$3,'생산수량Back-Data'!$B$3:$AAA$3,0))</f>
        <v>0</v>
      </c>
    </row>
    <row r="7" spans="2:47" ht="32.1" customHeight="1" x14ac:dyDescent="0.3">
      <c r="B7" s="444" t="s">
        <v>35</v>
      </c>
      <c r="C7" s="444" t="s">
        <v>185</v>
      </c>
      <c r="D7" s="444" t="s">
        <v>186</v>
      </c>
      <c r="E7" s="438">
        <f>ABS(SUMIFS('Fixture 총 발주수량'!V:V,'Fixture 총 발주수량'!B:B,'클린룸 생산계획'!B7,'Fixture 총 발주수량'!V:V,"&lt;0"))</f>
        <v>2656</v>
      </c>
      <c r="F7" s="437">
        <f>G7-E7</f>
        <v>-2656</v>
      </c>
      <c r="G7" s="437">
        <f>SUMIF(Q7:AU7, "&gt;0")</f>
        <v>0</v>
      </c>
      <c r="H7" s="437">
        <f>SUMIF(Q8:AU8, "&gt;0")</f>
        <v>0</v>
      </c>
      <c r="I7" s="442">
        <f>IFERROR(H7/G7,)</f>
        <v>0</v>
      </c>
      <c r="J7" s="437">
        <f ca="1">IFERROR(SUMIF('Fixture 총 발주수량'!B:AG,'클린룸 생산계획'!B7,'Fixture 총 발주수량'!Y:Y),)</f>
        <v>618</v>
      </c>
      <c r="K7" s="437">
        <f ca="1">IFERROR(SUMIF('Fixture 총 발주수량'!B:AG,'클린룸 생산계획'!B7,'Fixture 총 발주수량'!W:W),)</f>
        <v>0</v>
      </c>
      <c r="L7" s="438">
        <f>ROUNDUP(E7/2000,)</f>
        <v>2</v>
      </c>
      <c r="M7" s="438">
        <f>M5+L7</f>
        <v>3</v>
      </c>
      <c r="N7" s="438">
        <f>M7+L7</f>
        <v>5</v>
      </c>
      <c r="O7" s="438">
        <f>O5+L7</f>
        <v>3</v>
      </c>
      <c r="P7" s="306" t="s">
        <v>264</v>
      </c>
      <c r="Q7" s="325"/>
      <c r="R7" s="312"/>
      <c r="S7" s="312"/>
      <c r="T7" s="312"/>
      <c r="U7" s="312"/>
      <c r="V7" s="312"/>
      <c r="W7" s="312"/>
      <c r="X7" s="312"/>
      <c r="Y7" s="312"/>
      <c r="Z7" s="312"/>
      <c r="AA7" s="312"/>
      <c r="AB7" s="312"/>
      <c r="AC7" s="312"/>
      <c r="AD7" s="312"/>
      <c r="AE7" s="312"/>
      <c r="AF7" s="312"/>
      <c r="AG7" s="312"/>
      <c r="AH7" s="312"/>
      <c r="AI7" s="312"/>
      <c r="AJ7" s="312"/>
      <c r="AK7" s="312"/>
      <c r="AL7" s="312"/>
      <c r="AM7" s="312"/>
      <c r="AN7" s="312"/>
      <c r="AO7" s="312"/>
      <c r="AP7" s="312"/>
      <c r="AQ7" s="312"/>
      <c r="AR7" s="312"/>
      <c r="AS7" s="312"/>
      <c r="AT7" s="312"/>
      <c r="AU7" s="313"/>
    </row>
    <row r="8" spans="2:47" ht="32.1" customHeight="1" x14ac:dyDescent="0.3">
      <c r="B8" s="445"/>
      <c r="C8" s="445"/>
      <c r="D8" s="445"/>
      <c r="E8" s="439"/>
      <c r="F8" s="436"/>
      <c r="G8" s="436"/>
      <c r="H8" s="436"/>
      <c r="I8" s="443"/>
      <c r="J8" s="436"/>
      <c r="K8" s="436"/>
      <c r="L8" s="439"/>
      <c r="M8" s="439"/>
      <c r="N8" s="439"/>
      <c r="O8" s="439"/>
      <c r="P8" s="306" t="s">
        <v>266</v>
      </c>
      <c r="Q8" s="323" cm="1">
        <f t="array" ref="Q8">INDEX('생산수량Back-Data'!$B$5:$AAA$10041,
       MATCH($B7,'생산수량Back-Data'!$B$5:$B$10041,0)+3,
       MATCH(Q$3,'생산수량Back-Data'!$B$3:$AAA$3,0))</f>
        <v>0</v>
      </c>
      <c r="R8" s="310" cm="1">
        <f t="array" ref="R8">INDEX('생산수량Back-Data'!$B$5:$AAA$10041,
       MATCH($B7,'생산수량Back-Data'!$B$5:$B$10041,0)+3,
       MATCH(R$3,'생산수량Back-Data'!$B$3:$AAA$3,0))</f>
        <v>0</v>
      </c>
      <c r="S8" s="310" cm="1">
        <f t="array" ref="S8">INDEX('생산수량Back-Data'!$B$5:$AAA$10041,
       MATCH($B7,'생산수량Back-Data'!$B$5:$B$10041,0)+3,
       MATCH(S$3,'생산수량Back-Data'!$B$3:$AAA$3,0))</f>
        <v>0</v>
      </c>
      <c r="T8" s="310" cm="1">
        <f t="array" ref="T8">INDEX('생산수량Back-Data'!$B$5:$AAA$10041,
       MATCH($B7,'생산수량Back-Data'!$B$5:$B$10041,0)+3,
       MATCH(T$3,'생산수량Back-Data'!$B$3:$AAA$3,0))</f>
        <v>0</v>
      </c>
      <c r="U8" s="310" cm="1">
        <f t="array" ref="U8">INDEX('생산수량Back-Data'!$B$5:$AAA$10041,
       MATCH($B7,'생산수량Back-Data'!$B$5:$B$10041,0)+3,
       MATCH(U$3,'생산수량Back-Data'!$B$3:$AAA$3,0))</f>
        <v>0</v>
      </c>
      <c r="V8" s="310" cm="1">
        <f t="array" ref="V8">INDEX('생산수량Back-Data'!$B$5:$AAA$10041,
       MATCH($B7,'생산수량Back-Data'!$B$5:$B$10041,0)+3,
       MATCH(V$3,'생산수량Back-Data'!$B$3:$AAA$3,0))</f>
        <v>0</v>
      </c>
      <c r="W8" s="310" cm="1">
        <f t="array" ref="W8">INDEX('생산수량Back-Data'!$B$5:$AAA$10041,
       MATCH($B7,'생산수량Back-Data'!$B$5:$B$10041,0)+3,
       MATCH(W$3,'생산수량Back-Data'!$B$3:$AAA$3,0))</f>
        <v>0</v>
      </c>
      <c r="X8" s="310" cm="1">
        <f t="array" ref="X8">INDEX('생산수량Back-Data'!$B$5:$AAA$10041,
       MATCH($B7,'생산수량Back-Data'!$B$5:$B$10041,0)+3,
       MATCH(X$3,'생산수량Back-Data'!$B$3:$AAA$3,0))</f>
        <v>0</v>
      </c>
      <c r="Y8" s="310" cm="1">
        <f t="array" ref="Y8">INDEX('생산수량Back-Data'!$B$5:$AAA$10041,
       MATCH($B7,'생산수량Back-Data'!$B$5:$B$10041,0)+3,
       MATCH(Y$3,'생산수량Back-Data'!$B$3:$AAA$3,0))</f>
        <v>0</v>
      </c>
      <c r="Z8" s="310" cm="1">
        <f t="array" ref="Z8">INDEX('생산수량Back-Data'!$B$5:$AAA$10041,
       MATCH($B7,'생산수량Back-Data'!$B$5:$B$10041,0)+3,
       MATCH(Z$3,'생산수량Back-Data'!$B$3:$AAA$3,0))</f>
        <v>0</v>
      </c>
      <c r="AA8" s="310" cm="1">
        <f t="array" ref="AA8">INDEX('생산수량Back-Data'!$B$5:$AAA$10041,
       MATCH($B7,'생산수량Back-Data'!$B$5:$B$10041,0)+3,
       MATCH(AA$3,'생산수량Back-Data'!$B$3:$AAA$3,0))</f>
        <v>0</v>
      </c>
      <c r="AB8" s="310" cm="1">
        <f t="array" ref="AB8">INDEX('생산수량Back-Data'!$B$5:$AAA$10041,
       MATCH($B7,'생산수량Back-Data'!$B$5:$B$10041,0)+3,
       MATCH(AB$3,'생산수량Back-Data'!$B$3:$AAA$3,0))</f>
        <v>0</v>
      </c>
      <c r="AC8" s="310" cm="1">
        <f t="array" ref="AC8">INDEX('생산수량Back-Data'!$B$5:$AAA$10041,
       MATCH($B7,'생산수량Back-Data'!$B$5:$B$10041,0)+3,
       MATCH(AC$3,'생산수량Back-Data'!$B$3:$AAA$3,0))</f>
        <v>0</v>
      </c>
      <c r="AD8" s="310" cm="1">
        <f t="array" ref="AD8">INDEX('생산수량Back-Data'!$B$5:$AAA$10041,
       MATCH($B7,'생산수량Back-Data'!$B$5:$B$10041,0)+3,
       MATCH(AD$3,'생산수량Back-Data'!$B$3:$AAA$3,0))</f>
        <v>0</v>
      </c>
      <c r="AE8" s="310" cm="1">
        <f t="array" ref="AE8">INDEX('생산수량Back-Data'!$B$5:$AAA$10041,
       MATCH($B7,'생산수량Back-Data'!$B$5:$B$10041,0)+3,
       MATCH(AE$3,'생산수량Back-Data'!$B$3:$AAA$3,0))</f>
        <v>0</v>
      </c>
      <c r="AF8" s="310" cm="1">
        <f t="array" ref="AF8">INDEX('생산수량Back-Data'!$B$5:$AAA$10041,
       MATCH($B7,'생산수량Back-Data'!$B$5:$B$10041,0)+3,
       MATCH(AF$3,'생산수량Back-Data'!$B$3:$AAA$3,0))</f>
        <v>0</v>
      </c>
      <c r="AG8" s="310" cm="1">
        <f t="array" ref="AG8">INDEX('생산수량Back-Data'!$B$5:$AAA$10041,
       MATCH($B7,'생산수량Back-Data'!$B$5:$B$10041,0)+3,
       MATCH(AG$3,'생산수량Back-Data'!$B$3:$AAA$3,0))</f>
        <v>0</v>
      </c>
      <c r="AH8" s="310" cm="1">
        <f t="array" ref="AH8">INDEX('생산수량Back-Data'!$B$5:$AAA$10041,
       MATCH($B7,'생산수량Back-Data'!$B$5:$B$10041,0)+3,
       MATCH(AH$3,'생산수량Back-Data'!$B$3:$AAA$3,0))</f>
        <v>0</v>
      </c>
      <c r="AI8" s="310" cm="1">
        <f t="array" ref="AI8">INDEX('생산수량Back-Data'!$B$5:$AAA$10041,
       MATCH($B7,'생산수량Back-Data'!$B$5:$B$10041,0)+3,
       MATCH(AI$3,'생산수량Back-Data'!$B$3:$AAA$3,0))</f>
        <v>0</v>
      </c>
      <c r="AJ8" s="310" cm="1">
        <f t="array" ref="AJ8">INDEX('생산수량Back-Data'!$B$5:$AAA$10041,
       MATCH($B7,'생산수량Back-Data'!$B$5:$B$10041,0)+3,
       MATCH(AJ$3,'생산수량Back-Data'!$B$3:$AAA$3,0))</f>
        <v>0</v>
      </c>
      <c r="AK8" s="310" cm="1">
        <f t="array" ref="AK8">INDEX('생산수량Back-Data'!$B$5:$AAA$10041,
       MATCH($B7,'생산수량Back-Data'!$B$5:$B$10041,0)+3,
       MATCH(AK$3,'생산수량Back-Data'!$B$3:$AAA$3,0))</f>
        <v>0</v>
      </c>
      <c r="AL8" s="310" cm="1">
        <f t="array" ref="AL8">INDEX('생산수량Back-Data'!$B$5:$AAA$10041,
       MATCH($B7,'생산수량Back-Data'!$B$5:$B$10041,0)+3,
       MATCH(AL$3,'생산수량Back-Data'!$B$3:$AAA$3,0))</f>
        <v>0</v>
      </c>
      <c r="AM8" s="310" cm="1">
        <f t="array" ref="AM8">INDEX('생산수량Back-Data'!$B$5:$AAA$10041,
       MATCH($B7,'생산수량Back-Data'!$B$5:$B$10041,0)+3,
       MATCH(AM$3,'생산수량Back-Data'!$B$3:$AAA$3,0))</f>
        <v>0</v>
      </c>
      <c r="AN8" s="310" cm="1">
        <f t="array" ref="AN8">INDEX('생산수량Back-Data'!$B$5:$AAA$10041,
       MATCH($B7,'생산수량Back-Data'!$B$5:$B$10041,0)+3,
       MATCH(AN$3,'생산수량Back-Data'!$B$3:$AAA$3,0))</f>
        <v>0</v>
      </c>
      <c r="AO8" s="310" cm="1">
        <f t="array" ref="AO8">INDEX('생산수량Back-Data'!$B$5:$AAA$10041,
       MATCH($B7,'생산수량Back-Data'!$B$5:$B$10041,0)+3,
       MATCH(AO$3,'생산수량Back-Data'!$B$3:$AAA$3,0))</f>
        <v>0</v>
      </c>
      <c r="AP8" s="310" cm="1">
        <f t="array" ref="AP8">INDEX('생산수량Back-Data'!$B$5:$AAA$10041,
       MATCH($B7,'생산수량Back-Data'!$B$5:$B$10041,0)+3,
       MATCH(AP$3,'생산수량Back-Data'!$B$3:$AAA$3,0))</f>
        <v>0</v>
      </c>
      <c r="AQ8" s="310" cm="1">
        <f t="array" ref="AQ8">INDEX('생산수량Back-Data'!$B$5:$AAA$10041,
       MATCH($B7,'생산수량Back-Data'!$B$5:$B$10041,0)+3,
       MATCH(AQ$3,'생산수량Back-Data'!$B$3:$AAA$3,0))</f>
        <v>0</v>
      </c>
      <c r="AR8" s="310" cm="1">
        <f t="array" ref="AR8">INDEX('생산수량Back-Data'!$B$5:$AAA$10041,
       MATCH($B7,'생산수량Back-Data'!$B$5:$B$10041,0)+3,
       MATCH(AR$3,'생산수량Back-Data'!$B$3:$AAA$3,0))</f>
        <v>0</v>
      </c>
      <c r="AS8" s="310" cm="1">
        <f t="array" ref="AS8">INDEX('생산수량Back-Data'!$B$5:$AAA$10041,
       MATCH($B7,'생산수량Back-Data'!$B$5:$B$10041,0)+3,
       MATCH(AS$3,'생산수량Back-Data'!$B$3:$AAA$3,0))</f>
        <v>0</v>
      </c>
      <c r="AT8" s="310" cm="1">
        <f t="array" ref="AT8">INDEX('생산수량Back-Data'!$B$5:$AAA$10041,
       MATCH($B7,'생산수량Back-Data'!$B$5:$B$10041,0)+3,
       MATCH(AT$3,'생산수량Back-Data'!$B$3:$AAA$3,0))</f>
        <v>0</v>
      </c>
      <c r="AU8" s="324" cm="1">
        <f t="array" ref="AU8">INDEX('생산수량Back-Data'!$B$5:$AAA$10041,
       MATCH($B7,'생산수량Back-Data'!$B$5:$B$10041,0)+3,
       MATCH(AU$3,'생산수량Back-Data'!$B$3:$AAA$3,0))</f>
        <v>0</v>
      </c>
    </row>
    <row r="9" spans="2:47" ht="32.1" customHeight="1" x14ac:dyDescent="0.3">
      <c r="B9" s="444" t="s">
        <v>37</v>
      </c>
      <c r="C9" s="444" t="s">
        <v>185</v>
      </c>
      <c r="D9" s="444" t="s">
        <v>187</v>
      </c>
      <c r="E9" s="438">
        <f>ABS(SUMIFS('Fixture 총 발주수량'!V:V,'Fixture 총 발주수량'!B:B,'클린룸 생산계획'!B9,'Fixture 총 발주수량'!V:V,"&lt;0"))</f>
        <v>843</v>
      </c>
      <c r="F9" s="437">
        <f>G9-E9</f>
        <v>-843</v>
      </c>
      <c r="G9" s="437">
        <f>SUMIF(Q9:AU9, "&gt;0")</f>
        <v>0</v>
      </c>
      <c r="H9" s="437">
        <f>SUMIF(Q10:AU10, "&gt;0")</f>
        <v>0</v>
      </c>
      <c r="I9" s="442">
        <f>IFERROR(H9/G9,)</f>
        <v>0</v>
      </c>
      <c r="J9" s="437">
        <f ca="1">IFERROR(SUMIF('Fixture 총 발주수량'!B:AG,'클린룸 생산계획'!B9,'Fixture 총 발주수량'!Y:Y),)</f>
        <v>0</v>
      </c>
      <c r="K9" s="437">
        <f ca="1">IFERROR(SUMIF('Fixture 총 발주수량'!B:AG,'클린룸 생산계획'!B9,'Fixture 총 발주수량'!W:W),)</f>
        <v>0</v>
      </c>
      <c r="L9" s="438">
        <f>ROUNDUP(E9/2000,)</f>
        <v>1</v>
      </c>
      <c r="M9" s="438">
        <f>M7+L9</f>
        <v>4</v>
      </c>
      <c r="N9" s="438">
        <f>M9+L9</f>
        <v>5</v>
      </c>
      <c r="O9" s="438">
        <f>O7+L9</f>
        <v>4</v>
      </c>
      <c r="P9" s="306" t="s">
        <v>264</v>
      </c>
      <c r="Q9" s="325"/>
      <c r="R9" s="312"/>
      <c r="S9" s="312"/>
      <c r="T9" s="312"/>
      <c r="U9" s="312"/>
      <c r="V9" s="312"/>
      <c r="W9" s="312"/>
      <c r="X9" s="312"/>
      <c r="Y9" s="312"/>
      <c r="Z9" s="312"/>
      <c r="AA9" s="312"/>
      <c r="AB9" s="312"/>
      <c r="AC9" s="312"/>
      <c r="AD9" s="312"/>
      <c r="AE9" s="312"/>
      <c r="AF9" s="312"/>
      <c r="AG9" s="312"/>
      <c r="AH9" s="312"/>
      <c r="AI9" s="312"/>
      <c r="AJ9" s="312"/>
      <c r="AK9" s="312"/>
      <c r="AL9" s="312"/>
      <c r="AM9" s="312"/>
      <c r="AN9" s="312"/>
      <c r="AO9" s="312"/>
      <c r="AP9" s="312"/>
      <c r="AQ9" s="312"/>
      <c r="AR9" s="312"/>
      <c r="AS9" s="312"/>
      <c r="AT9" s="312"/>
      <c r="AU9" s="313"/>
    </row>
    <row r="10" spans="2:47" ht="32.1" customHeight="1" x14ac:dyDescent="0.3">
      <c r="B10" s="445"/>
      <c r="C10" s="445"/>
      <c r="D10" s="445"/>
      <c r="E10" s="439"/>
      <c r="F10" s="436"/>
      <c r="G10" s="436"/>
      <c r="H10" s="436"/>
      <c r="I10" s="443"/>
      <c r="J10" s="436"/>
      <c r="K10" s="436"/>
      <c r="L10" s="439"/>
      <c r="M10" s="439"/>
      <c r="N10" s="439"/>
      <c r="O10" s="439"/>
      <c r="P10" s="306" t="s">
        <v>266</v>
      </c>
      <c r="Q10" s="323" cm="1">
        <f t="array" ref="Q10">INDEX('생산수량Back-Data'!$B$5:$AAA$10041,
       MATCH($B9,'생산수량Back-Data'!$B$5:$B$10041,0)+3,
       MATCH(Q$3,'생산수량Back-Data'!$B$3:$AAA$3,0))</f>
        <v>0</v>
      </c>
      <c r="R10" s="310" cm="1">
        <f t="array" ref="R10">INDEX('생산수량Back-Data'!$B$5:$AAA$10041,
       MATCH($B9,'생산수량Back-Data'!$B$5:$B$10041,0)+3,
       MATCH(R$3,'생산수량Back-Data'!$B$3:$AAA$3,0))</f>
        <v>0</v>
      </c>
      <c r="S10" s="310" cm="1">
        <f t="array" ref="S10">INDEX('생산수량Back-Data'!$B$5:$AAA$10041,
       MATCH($B9,'생산수량Back-Data'!$B$5:$B$10041,0)+3,
       MATCH(S$3,'생산수량Back-Data'!$B$3:$AAA$3,0))</f>
        <v>0</v>
      </c>
      <c r="T10" s="310" cm="1">
        <f t="array" ref="T10">INDEX('생산수량Back-Data'!$B$5:$AAA$10041,
       MATCH($B9,'생산수량Back-Data'!$B$5:$B$10041,0)+3,
       MATCH(T$3,'생산수량Back-Data'!$B$3:$AAA$3,0))</f>
        <v>0</v>
      </c>
      <c r="U10" s="310" cm="1">
        <f t="array" ref="U10">INDEX('생산수량Back-Data'!$B$5:$AAA$10041,
       MATCH($B9,'생산수량Back-Data'!$B$5:$B$10041,0)+3,
       MATCH(U$3,'생산수량Back-Data'!$B$3:$AAA$3,0))</f>
        <v>0</v>
      </c>
      <c r="V10" s="310" cm="1">
        <f t="array" ref="V10">INDEX('생산수량Back-Data'!$B$5:$AAA$10041,
       MATCH($B9,'생산수량Back-Data'!$B$5:$B$10041,0)+3,
       MATCH(V$3,'생산수량Back-Data'!$B$3:$AAA$3,0))</f>
        <v>0</v>
      </c>
      <c r="W10" s="310" cm="1">
        <f t="array" ref="W10">INDEX('생산수량Back-Data'!$B$5:$AAA$10041,
       MATCH($B9,'생산수량Back-Data'!$B$5:$B$10041,0)+3,
       MATCH(W$3,'생산수량Back-Data'!$B$3:$AAA$3,0))</f>
        <v>0</v>
      </c>
      <c r="X10" s="310" cm="1">
        <f t="array" ref="X10">INDEX('생산수량Back-Data'!$B$5:$AAA$10041,
       MATCH($B9,'생산수량Back-Data'!$B$5:$B$10041,0)+3,
       MATCH(X$3,'생산수량Back-Data'!$B$3:$AAA$3,0))</f>
        <v>0</v>
      </c>
      <c r="Y10" s="310" cm="1">
        <f t="array" ref="Y10">INDEX('생산수량Back-Data'!$B$5:$AAA$10041,
       MATCH($B9,'생산수량Back-Data'!$B$5:$B$10041,0)+3,
       MATCH(Y$3,'생산수량Back-Data'!$B$3:$AAA$3,0))</f>
        <v>0</v>
      </c>
      <c r="Z10" s="310" cm="1">
        <f t="array" ref="Z10">INDEX('생산수량Back-Data'!$B$5:$AAA$10041,
       MATCH($B9,'생산수량Back-Data'!$B$5:$B$10041,0)+3,
       MATCH(Z$3,'생산수량Back-Data'!$B$3:$AAA$3,0))</f>
        <v>0</v>
      </c>
      <c r="AA10" s="310" cm="1">
        <f t="array" ref="AA10">INDEX('생산수량Back-Data'!$B$5:$AAA$10041,
       MATCH($B9,'생산수량Back-Data'!$B$5:$B$10041,0)+3,
       MATCH(AA$3,'생산수량Back-Data'!$B$3:$AAA$3,0))</f>
        <v>0</v>
      </c>
      <c r="AB10" s="310" cm="1">
        <f t="array" ref="AB10">INDEX('생산수량Back-Data'!$B$5:$AAA$10041,
       MATCH($B9,'생산수량Back-Data'!$B$5:$B$10041,0)+3,
       MATCH(AB$3,'생산수량Back-Data'!$B$3:$AAA$3,0))</f>
        <v>0</v>
      </c>
      <c r="AC10" s="310" cm="1">
        <f t="array" ref="AC10">INDEX('생산수량Back-Data'!$B$5:$AAA$10041,
       MATCH($B9,'생산수량Back-Data'!$B$5:$B$10041,0)+3,
       MATCH(AC$3,'생산수량Back-Data'!$B$3:$AAA$3,0))</f>
        <v>0</v>
      </c>
      <c r="AD10" s="310" cm="1">
        <f t="array" ref="AD10">INDEX('생산수량Back-Data'!$B$5:$AAA$10041,
       MATCH($B9,'생산수량Back-Data'!$B$5:$B$10041,0)+3,
       MATCH(AD$3,'생산수량Back-Data'!$B$3:$AAA$3,0))</f>
        <v>0</v>
      </c>
      <c r="AE10" s="310" cm="1">
        <f t="array" ref="AE10">INDEX('생산수량Back-Data'!$B$5:$AAA$10041,
       MATCH($B9,'생산수량Back-Data'!$B$5:$B$10041,0)+3,
       MATCH(AE$3,'생산수량Back-Data'!$B$3:$AAA$3,0))</f>
        <v>0</v>
      </c>
      <c r="AF10" s="310" cm="1">
        <f t="array" ref="AF10">INDEX('생산수량Back-Data'!$B$5:$AAA$10041,
       MATCH($B9,'생산수량Back-Data'!$B$5:$B$10041,0)+3,
       MATCH(AF$3,'생산수량Back-Data'!$B$3:$AAA$3,0))</f>
        <v>0</v>
      </c>
      <c r="AG10" s="310" cm="1">
        <f t="array" ref="AG10">INDEX('생산수량Back-Data'!$B$5:$AAA$10041,
       MATCH($B9,'생산수량Back-Data'!$B$5:$B$10041,0)+3,
       MATCH(AG$3,'생산수량Back-Data'!$B$3:$AAA$3,0))</f>
        <v>0</v>
      </c>
      <c r="AH10" s="310" cm="1">
        <f t="array" ref="AH10">INDEX('생산수량Back-Data'!$B$5:$AAA$10041,
       MATCH($B9,'생산수량Back-Data'!$B$5:$B$10041,0)+3,
       MATCH(AH$3,'생산수량Back-Data'!$B$3:$AAA$3,0))</f>
        <v>0</v>
      </c>
      <c r="AI10" s="310" cm="1">
        <f t="array" ref="AI10">INDEX('생산수량Back-Data'!$B$5:$AAA$10041,
       MATCH($B9,'생산수량Back-Data'!$B$5:$B$10041,0)+3,
       MATCH(AI$3,'생산수량Back-Data'!$B$3:$AAA$3,0))</f>
        <v>0</v>
      </c>
      <c r="AJ10" s="310" cm="1">
        <f t="array" ref="AJ10">INDEX('생산수량Back-Data'!$B$5:$AAA$10041,
       MATCH($B9,'생산수량Back-Data'!$B$5:$B$10041,0)+3,
       MATCH(AJ$3,'생산수량Back-Data'!$B$3:$AAA$3,0))</f>
        <v>0</v>
      </c>
      <c r="AK10" s="310" cm="1">
        <f t="array" ref="AK10">INDEX('생산수량Back-Data'!$B$5:$AAA$10041,
       MATCH($B9,'생산수량Back-Data'!$B$5:$B$10041,0)+3,
       MATCH(AK$3,'생산수량Back-Data'!$B$3:$AAA$3,0))</f>
        <v>0</v>
      </c>
      <c r="AL10" s="310" cm="1">
        <f t="array" ref="AL10">INDEX('생산수량Back-Data'!$B$5:$AAA$10041,
       MATCH($B9,'생산수량Back-Data'!$B$5:$B$10041,0)+3,
       MATCH(AL$3,'생산수량Back-Data'!$B$3:$AAA$3,0))</f>
        <v>0</v>
      </c>
      <c r="AM10" s="310" cm="1">
        <f t="array" ref="AM10">INDEX('생산수량Back-Data'!$B$5:$AAA$10041,
       MATCH($B9,'생산수량Back-Data'!$B$5:$B$10041,0)+3,
       MATCH(AM$3,'생산수량Back-Data'!$B$3:$AAA$3,0))</f>
        <v>0</v>
      </c>
      <c r="AN10" s="310" cm="1">
        <f t="array" ref="AN10">INDEX('생산수량Back-Data'!$B$5:$AAA$10041,
       MATCH($B9,'생산수량Back-Data'!$B$5:$B$10041,0)+3,
       MATCH(AN$3,'생산수량Back-Data'!$B$3:$AAA$3,0))</f>
        <v>0</v>
      </c>
      <c r="AO10" s="310" cm="1">
        <f t="array" ref="AO10">INDEX('생산수량Back-Data'!$B$5:$AAA$10041,
       MATCH($B9,'생산수량Back-Data'!$B$5:$B$10041,0)+3,
       MATCH(AO$3,'생산수량Back-Data'!$B$3:$AAA$3,0))</f>
        <v>0</v>
      </c>
      <c r="AP10" s="310" cm="1">
        <f t="array" ref="AP10">INDEX('생산수량Back-Data'!$B$5:$AAA$10041,
       MATCH($B9,'생산수량Back-Data'!$B$5:$B$10041,0)+3,
       MATCH(AP$3,'생산수량Back-Data'!$B$3:$AAA$3,0))</f>
        <v>0</v>
      </c>
      <c r="AQ10" s="310" cm="1">
        <f t="array" ref="AQ10">INDEX('생산수량Back-Data'!$B$5:$AAA$10041,
       MATCH($B9,'생산수량Back-Data'!$B$5:$B$10041,0)+3,
       MATCH(AQ$3,'생산수량Back-Data'!$B$3:$AAA$3,0))</f>
        <v>0</v>
      </c>
      <c r="AR10" s="310" cm="1">
        <f t="array" ref="AR10">INDEX('생산수량Back-Data'!$B$5:$AAA$10041,
       MATCH($B9,'생산수량Back-Data'!$B$5:$B$10041,0)+3,
       MATCH(AR$3,'생산수량Back-Data'!$B$3:$AAA$3,0))</f>
        <v>0</v>
      </c>
      <c r="AS10" s="310" cm="1">
        <f t="array" ref="AS10">INDEX('생산수량Back-Data'!$B$5:$AAA$10041,
       MATCH($B9,'생산수량Back-Data'!$B$5:$B$10041,0)+3,
       MATCH(AS$3,'생산수량Back-Data'!$B$3:$AAA$3,0))</f>
        <v>0</v>
      </c>
      <c r="AT10" s="310" cm="1">
        <f t="array" ref="AT10">INDEX('생산수량Back-Data'!$B$5:$AAA$10041,
       MATCH($B9,'생산수량Back-Data'!$B$5:$B$10041,0)+3,
       MATCH(AT$3,'생산수량Back-Data'!$B$3:$AAA$3,0))</f>
        <v>0</v>
      </c>
      <c r="AU10" s="324" cm="1">
        <f t="array" ref="AU10">INDEX('생산수량Back-Data'!$B$5:$AAA$10041,
       MATCH($B9,'생산수량Back-Data'!$B$5:$B$10041,0)+3,
       MATCH(AU$3,'생산수량Back-Data'!$B$3:$AAA$3,0))</f>
        <v>0</v>
      </c>
    </row>
    <row r="11" spans="2:47" ht="32.1" customHeight="1" x14ac:dyDescent="0.3">
      <c r="B11" s="444" t="s">
        <v>39</v>
      </c>
      <c r="C11" s="444" t="s">
        <v>185</v>
      </c>
      <c r="D11" s="444" t="s">
        <v>188</v>
      </c>
      <c r="E11" s="438">
        <f>ABS(SUMIFS('Fixture 총 발주수량'!V:V,'Fixture 총 발주수량'!B:B,'클린룸 생산계획'!B11,'Fixture 총 발주수량'!V:V,"&lt;0"))</f>
        <v>451</v>
      </c>
      <c r="F11" s="437">
        <f>G11-E11</f>
        <v>-451</v>
      </c>
      <c r="G11" s="437">
        <f>SUMIF(Q11:AU11, "&gt;0")</f>
        <v>0</v>
      </c>
      <c r="H11" s="437">
        <f>SUMIF(Q12:AU12, "&gt;0")</f>
        <v>0</v>
      </c>
      <c r="I11" s="442">
        <f>IFERROR(H11/G11,)</f>
        <v>0</v>
      </c>
      <c r="J11" s="437">
        <f ca="1">IFERROR(SUMIF('Fixture 총 발주수량'!B:AG,'클린룸 생산계획'!B11,'Fixture 총 발주수량'!Y:Y),)</f>
        <v>0</v>
      </c>
      <c r="K11" s="437">
        <f ca="1">IFERROR(SUMIF('Fixture 총 발주수량'!B:AG,'클린룸 생산계획'!B11,'Fixture 총 발주수량'!W:W),)</f>
        <v>0</v>
      </c>
      <c r="L11" s="438">
        <f>ROUNDUP(E11/2000,)</f>
        <v>1</v>
      </c>
      <c r="M11" s="438">
        <f>M9+L11</f>
        <v>5</v>
      </c>
      <c r="N11" s="438">
        <f>M11+L11</f>
        <v>6</v>
      </c>
      <c r="O11" s="438">
        <f>O9+L11</f>
        <v>5</v>
      </c>
      <c r="P11" s="306" t="s">
        <v>264</v>
      </c>
      <c r="Q11" s="325"/>
      <c r="R11" s="312"/>
      <c r="S11" s="312"/>
      <c r="T11" s="312"/>
      <c r="U11" s="312"/>
      <c r="V11" s="312"/>
      <c r="W11" s="312"/>
      <c r="X11" s="312"/>
      <c r="Y11" s="312"/>
      <c r="Z11" s="312"/>
      <c r="AA11" s="312"/>
      <c r="AB11" s="312"/>
      <c r="AC11" s="312"/>
      <c r="AD11" s="312"/>
      <c r="AE11" s="312"/>
      <c r="AF11" s="312"/>
      <c r="AG11" s="312"/>
      <c r="AH11" s="312"/>
      <c r="AI11" s="312"/>
      <c r="AJ11" s="312"/>
      <c r="AK11" s="312"/>
      <c r="AL11" s="312"/>
      <c r="AM11" s="312"/>
      <c r="AN11" s="312"/>
      <c r="AO11" s="312"/>
      <c r="AP11" s="312"/>
      <c r="AQ11" s="312"/>
      <c r="AR11" s="312"/>
      <c r="AS11" s="312"/>
      <c r="AT11" s="312"/>
      <c r="AU11" s="313"/>
    </row>
    <row r="12" spans="2:47" ht="32.1" customHeight="1" thickBot="1" x14ac:dyDescent="0.35">
      <c r="B12" s="454"/>
      <c r="C12" s="454"/>
      <c r="D12" s="454"/>
      <c r="E12" s="450"/>
      <c r="F12" s="452"/>
      <c r="G12" s="452"/>
      <c r="H12" s="452"/>
      <c r="I12" s="453"/>
      <c r="J12" s="452"/>
      <c r="K12" s="452"/>
      <c r="L12" s="450"/>
      <c r="M12" s="450"/>
      <c r="N12" s="450"/>
      <c r="O12" s="450"/>
      <c r="P12" s="305" t="s">
        <v>266</v>
      </c>
      <c r="Q12" s="323" cm="1">
        <f t="array" ref="Q12">INDEX('생산수량Back-Data'!$B$5:$AAA$10041,
       MATCH($B11,'생산수량Back-Data'!$B$5:$B$10041,0)+3,
       MATCH(Q$3,'생산수량Back-Data'!$B$3:$AAA$3,0))</f>
        <v>0</v>
      </c>
      <c r="R12" s="310" cm="1">
        <f t="array" ref="R12">INDEX('생산수량Back-Data'!$B$5:$AAA$10041,
       MATCH($B11,'생산수량Back-Data'!$B$5:$B$10041,0)+3,
       MATCH(R$3,'생산수량Back-Data'!$B$3:$AAA$3,0))</f>
        <v>0</v>
      </c>
      <c r="S12" s="310" cm="1">
        <f t="array" ref="S12">INDEX('생산수량Back-Data'!$B$5:$AAA$10041,
       MATCH($B11,'생산수량Back-Data'!$B$5:$B$10041,0)+3,
       MATCH(S$3,'생산수량Back-Data'!$B$3:$AAA$3,0))</f>
        <v>0</v>
      </c>
      <c r="T12" s="310" cm="1">
        <f t="array" ref="T12">INDEX('생산수량Back-Data'!$B$5:$AAA$10041,
       MATCH($B11,'생산수량Back-Data'!$B$5:$B$10041,0)+3,
       MATCH(T$3,'생산수량Back-Data'!$B$3:$AAA$3,0))</f>
        <v>0</v>
      </c>
      <c r="U12" s="310" cm="1">
        <f t="array" ref="U12">INDEX('생산수량Back-Data'!$B$5:$AAA$10041,
       MATCH($B11,'생산수량Back-Data'!$B$5:$B$10041,0)+3,
       MATCH(U$3,'생산수량Back-Data'!$B$3:$AAA$3,0))</f>
        <v>0</v>
      </c>
      <c r="V12" s="310" cm="1">
        <f t="array" ref="V12">INDEX('생산수량Back-Data'!$B$5:$AAA$10041,
       MATCH($B11,'생산수량Back-Data'!$B$5:$B$10041,0)+3,
       MATCH(V$3,'생산수량Back-Data'!$B$3:$AAA$3,0))</f>
        <v>0</v>
      </c>
      <c r="W12" s="310" cm="1">
        <f t="array" ref="W12">INDEX('생산수량Back-Data'!$B$5:$AAA$10041,
       MATCH($B11,'생산수량Back-Data'!$B$5:$B$10041,0)+3,
       MATCH(W$3,'생산수량Back-Data'!$B$3:$AAA$3,0))</f>
        <v>0</v>
      </c>
      <c r="X12" s="310" cm="1">
        <f t="array" ref="X12">INDEX('생산수량Back-Data'!$B$5:$AAA$10041,
       MATCH($B11,'생산수량Back-Data'!$B$5:$B$10041,0)+3,
       MATCH(X$3,'생산수량Back-Data'!$B$3:$AAA$3,0))</f>
        <v>0</v>
      </c>
      <c r="Y12" s="310" cm="1">
        <f t="array" ref="Y12">INDEX('생산수량Back-Data'!$B$5:$AAA$10041,
       MATCH($B11,'생산수량Back-Data'!$B$5:$B$10041,0)+3,
       MATCH(Y$3,'생산수량Back-Data'!$B$3:$AAA$3,0))</f>
        <v>0</v>
      </c>
      <c r="Z12" s="310" cm="1">
        <f t="array" ref="Z12">INDEX('생산수량Back-Data'!$B$5:$AAA$10041,
       MATCH($B11,'생산수량Back-Data'!$B$5:$B$10041,0)+3,
       MATCH(Z$3,'생산수량Back-Data'!$B$3:$AAA$3,0))</f>
        <v>0</v>
      </c>
      <c r="AA12" s="310" cm="1">
        <f t="array" ref="AA12">INDEX('생산수량Back-Data'!$B$5:$AAA$10041,
       MATCH($B11,'생산수량Back-Data'!$B$5:$B$10041,0)+3,
       MATCH(AA$3,'생산수량Back-Data'!$B$3:$AAA$3,0))</f>
        <v>0</v>
      </c>
      <c r="AB12" s="310" cm="1">
        <f t="array" ref="AB12">INDEX('생산수량Back-Data'!$B$5:$AAA$10041,
       MATCH($B11,'생산수량Back-Data'!$B$5:$B$10041,0)+3,
       MATCH(AB$3,'생산수량Back-Data'!$B$3:$AAA$3,0))</f>
        <v>0</v>
      </c>
      <c r="AC12" s="310" cm="1">
        <f t="array" ref="AC12">INDEX('생산수량Back-Data'!$B$5:$AAA$10041,
       MATCH($B11,'생산수량Back-Data'!$B$5:$B$10041,0)+3,
       MATCH(AC$3,'생산수량Back-Data'!$B$3:$AAA$3,0))</f>
        <v>0</v>
      </c>
      <c r="AD12" s="310" cm="1">
        <f t="array" ref="AD12">INDEX('생산수량Back-Data'!$B$5:$AAA$10041,
       MATCH($B11,'생산수량Back-Data'!$B$5:$B$10041,0)+3,
       MATCH(AD$3,'생산수량Back-Data'!$B$3:$AAA$3,0))</f>
        <v>0</v>
      </c>
      <c r="AE12" s="310" cm="1">
        <f t="array" ref="AE12">INDEX('생산수량Back-Data'!$B$5:$AAA$10041,
       MATCH($B11,'생산수량Back-Data'!$B$5:$B$10041,0)+3,
       MATCH(AE$3,'생산수량Back-Data'!$B$3:$AAA$3,0))</f>
        <v>0</v>
      </c>
      <c r="AF12" s="310" cm="1">
        <f t="array" ref="AF12">INDEX('생산수량Back-Data'!$B$5:$AAA$10041,
       MATCH($B11,'생산수량Back-Data'!$B$5:$B$10041,0)+3,
       MATCH(AF$3,'생산수량Back-Data'!$B$3:$AAA$3,0))</f>
        <v>0</v>
      </c>
      <c r="AG12" s="310" cm="1">
        <f t="array" ref="AG12">INDEX('생산수량Back-Data'!$B$5:$AAA$10041,
       MATCH($B11,'생산수량Back-Data'!$B$5:$B$10041,0)+3,
       MATCH(AG$3,'생산수량Back-Data'!$B$3:$AAA$3,0))</f>
        <v>0</v>
      </c>
      <c r="AH12" s="310" cm="1">
        <f t="array" ref="AH12">INDEX('생산수량Back-Data'!$B$5:$AAA$10041,
       MATCH($B11,'생산수량Back-Data'!$B$5:$B$10041,0)+3,
       MATCH(AH$3,'생산수량Back-Data'!$B$3:$AAA$3,0))</f>
        <v>0</v>
      </c>
      <c r="AI12" s="310" cm="1">
        <f t="array" ref="AI12">INDEX('생산수량Back-Data'!$B$5:$AAA$10041,
       MATCH($B11,'생산수량Back-Data'!$B$5:$B$10041,0)+3,
       MATCH(AI$3,'생산수량Back-Data'!$B$3:$AAA$3,0))</f>
        <v>0</v>
      </c>
      <c r="AJ12" s="310" cm="1">
        <f t="array" ref="AJ12">INDEX('생산수량Back-Data'!$B$5:$AAA$10041,
       MATCH($B11,'생산수량Back-Data'!$B$5:$B$10041,0)+3,
       MATCH(AJ$3,'생산수량Back-Data'!$B$3:$AAA$3,0))</f>
        <v>0</v>
      </c>
      <c r="AK12" s="310" cm="1">
        <f t="array" ref="AK12">INDEX('생산수량Back-Data'!$B$5:$AAA$10041,
       MATCH($B11,'생산수량Back-Data'!$B$5:$B$10041,0)+3,
       MATCH(AK$3,'생산수량Back-Data'!$B$3:$AAA$3,0))</f>
        <v>0</v>
      </c>
      <c r="AL12" s="310" cm="1">
        <f t="array" ref="AL12">INDEX('생산수량Back-Data'!$B$5:$AAA$10041,
       MATCH($B11,'생산수량Back-Data'!$B$5:$B$10041,0)+3,
       MATCH(AL$3,'생산수량Back-Data'!$B$3:$AAA$3,0))</f>
        <v>0</v>
      </c>
      <c r="AM12" s="310" cm="1">
        <f t="array" ref="AM12">INDEX('생산수량Back-Data'!$B$5:$AAA$10041,
       MATCH($B11,'생산수량Back-Data'!$B$5:$B$10041,0)+3,
       MATCH(AM$3,'생산수량Back-Data'!$B$3:$AAA$3,0))</f>
        <v>0</v>
      </c>
      <c r="AN12" s="310" cm="1">
        <f t="array" ref="AN12">INDEX('생산수량Back-Data'!$B$5:$AAA$10041,
       MATCH($B11,'생산수량Back-Data'!$B$5:$B$10041,0)+3,
       MATCH(AN$3,'생산수량Back-Data'!$B$3:$AAA$3,0))</f>
        <v>0</v>
      </c>
      <c r="AO12" s="310" cm="1">
        <f t="array" ref="AO12">INDEX('생산수량Back-Data'!$B$5:$AAA$10041,
       MATCH($B11,'생산수량Back-Data'!$B$5:$B$10041,0)+3,
       MATCH(AO$3,'생산수량Back-Data'!$B$3:$AAA$3,0))</f>
        <v>0</v>
      </c>
      <c r="AP12" s="310" cm="1">
        <f t="array" ref="AP12">INDEX('생산수량Back-Data'!$B$5:$AAA$10041,
       MATCH($B11,'생산수량Back-Data'!$B$5:$B$10041,0)+3,
       MATCH(AP$3,'생산수량Back-Data'!$B$3:$AAA$3,0))</f>
        <v>0</v>
      </c>
      <c r="AQ12" s="310" cm="1">
        <f t="array" ref="AQ12">INDEX('생산수량Back-Data'!$B$5:$AAA$10041,
       MATCH($B11,'생산수량Back-Data'!$B$5:$B$10041,0)+3,
       MATCH(AQ$3,'생산수량Back-Data'!$B$3:$AAA$3,0))</f>
        <v>0</v>
      </c>
      <c r="AR12" s="310" cm="1">
        <f t="array" ref="AR12">INDEX('생산수량Back-Data'!$B$5:$AAA$10041,
       MATCH($B11,'생산수량Back-Data'!$B$5:$B$10041,0)+3,
       MATCH(AR$3,'생산수량Back-Data'!$B$3:$AAA$3,0))</f>
        <v>0</v>
      </c>
      <c r="AS12" s="310" cm="1">
        <f t="array" ref="AS12">INDEX('생산수량Back-Data'!$B$5:$AAA$10041,
       MATCH($B11,'생산수량Back-Data'!$B$5:$B$10041,0)+3,
       MATCH(AS$3,'생산수량Back-Data'!$B$3:$AAA$3,0))</f>
        <v>0</v>
      </c>
      <c r="AT12" s="310" cm="1">
        <f t="array" ref="AT12">INDEX('생산수량Back-Data'!$B$5:$AAA$10041,
       MATCH($B11,'생산수량Back-Data'!$B$5:$B$10041,0)+3,
       MATCH(AT$3,'생산수량Back-Data'!$B$3:$AAA$3,0))</f>
        <v>0</v>
      </c>
      <c r="AU12" s="324" cm="1">
        <f t="array" ref="AU12">INDEX('생산수량Back-Data'!$B$5:$AAA$10041,
       MATCH($B11,'생산수량Back-Data'!$B$5:$B$10041,0)+3,
       MATCH(AU$3,'생산수량Back-Data'!$B$3:$AAA$3,0))</f>
        <v>0</v>
      </c>
    </row>
    <row r="13" spans="2:47" ht="32.1" customHeight="1" x14ac:dyDescent="0.3">
      <c r="B13" s="449" t="s">
        <v>44</v>
      </c>
      <c r="C13" s="449" t="s">
        <v>185</v>
      </c>
      <c r="D13" s="449" t="s">
        <v>189</v>
      </c>
      <c r="E13" s="446">
        <f>ABS(SUMIFS('Fixture 총 발주수량'!V:V,'Fixture 총 발주수량'!B:B,'클린룸 생산계획'!B13,'Fixture 총 발주수량'!V:V,"&lt;0"))</f>
        <v>1938</v>
      </c>
      <c r="F13" s="435">
        <f>G13-E13</f>
        <v>-1938</v>
      </c>
      <c r="G13" s="435">
        <f>SUMIF(Q13:AU13, "&gt;0")</f>
        <v>0</v>
      </c>
      <c r="H13" s="435">
        <f>SUMIF(Q14:AU14, "&gt;0")</f>
        <v>0</v>
      </c>
      <c r="I13" s="448">
        <f>IFERROR(H13/G13,)</f>
        <v>0</v>
      </c>
      <c r="J13" s="435">
        <f ca="1">IFERROR(SUMIF('Fixture 총 발주수량'!B:AG,'클린룸 생산계획'!B13,'Fixture 총 발주수량'!Y:Y),)</f>
        <v>721</v>
      </c>
      <c r="K13" s="435">
        <f ca="1">IFERROR(SUMIF('Fixture 총 발주수량'!B:AG,'클린룸 생산계획'!B13,'Fixture 총 발주수량'!W:W),)</f>
        <v>192</v>
      </c>
      <c r="L13" s="446">
        <f>ROUNDUP(E13/2000,)</f>
        <v>1</v>
      </c>
      <c r="M13" s="446">
        <f>M11+L13</f>
        <v>6</v>
      </c>
      <c r="N13" s="446">
        <f>M13+L13</f>
        <v>7</v>
      </c>
      <c r="O13" s="446">
        <f>O11+L13</f>
        <v>6</v>
      </c>
      <c r="P13" s="336" t="s">
        <v>264</v>
      </c>
      <c r="Q13" s="419"/>
      <c r="R13" s="417"/>
      <c r="S13" s="417"/>
      <c r="T13" s="417"/>
      <c r="U13" s="417"/>
      <c r="V13" s="417"/>
      <c r="W13" s="417"/>
      <c r="X13" s="417"/>
      <c r="Y13" s="417"/>
      <c r="Z13" s="417"/>
      <c r="AA13" s="417"/>
      <c r="AB13" s="417"/>
      <c r="AC13" s="417"/>
      <c r="AD13" s="417"/>
      <c r="AE13" s="417"/>
      <c r="AF13" s="417"/>
      <c r="AG13" s="417"/>
      <c r="AH13" s="417"/>
      <c r="AI13" s="417"/>
      <c r="AJ13" s="417"/>
      <c r="AK13" s="417"/>
      <c r="AL13" s="417"/>
      <c r="AM13" s="417"/>
      <c r="AN13" s="417"/>
      <c r="AO13" s="417"/>
      <c r="AP13" s="417"/>
      <c r="AQ13" s="417"/>
      <c r="AR13" s="417"/>
      <c r="AS13" s="417"/>
      <c r="AT13" s="417"/>
      <c r="AU13" s="313"/>
    </row>
    <row r="14" spans="2:47" ht="32.1" customHeight="1" x14ac:dyDescent="0.3">
      <c r="B14" s="445"/>
      <c r="C14" s="445"/>
      <c r="D14" s="445"/>
      <c r="E14" s="439"/>
      <c r="F14" s="436"/>
      <c r="G14" s="436"/>
      <c r="H14" s="436"/>
      <c r="I14" s="443"/>
      <c r="J14" s="436"/>
      <c r="K14" s="436"/>
      <c r="L14" s="439"/>
      <c r="M14" s="439"/>
      <c r="N14" s="439"/>
      <c r="O14" s="439"/>
      <c r="P14" s="306" t="s">
        <v>266</v>
      </c>
      <c r="Q14" s="327" cm="1">
        <f t="array" ref="Q14">INDEX('생산수량Back-Data'!$B$5:$AAA$10041,
       MATCH($B13,'생산수량Back-Data'!$B$5:$B$10041,0)+3,
       MATCH(Q$3,'생산수량Back-Data'!$B$3:$AAA$3,0))</f>
        <v>0</v>
      </c>
      <c r="R14" s="328" cm="1">
        <f t="array" ref="R14">INDEX('생산수량Back-Data'!$B$5:$AAA$10041,
       MATCH($B13,'생산수량Back-Data'!$B$5:$B$10041,0)+3,
       MATCH(R$3,'생산수량Back-Data'!$B$3:$AAA$3,0))</f>
        <v>0</v>
      </c>
      <c r="S14" s="328" cm="1">
        <f t="array" ref="S14">INDEX('생산수량Back-Data'!$B$5:$AAA$10041,
       MATCH($B13,'생산수량Back-Data'!$B$5:$B$10041,0)+3,
       MATCH(S$3,'생산수량Back-Data'!$B$3:$AAA$3,0))</f>
        <v>0</v>
      </c>
      <c r="T14" s="328" cm="1">
        <f t="array" ref="T14">INDEX('생산수량Back-Data'!$B$5:$AAA$10041,
       MATCH($B13,'생산수량Back-Data'!$B$5:$B$10041,0)+3,
       MATCH(T$3,'생산수량Back-Data'!$B$3:$AAA$3,0))</f>
        <v>0</v>
      </c>
      <c r="U14" s="328" cm="1">
        <f t="array" ref="U14">INDEX('생산수량Back-Data'!$B$5:$AAA$10041,
       MATCH($B13,'생산수량Back-Data'!$B$5:$B$10041,0)+3,
       MATCH(U$3,'생산수량Back-Data'!$B$3:$AAA$3,0))</f>
        <v>0</v>
      </c>
      <c r="V14" s="328" cm="1">
        <f t="array" ref="V14">INDEX('생산수량Back-Data'!$B$5:$AAA$10041,
       MATCH($B13,'생산수량Back-Data'!$B$5:$B$10041,0)+3,
       MATCH(V$3,'생산수량Back-Data'!$B$3:$AAA$3,0))</f>
        <v>0</v>
      </c>
      <c r="W14" s="328" cm="1">
        <f t="array" ref="W14">INDEX('생산수량Back-Data'!$B$5:$AAA$10041,
       MATCH($B13,'생산수량Back-Data'!$B$5:$B$10041,0)+3,
       MATCH(W$3,'생산수량Back-Data'!$B$3:$AAA$3,0))</f>
        <v>0</v>
      </c>
      <c r="X14" s="328" cm="1">
        <f t="array" ref="X14">INDEX('생산수량Back-Data'!$B$5:$AAA$10041,
       MATCH($B13,'생산수량Back-Data'!$B$5:$B$10041,0)+3,
       MATCH(X$3,'생산수량Back-Data'!$B$3:$AAA$3,0))</f>
        <v>0</v>
      </c>
      <c r="Y14" s="328" cm="1">
        <f t="array" ref="Y14">INDEX('생산수량Back-Data'!$B$5:$AAA$10041,
       MATCH($B13,'생산수량Back-Data'!$B$5:$B$10041,0)+3,
       MATCH(Y$3,'생산수량Back-Data'!$B$3:$AAA$3,0))</f>
        <v>0</v>
      </c>
      <c r="Z14" s="328" cm="1">
        <f t="array" ref="Z14">INDEX('생산수량Back-Data'!$B$5:$AAA$10041,
       MATCH($B13,'생산수량Back-Data'!$B$5:$B$10041,0)+3,
       MATCH(Z$3,'생산수량Back-Data'!$B$3:$AAA$3,0))</f>
        <v>0</v>
      </c>
      <c r="AA14" s="328" cm="1">
        <f t="array" ref="AA14">INDEX('생산수량Back-Data'!$B$5:$AAA$10041,
       MATCH($B13,'생산수량Back-Data'!$B$5:$B$10041,0)+3,
       MATCH(AA$3,'생산수량Back-Data'!$B$3:$AAA$3,0))</f>
        <v>0</v>
      </c>
      <c r="AB14" s="328" cm="1">
        <f t="array" ref="AB14">INDEX('생산수량Back-Data'!$B$5:$AAA$10041,
       MATCH($B13,'생산수량Back-Data'!$B$5:$B$10041,0)+3,
       MATCH(AB$3,'생산수량Back-Data'!$B$3:$AAA$3,0))</f>
        <v>0</v>
      </c>
      <c r="AC14" s="328" cm="1">
        <f t="array" ref="AC14">INDEX('생산수량Back-Data'!$B$5:$AAA$10041,
       MATCH($B13,'생산수량Back-Data'!$B$5:$B$10041,0)+3,
       MATCH(AC$3,'생산수량Back-Data'!$B$3:$AAA$3,0))</f>
        <v>0</v>
      </c>
      <c r="AD14" s="328" cm="1">
        <f t="array" ref="AD14">INDEX('생산수량Back-Data'!$B$5:$AAA$10041,
       MATCH($B13,'생산수량Back-Data'!$B$5:$B$10041,0)+3,
       MATCH(AD$3,'생산수량Back-Data'!$B$3:$AAA$3,0))</f>
        <v>0</v>
      </c>
      <c r="AE14" s="328" cm="1">
        <f t="array" ref="AE14">INDEX('생산수량Back-Data'!$B$5:$AAA$10041,
       MATCH($B13,'생산수량Back-Data'!$B$5:$B$10041,0)+3,
       MATCH(AE$3,'생산수량Back-Data'!$B$3:$AAA$3,0))</f>
        <v>0</v>
      </c>
      <c r="AF14" s="328" cm="1">
        <f t="array" ref="AF14">INDEX('생산수량Back-Data'!$B$5:$AAA$10041,
       MATCH($B13,'생산수량Back-Data'!$B$5:$B$10041,0)+3,
       MATCH(AF$3,'생산수량Back-Data'!$B$3:$AAA$3,0))</f>
        <v>0</v>
      </c>
      <c r="AG14" s="328" cm="1">
        <f t="array" ref="AG14">INDEX('생산수량Back-Data'!$B$5:$AAA$10041,
       MATCH($B13,'생산수량Back-Data'!$B$5:$B$10041,0)+3,
       MATCH(AG$3,'생산수량Back-Data'!$B$3:$AAA$3,0))</f>
        <v>0</v>
      </c>
      <c r="AH14" s="328" cm="1">
        <f t="array" ref="AH14">INDEX('생산수량Back-Data'!$B$5:$AAA$10041,
       MATCH($B13,'생산수량Back-Data'!$B$5:$B$10041,0)+3,
       MATCH(AH$3,'생산수량Back-Data'!$B$3:$AAA$3,0))</f>
        <v>0</v>
      </c>
      <c r="AI14" s="328" cm="1">
        <f t="array" ref="AI14">INDEX('생산수량Back-Data'!$B$5:$AAA$10041,
       MATCH($B13,'생산수량Back-Data'!$B$5:$B$10041,0)+3,
       MATCH(AI$3,'생산수량Back-Data'!$B$3:$AAA$3,0))</f>
        <v>0</v>
      </c>
      <c r="AJ14" s="328" cm="1">
        <f t="array" ref="AJ14">INDEX('생산수량Back-Data'!$B$5:$AAA$10041,
       MATCH($B13,'생산수량Back-Data'!$B$5:$B$10041,0)+3,
       MATCH(AJ$3,'생산수량Back-Data'!$B$3:$AAA$3,0))</f>
        <v>0</v>
      </c>
      <c r="AK14" s="328" cm="1">
        <f t="array" ref="AK14">INDEX('생산수량Back-Data'!$B$5:$AAA$10041,
       MATCH($B13,'생산수량Back-Data'!$B$5:$B$10041,0)+3,
       MATCH(AK$3,'생산수량Back-Data'!$B$3:$AAA$3,0))</f>
        <v>0</v>
      </c>
      <c r="AL14" s="328" cm="1">
        <f t="array" ref="AL14">INDEX('생산수량Back-Data'!$B$5:$AAA$10041,
       MATCH($B13,'생산수량Back-Data'!$B$5:$B$10041,0)+3,
       MATCH(AL$3,'생산수량Back-Data'!$B$3:$AAA$3,0))</f>
        <v>0</v>
      </c>
      <c r="AM14" s="328" cm="1">
        <f t="array" ref="AM14">INDEX('생산수량Back-Data'!$B$5:$AAA$10041,
       MATCH($B13,'생산수량Back-Data'!$B$5:$B$10041,0)+3,
       MATCH(AM$3,'생산수량Back-Data'!$B$3:$AAA$3,0))</f>
        <v>0</v>
      </c>
      <c r="AN14" s="328" cm="1">
        <f t="array" ref="AN14">INDEX('생산수량Back-Data'!$B$5:$AAA$10041,
       MATCH($B13,'생산수량Back-Data'!$B$5:$B$10041,0)+3,
       MATCH(AN$3,'생산수량Back-Data'!$B$3:$AAA$3,0))</f>
        <v>0</v>
      </c>
      <c r="AO14" s="328" cm="1">
        <f t="array" ref="AO14">INDEX('생산수량Back-Data'!$B$5:$AAA$10041,
       MATCH($B13,'생산수량Back-Data'!$B$5:$B$10041,0)+3,
       MATCH(AO$3,'생산수량Back-Data'!$B$3:$AAA$3,0))</f>
        <v>0</v>
      </c>
      <c r="AP14" s="328" cm="1">
        <f t="array" ref="AP14">INDEX('생산수량Back-Data'!$B$5:$AAA$10041,
       MATCH($B13,'생산수량Back-Data'!$B$5:$B$10041,0)+3,
       MATCH(AP$3,'생산수량Back-Data'!$B$3:$AAA$3,0))</f>
        <v>0</v>
      </c>
      <c r="AQ14" s="328" cm="1">
        <f t="array" ref="AQ14">INDEX('생산수량Back-Data'!$B$5:$AAA$10041,
       MATCH($B13,'생산수량Back-Data'!$B$5:$B$10041,0)+3,
       MATCH(AQ$3,'생산수량Back-Data'!$B$3:$AAA$3,0))</f>
        <v>0</v>
      </c>
      <c r="AR14" s="328" cm="1">
        <f t="array" ref="AR14">INDEX('생산수량Back-Data'!$B$5:$AAA$10041,
       MATCH($B13,'생산수량Back-Data'!$B$5:$B$10041,0)+3,
       MATCH(AR$3,'생산수량Back-Data'!$B$3:$AAA$3,0))</f>
        <v>0</v>
      </c>
      <c r="AS14" s="328" cm="1">
        <f t="array" ref="AS14">INDEX('생산수량Back-Data'!$B$5:$AAA$10041,
       MATCH($B13,'생산수량Back-Data'!$B$5:$B$10041,0)+3,
       MATCH(AS$3,'생산수량Back-Data'!$B$3:$AAA$3,0))</f>
        <v>0</v>
      </c>
      <c r="AT14" s="328" cm="1">
        <f t="array" ref="AT14">INDEX('생산수량Back-Data'!$B$5:$AAA$10041,
       MATCH($B13,'생산수량Back-Data'!$B$5:$B$10041,0)+3,
       MATCH(AT$3,'생산수량Back-Data'!$B$3:$AAA$3,0))</f>
        <v>0</v>
      </c>
      <c r="AU14" s="324" cm="1">
        <f t="array" ref="AU14">INDEX('생산수량Back-Data'!$B$5:$AAA$10041,
       MATCH($B13,'생산수량Back-Data'!$B$5:$B$10041,0)+3,
       MATCH(AU$3,'생산수량Back-Data'!$B$3:$AAA$3,0))</f>
        <v>0</v>
      </c>
    </row>
    <row r="15" spans="2:47" ht="32.1" customHeight="1" x14ac:dyDescent="0.3">
      <c r="B15" s="444" t="s">
        <v>45</v>
      </c>
      <c r="C15" s="444" t="s">
        <v>185</v>
      </c>
      <c r="D15" s="444" t="s">
        <v>190</v>
      </c>
      <c r="E15" s="438">
        <f>ABS(SUMIFS('Fixture 총 발주수량'!V:V,'Fixture 총 발주수량'!B:B,'클린룸 생산계획'!B15,'Fixture 총 발주수량'!V:V,"&lt;0"))</f>
        <v>1846</v>
      </c>
      <c r="F15" s="437">
        <f>G15-E15</f>
        <v>-1846</v>
      </c>
      <c r="G15" s="437">
        <f>SUMIF(Q15:AU15, "&gt;0")</f>
        <v>0</v>
      </c>
      <c r="H15" s="437">
        <f>SUMIF(Q16:AU16, "&gt;0")</f>
        <v>0</v>
      </c>
      <c r="I15" s="442">
        <f>IFERROR(H15/G15,)</f>
        <v>0</v>
      </c>
      <c r="J15" s="437">
        <f ca="1">IFERROR(SUMIF('Fixture 총 발주수량'!B:AG,'클린룸 생산계획'!B15,'Fixture 총 발주수량'!Y:Y),)</f>
        <v>0</v>
      </c>
      <c r="K15" s="437">
        <f ca="1">IFERROR(SUMIF('Fixture 총 발주수량'!B:AG,'클린룸 생산계획'!B15,'Fixture 총 발주수량'!W:W),)</f>
        <v>0</v>
      </c>
      <c r="L15" s="438">
        <f>ROUNDUP(E15/2000,)</f>
        <v>1</v>
      </c>
      <c r="M15" s="438">
        <f>M13+L15</f>
        <v>7</v>
      </c>
      <c r="N15" s="438">
        <f>M15+L15</f>
        <v>8</v>
      </c>
      <c r="O15" s="438">
        <f>O13+L15</f>
        <v>7</v>
      </c>
      <c r="P15" s="306" t="s">
        <v>264</v>
      </c>
      <c r="Q15" s="325"/>
      <c r="R15" s="312"/>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312"/>
      <c r="AU15" s="313"/>
    </row>
    <row r="16" spans="2:47" ht="32.1" customHeight="1" x14ac:dyDescent="0.3">
      <c r="B16" s="445"/>
      <c r="C16" s="445"/>
      <c r="D16" s="445"/>
      <c r="E16" s="439"/>
      <c r="F16" s="436"/>
      <c r="G16" s="436"/>
      <c r="H16" s="436"/>
      <c r="I16" s="443"/>
      <c r="J16" s="436"/>
      <c r="K16" s="436"/>
      <c r="L16" s="439"/>
      <c r="M16" s="439"/>
      <c r="N16" s="439"/>
      <c r="O16" s="439"/>
      <c r="P16" s="306" t="s">
        <v>266</v>
      </c>
      <c r="Q16" s="323" cm="1">
        <f t="array" ref="Q16">INDEX('생산수량Back-Data'!$B$5:$AAA$10041,
       MATCH($B15,'생산수량Back-Data'!$B$5:$B$10041,0)+3,
       MATCH(Q$3,'생산수량Back-Data'!$B$3:$AAA$3,0))</f>
        <v>0</v>
      </c>
      <c r="R16" s="310" cm="1">
        <f t="array" ref="R16">INDEX('생산수량Back-Data'!$B$5:$AAA$10041,
       MATCH($B15,'생산수량Back-Data'!$B$5:$B$10041,0)+3,
       MATCH(R$3,'생산수량Back-Data'!$B$3:$AAA$3,0))</f>
        <v>0</v>
      </c>
      <c r="S16" s="310" cm="1">
        <f t="array" ref="S16">INDEX('생산수량Back-Data'!$B$5:$AAA$10041,
       MATCH($B15,'생산수량Back-Data'!$B$5:$B$10041,0)+3,
       MATCH(S$3,'생산수량Back-Data'!$B$3:$AAA$3,0))</f>
        <v>0</v>
      </c>
      <c r="T16" s="310" cm="1">
        <f t="array" ref="T16">INDEX('생산수량Back-Data'!$B$5:$AAA$10041,
       MATCH($B15,'생산수량Back-Data'!$B$5:$B$10041,0)+3,
       MATCH(T$3,'생산수량Back-Data'!$B$3:$AAA$3,0))</f>
        <v>0</v>
      </c>
      <c r="U16" s="310" cm="1">
        <f t="array" ref="U16">INDEX('생산수량Back-Data'!$B$5:$AAA$10041,
       MATCH($B15,'생산수량Back-Data'!$B$5:$B$10041,0)+3,
       MATCH(U$3,'생산수량Back-Data'!$B$3:$AAA$3,0))</f>
        <v>0</v>
      </c>
      <c r="V16" s="310" cm="1">
        <f t="array" ref="V16">INDEX('생산수량Back-Data'!$B$5:$AAA$10041,
       MATCH($B15,'생산수량Back-Data'!$B$5:$B$10041,0)+3,
       MATCH(V$3,'생산수량Back-Data'!$B$3:$AAA$3,0))</f>
        <v>0</v>
      </c>
      <c r="W16" s="310" cm="1">
        <f t="array" ref="W16">INDEX('생산수량Back-Data'!$B$5:$AAA$10041,
       MATCH($B15,'생산수량Back-Data'!$B$5:$B$10041,0)+3,
       MATCH(W$3,'생산수량Back-Data'!$B$3:$AAA$3,0))</f>
        <v>0</v>
      </c>
      <c r="X16" s="310" cm="1">
        <f t="array" ref="X16">INDEX('생산수량Back-Data'!$B$5:$AAA$10041,
       MATCH($B15,'생산수량Back-Data'!$B$5:$B$10041,0)+3,
       MATCH(X$3,'생산수량Back-Data'!$B$3:$AAA$3,0))</f>
        <v>0</v>
      </c>
      <c r="Y16" s="310" cm="1">
        <f t="array" ref="Y16">INDEX('생산수량Back-Data'!$B$5:$AAA$10041,
       MATCH($B15,'생산수량Back-Data'!$B$5:$B$10041,0)+3,
       MATCH(Y$3,'생산수량Back-Data'!$B$3:$AAA$3,0))</f>
        <v>0</v>
      </c>
      <c r="Z16" s="310" cm="1">
        <f t="array" ref="Z16">INDEX('생산수량Back-Data'!$B$5:$AAA$10041,
       MATCH($B15,'생산수량Back-Data'!$B$5:$B$10041,0)+3,
       MATCH(Z$3,'생산수량Back-Data'!$B$3:$AAA$3,0))</f>
        <v>0</v>
      </c>
      <c r="AA16" s="310" cm="1">
        <f t="array" ref="AA16">INDEX('생산수량Back-Data'!$B$5:$AAA$10041,
       MATCH($B15,'생산수량Back-Data'!$B$5:$B$10041,0)+3,
       MATCH(AA$3,'생산수량Back-Data'!$B$3:$AAA$3,0))</f>
        <v>0</v>
      </c>
      <c r="AB16" s="310" cm="1">
        <f t="array" ref="AB16">INDEX('생산수량Back-Data'!$B$5:$AAA$10041,
       MATCH($B15,'생산수량Back-Data'!$B$5:$B$10041,0)+3,
       MATCH(AB$3,'생산수량Back-Data'!$B$3:$AAA$3,0))</f>
        <v>0</v>
      </c>
      <c r="AC16" s="310" cm="1">
        <f t="array" ref="AC16">INDEX('생산수량Back-Data'!$B$5:$AAA$10041,
       MATCH($B15,'생산수량Back-Data'!$B$5:$B$10041,0)+3,
       MATCH(AC$3,'생산수량Back-Data'!$B$3:$AAA$3,0))</f>
        <v>0</v>
      </c>
      <c r="AD16" s="310" cm="1">
        <f t="array" ref="AD16">INDEX('생산수량Back-Data'!$B$5:$AAA$10041,
       MATCH($B15,'생산수량Back-Data'!$B$5:$B$10041,0)+3,
       MATCH(AD$3,'생산수량Back-Data'!$B$3:$AAA$3,0))</f>
        <v>0</v>
      </c>
      <c r="AE16" s="310" cm="1">
        <f t="array" ref="AE16">INDEX('생산수량Back-Data'!$B$5:$AAA$10041,
       MATCH($B15,'생산수량Back-Data'!$B$5:$B$10041,0)+3,
       MATCH(AE$3,'생산수량Back-Data'!$B$3:$AAA$3,0))</f>
        <v>0</v>
      </c>
      <c r="AF16" s="310" cm="1">
        <f t="array" ref="AF16">INDEX('생산수량Back-Data'!$B$5:$AAA$10041,
       MATCH($B15,'생산수량Back-Data'!$B$5:$B$10041,0)+3,
       MATCH(AF$3,'생산수량Back-Data'!$B$3:$AAA$3,0))</f>
        <v>0</v>
      </c>
      <c r="AG16" s="310" cm="1">
        <f t="array" ref="AG16">INDEX('생산수량Back-Data'!$B$5:$AAA$10041,
       MATCH($B15,'생산수량Back-Data'!$B$5:$B$10041,0)+3,
       MATCH(AG$3,'생산수량Back-Data'!$B$3:$AAA$3,0))</f>
        <v>0</v>
      </c>
      <c r="AH16" s="310" cm="1">
        <f t="array" ref="AH16">INDEX('생산수량Back-Data'!$B$5:$AAA$10041,
       MATCH($B15,'생산수량Back-Data'!$B$5:$B$10041,0)+3,
       MATCH(AH$3,'생산수량Back-Data'!$B$3:$AAA$3,0))</f>
        <v>0</v>
      </c>
      <c r="AI16" s="310" cm="1">
        <f t="array" ref="AI16">INDEX('생산수량Back-Data'!$B$5:$AAA$10041,
       MATCH($B15,'생산수량Back-Data'!$B$5:$B$10041,0)+3,
       MATCH(AI$3,'생산수량Back-Data'!$B$3:$AAA$3,0))</f>
        <v>0</v>
      </c>
      <c r="AJ16" s="310" cm="1">
        <f t="array" ref="AJ16">INDEX('생산수량Back-Data'!$B$5:$AAA$10041,
       MATCH($B15,'생산수량Back-Data'!$B$5:$B$10041,0)+3,
       MATCH(AJ$3,'생산수량Back-Data'!$B$3:$AAA$3,0))</f>
        <v>0</v>
      </c>
      <c r="AK16" s="310" cm="1">
        <f t="array" ref="AK16">INDEX('생산수량Back-Data'!$B$5:$AAA$10041,
       MATCH($B15,'생산수량Back-Data'!$B$5:$B$10041,0)+3,
       MATCH(AK$3,'생산수량Back-Data'!$B$3:$AAA$3,0))</f>
        <v>0</v>
      </c>
      <c r="AL16" s="310" cm="1">
        <f t="array" ref="AL16">INDEX('생산수량Back-Data'!$B$5:$AAA$10041,
       MATCH($B15,'생산수량Back-Data'!$B$5:$B$10041,0)+3,
       MATCH(AL$3,'생산수량Back-Data'!$B$3:$AAA$3,0))</f>
        <v>0</v>
      </c>
      <c r="AM16" s="310" cm="1">
        <f t="array" ref="AM16">INDEX('생산수량Back-Data'!$B$5:$AAA$10041,
       MATCH($B15,'생산수량Back-Data'!$B$5:$B$10041,0)+3,
       MATCH(AM$3,'생산수량Back-Data'!$B$3:$AAA$3,0))</f>
        <v>0</v>
      </c>
      <c r="AN16" s="310" cm="1">
        <f t="array" ref="AN16">INDEX('생산수량Back-Data'!$B$5:$AAA$10041,
       MATCH($B15,'생산수량Back-Data'!$B$5:$B$10041,0)+3,
       MATCH(AN$3,'생산수량Back-Data'!$B$3:$AAA$3,0))</f>
        <v>0</v>
      </c>
      <c r="AO16" s="310" cm="1">
        <f t="array" ref="AO16">INDEX('생산수량Back-Data'!$B$5:$AAA$10041,
       MATCH($B15,'생산수량Back-Data'!$B$5:$B$10041,0)+3,
       MATCH(AO$3,'생산수량Back-Data'!$B$3:$AAA$3,0))</f>
        <v>0</v>
      </c>
      <c r="AP16" s="310" cm="1">
        <f t="array" ref="AP16">INDEX('생산수량Back-Data'!$B$5:$AAA$10041,
       MATCH($B15,'생산수량Back-Data'!$B$5:$B$10041,0)+3,
       MATCH(AP$3,'생산수량Back-Data'!$B$3:$AAA$3,0))</f>
        <v>0</v>
      </c>
      <c r="AQ16" s="310" cm="1">
        <f t="array" ref="AQ16">INDEX('생산수량Back-Data'!$B$5:$AAA$10041,
       MATCH($B15,'생산수량Back-Data'!$B$5:$B$10041,0)+3,
       MATCH(AQ$3,'생산수량Back-Data'!$B$3:$AAA$3,0))</f>
        <v>0</v>
      </c>
      <c r="AR16" s="310" cm="1">
        <f t="array" ref="AR16">INDEX('생산수량Back-Data'!$B$5:$AAA$10041,
       MATCH($B15,'생산수량Back-Data'!$B$5:$B$10041,0)+3,
       MATCH(AR$3,'생산수량Back-Data'!$B$3:$AAA$3,0))</f>
        <v>0</v>
      </c>
      <c r="AS16" s="310" cm="1">
        <f t="array" ref="AS16">INDEX('생산수량Back-Data'!$B$5:$AAA$10041,
       MATCH($B15,'생산수량Back-Data'!$B$5:$B$10041,0)+3,
       MATCH(AS$3,'생산수량Back-Data'!$B$3:$AAA$3,0))</f>
        <v>0</v>
      </c>
      <c r="AT16" s="310" cm="1">
        <f t="array" ref="AT16">INDEX('생산수량Back-Data'!$B$5:$AAA$10041,
       MATCH($B15,'생산수량Back-Data'!$B$5:$B$10041,0)+3,
       MATCH(AT$3,'생산수량Back-Data'!$B$3:$AAA$3,0))</f>
        <v>0</v>
      </c>
      <c r="AU16" s="324" cm="1">
        <f t="array" ref="AU16">INDEX('생산수량Back-Data'!$B$5:$AAA$10041,
       MATCH($B15,'생산수량Back-Data'!$B$5:$B$10041,0)+3,
       MATCH(AU$3,'생산수량Back-Data'!$B$3:$AAA$3,0))</f>
        <v>0</v>
      </c>
    </row>
    <row r="17" spans="2:47" ht="32.1" customHeight="1" x14ac:dyDescent="0.3">
      <c r="B17" s="444" t="s">
        <v>46</v>
      </c>
      <c r="C17" s="444" t="s">
        <v>185</v>
      </c>
      <c r="D17" s="444" t="s">
        <v>191</v>
      </c>
      <c r="E17" s="438">
        <f>ABS(SUMIFS('Fixture 총 발주수량'!V:V,'Fixture 총 발주수량'!B:B,'클린룸 생산계획'!B17,'Fixture 총 발주수량'!V:V,"&lt;0"))</f>
        <v>1585</v>
      </c>
      <c r="F17" s="437">
        <f>G17-E17</f>
        <v>-1585</v>
      </c>
      <c r="G17" s="437">
        <f>SUMIF(Q17:AU17, "&gt;0")</f>
        <v>0</v>
      </c>
      <c r="H17" s="437">
        <f>SUMIF(Q18:AU18, "&gt;0")</f>
        <v>0</v>
      </c>
      <c r="I17" s="442">
        <f>IFERROR(H17/G17,)</f>
        <v>0</v>
      </c>
      <c r="J17" s="437">
        <f ca="1">IFERROR(SUMIF('Fixture 총 발주수량'!B:AG,'클린룸 생산계획'!B17,'Fixture 총 발주수량'!Y:Y),)</f>
        <v>0</v>
      </c>
      <c r="K17" s="437">
        <f ca="1">IFERROR(SUMIF('Fixture 총 발주수량'!B:AG,'클린룸 생산계획'!B17,'Fixture 총 발주수량'!W:W),)</f>
        <v>0</v>
      </c>
      <c r="L17" s="438">
        <f>ROUNDUP(E17/2000,)</f>
        <v>1</v>
      </c>
      <c r="M17" s="438">
        <f>M15+L17</f>
        <v>8</v>
      </c>
      <c r="N17" s="438">
        <f>M17+L17</f>
        <v>9</v>
      </c>
      <c r="O17" s="438">
        <f>O15+L17</f>
        <v>8</v>
      </c>
      <c r="P17" s="306" t="s">
        <v>264</v>
      </c>
      <c r="Q17" s="325"/>
      <c r="R17" s="312"/>
      <c r="S17" s="312"/>
      <c r="T17" s="312"/>
      <c r="U17" s="312"/>
      <c r="V17" s="312"/>
      <c r="W17" s="312"/>
      <c r="X17" s="312"/>
      <c r="Y17" s="312"/>
      <c r="Z17" s="312"/>
      <c r="AA17" s="312"/>
      <c r="AB17" s="312"/>
      <c r="AC17" s="312"/>
      <c r="AD17" s="312"/>
      <c r="AE17" s="312"/>
      <c r="AF17" s="312"/>
      <c r="AG17" s="312"/>
      <c r="AH17" s="312"/>
      <c r="AI17" s="312"/>
      <c r="AJ17" s="312"/>
      <c r="AK17" s="312"/>
      <c r="AL17" s="312"/>
      <c r="AM17" s="312"/>
      <c r="AN17" s="312"/>
      <c r="AO17" s="312"/>
      <c r="AP17" s="312"/>
      <c r="AQ17" s="312"/>
      <c r="AR17" s="312"/>
      <c r="AS17" s="312"/>
      <c r="AT17" s="312"/>
      <c r="AU17" s="313"/>
    </row>
    <row r="18" spans="2:47" ht="32.1" customHeight="1" x14ac:dyDescent="0.3">
      <c r="B18" s="445"/>
      <c r="C18" s="445"/>
      <c r="D18" s="445"/>
      <c r="E18" s="439"/>
      <c r="F18" s="436"/>
      <c r="G18" s="436"/>
      <c r="H18" s="436"/>
      <c r="I18" s="443"/>
      <c r="J18" s="436"/>
      <c r="K18" s="436"/>
      <c r="L18" s="439"/>
      <c r="M18" s="439"/>
      <c r="N18" s="439"/>
      <c r="O18" s="439"/>
      <c r="P18" s="306" t="s">
        <v>266</v>
      </c>
      <c r="Q18" s="323" cm="1">
        <f t="array" ref="Q18">INDEX('생산수량Back-Data'!$B$5:$AAA$10041,
       MATCH($B17,'생산수량Back-Data'!$B$5:$B$10041,0)+3,
       MATCH(Q$3,'생산수량Back-Data'!$B$3:$AAA$3,0))</f>
        <v>0</v>
      </c>
      <c r="R18" s="310" cm="1">
        <f t="array" ref="R18">INDEX('생산수량Back-Data'!$B$5:$AAA$10041,
       MATCH($B17,'생산수량Back-Data'!$B$5:$B$10041,0)+3,
       MATCH(R$3,'생산수량Back-Data'!$B$3:$AAA$3,0))</f>
        <v>0</v>
      </c>
      <c r="S18" s="310" cm="1">
        <f t="array" ref="S18">INDEX('생산수량Back-Data'!$B$5:$AAA$10041,
       MATCH($B17,'생산수량Back-Data'!$B$5:$B$10041,0)+3,
       MATCH(S$3,'생산수량Back-Data'!$B$3:$AAA$3,0))</f>
        <v>0</v>
      </c>
      <c r="T18" s="310" cm="1">
        <f t="array" ref="T18">INDEX('생산수량Back-Data'!$B$5:$AAA$10041,
       MATCH($B17,'생산수량Back-Data'!$B$5:$B$10041,0)+3,
       MATCH(T$3,'생산수량Back-Data'!$B$3:$AAA$3,0))</f>
        <v>0</v>
      </c>
      <c r="U18" s="310" cm="1">
        <f t="array" ref="U18">INDEX('생산수량Back-Data'!$B$5:$AAA$10041,
       MATCH($B17,'생산수량Back-Data'!$B$5:$B$10041,0)+3,
       MATCH(U$3,'생산수량Back-Data'!$B$3:$AAA$3,0))</f>
        <v>0</v>
      </c>
      <c r="V18" s="310" cm="1">
        <f t="array" ref="V18">INDEX('생산수량Back-Data'!$B$5:$AAA$10041,
       MATCH($B17,'생산수량Back-Data'!$B$5:$B$10041,0)+3,
       MATCH(V$3,'생산수량Back-Data'!$B$3:$AAA$3,0))</f>
        <v>0</v>
      </c>
      <c r="W18" s="310" cm="1">
        <f t="array" ref="W18">INDEX('생산수량Back-Data'!$B$5:$AAA$10041,
       MATCH($B17,'생산수량Back-Data'!$B$5:$B$10041,0)+3,
       MATCH(W$3,'생산수량Back-Data'!$B$3:$AAA$3,0))</f>
        <v>0</v>
      </c>
      <c r="X18" s="310" cm="1">
        <f t="array" ref="X18">INDEX('생산수량Back-Data'!$B$5:$AAA$10041,
       MATCH($B17,'생산수량Back-Data'!$B$5:$B$10041,0)+3,
       MATCH(X$3,'생산수량Back-Data'!$B$3:$AAA$3,0))</f>
        <v>0</v>
      </c>
      <c r="Y18" s="310" cm="1">
        <f t="array" ref="Y18">INDEX('생산수량Back-Data'!$B$5:$AAA$10041,
       MATCH($B17,'생산수량Back-Data'!$B$5:$B$10041,0)+3,
       MATCH(Y$3,'생산수량Back-Data'!$B$3:$AAA$3,0))</f>
        <v>0</v>
      </c>
      <c r="Z18" s="310" cm="1">
        <f t="array" ref="Z18">INDEX('생산수량Back-Data'!$B$5:$AAA$10041,
       MATCH($B17,'생산수량Back-Data'!$B$5:$B$10041,0)+3,
       MATCH(Z$3,'생산수량Back-Data'!$B$3:$AAA$3,0))</f>
        <v>0</v>
      </c>
      <c r="AA18" s="310" cm="1">
        <f t="array" ref="AA18">INDEX('생산수량Back-Data'!$B$5:$AAA$10041,
       MATCH($B17,'생산수량Back-Data'!$B$5:$B$10041,0)+3,
       MATCH(AA$3,'생산수량Back-Data'!$B$3:$AAA$3,0))</f>
        <v>0</v>
      </c>
      <c r="AB18" s="310" cm="1">
        <f t="array" ref="AB18">INDEX('생산수량Back-Data'!$B$5:$AAA$10041,
       MATCH($B17,'생산수량Back-Data'!$B$5:$B$10041,0)+3,
       MATCH(AB$3,'생산수량Back-Data'!$B$3:$AAA$3,0))</f>
        <v>0</v>
      </c>
      <c r="AC18" s="310" cm="1">
        <f t="array" ref="AC18">INDEX('생산수량Back-Data'!$B$5:$AAA$10041,
       MATCH($B17,'생산수량Back-Data'!$B$5:$B$10041,0)+3,
       MATCH(AC$3,'생산수량Back-Data'!$B$3:$AAA$3,0))</f>
        <v>0</v>
      </c>
      <c r="AD18" s="310" cm="1">
        <f t="array" ref="AD18">INDEX('생산수량Back-Data'!$B$5:$AAA$10041,
       MATCH($B17,'생산수량Back-Data'!$B$5:$B$10041,0)+3,
       MATCH(AD$3,'생산수량Back-Data'!$B$3:$AAA$3,0))</f>
        <v>0</v>
      </c>
      <c r="AE18" s="310" cm="1">
        <f t="array" ref="AE18">INDEX('생산수량Back-Data'!$B$5:$AAA$10041,
       MATCH($B17,'생산수량Back-Data'!$B$5:$B$10041,0)+3,
       MATCH(AE$3,'생산수량Back-Data'!$B$3:$AAA$3,0))</f>
        <v>0</v>
      </c>
      <c r="AF18" s="310" cm="1">
        <f t="array" ref="AF18">INDEX('생산수량Back-Data'!$B$5:$AAA$10041,
       MATCH($B17,'생산수량Back-Data'!$B$5:$B$10041,0)+3,
       MATCH(AF$3,'생산수량Back-Data'!$B$3:$AAA$3,0))</f>
        <v>0</v>
      </c>
      <c r="AG18" s="310" cm="1">
        <f t="array" ref="AG18">INDEX('생산수량Back-Data'!$B$5:$AAA$10041,
       MATCH($B17,'생산수량Back-Data'!$B$5:$B$10041,0)+3,
       MATCH(AG$3,'생산수량Back-Data'!$B$3:$AAA$3,0))</f>
        <v>0</v>
      </c>
      <c r="AH18" s="310" cm="1">
        <f t="array" ref="AH18">INDEX('생산수량Back-Data'!$B$5:$AAA$10041,
       MATCH($B17,'생산수량Back-Data'!$B$5:$B$10041,0)+3,
       MATCH(AH$3,'생산수량Back-Data'!$B$3:$AAA$3,0))</f>
        <v>0</v>
      </c>
      <c r="AI18" s="310" cm="1">
        <f t="array" ref="AI18">INDEX('생산수량Back-Data'!$B$5:$AAA$10041,
       MATCH($B17,'생산수량Back-Data'!$B$5:$B$10041,0)+3,
       MATCH(AI$3,'생산수량Back-Data'!$B$3:$AAA$3,0))</f>
        <v>0</v>
      </c>
      <c r="AJ18" s="310" cm="1">
        <f t="array" ref="AJ18">INDEX('생산수량Back-Data'!$B$5:$AAA$10041,
       MATCH($B17,'생산수량Back-Data'!$B$5:$B$10041,0)+3,
       MATCH(AJ$3,'생산수량Back-Data'!$B$3:$AAA$3,0))</f>
        <v>0</v>
      </c>
      <c r="AK18" s="310" cm="1">
        <f t="array" ref="AK18">INDEX('생산수량Back-Data'!$B$5:$AAA$10041,
       MATCH($B17,'생산수량Back-Data'!$B$5:$B$10041,0)+3,
       MATCH(AK$3,'생산수량Back-Data'!$B$3:$AAA$3,0))</f>
        <v>0</v>
      </c>
      <c r="AL18" s="310" cm="1">
        <f t="array" ref="AL18">INDEX('생산수량Back-Data'!$B$5:$AAA$10041,
       MATCH($B17,'생산수량Back-Data'!$B$5:$B$10041,0)+3,
       MATCH(AL$3,'생산수량Back-Data'!$B$3:$AAA$3,0))</f>
        <v>0</v>
      </c>
      <c r="AM18" s="310" cm="1">
        <f t="array" ref="AM18">INDEX('생산수량Back-Data'!$B$5:$AAA$10041,
       MATCH($B17,'생산수량Back-Data'!$B$5:$B$10041,0)+3,
       MATCH(AM$3,'생산수량Back-Data'!$B$3:$AAA$3,0))</f>
        <v>0</v>
      </c>
      <c r="AN18" s="310" cm="1">
        <f t="array" ref="AN18">INDEX('생산수량Back-Data'!$B$5:$AAA$10041,
       MATCH($B17,'생산수량Back-Data'!$B$5:$B$10041,0)+3,
       MATCH(AN$3,'생산수량Back-Data'!$B$3:$AAA$3,0))</f>
        <v>0</v>
      </c>
      <c r="AO18" s="310" cm="1">
        <f t="array" ref="AO18">INDEX('생산수량Back-Data'!$B$5:$AAA$10041,
       MATCH($B17,'생산수량Back-Data'!$B$5:$B$10041,0)+3,
       MATCH(AO$3,'생산수량Back-Data'!$B$3:$AAA$3,0))</f>
        <v>0</v>
      </c>
      <c r="AP18" s="310" cm="1">
        <f t="array" ref="AP18">INDEX('생산수량Back-Data'!$B$5:$AAA$10041,
       MATCH($B17,'생산수량Back-Data'!$B$5:$B$10041,0)+3,
       MATCH(AP$3,'생산수량Back-Data'!$B$3:$AAA$3,0))</f>
        <v>0</v>
      </c>
      <c r="AQ18" s="310" cm="1">
        <f t="array" ref="AQ18">INDEX('생산수량Back-Data'!$B$5:$AAA$10041,
       MATCH($B17,'생산수량Back-Data'!$B$5:$B$10041,0)+3,
       MATCH(AQ$3,'생산수량Back-Data'!$B$3:$AAA$3,0))</f>
        <v>0</v>
      </c>
      <c r="AR18" s="310" cm="1">
        <f t="array" ref="AR18">INDEX('생산수량Back-Data'!$B$5:$AAA$10041,
       MATCH($B17,'생산수량Back-Data'!$B$5:$B$10041,0)+3,
       MATCH(AR$3,'생산수량Back-Data'!$B$3:$AAA$3,0))</f>
        <v>0</v>
      </c>
      <c r="AS18" s="310" cm="1">
        <f t="array" ref="AS18">INDEX('생산수량Back-Data'!$B$5:$AAA$10041,
       MATCH($B17,'생산수량Back-Data'!$B$5:$B$10041,0)+3,
       MATCH(AS$3,'생산수량Back-Data'!$B$3:$AAA$3,0))</f>
        <v>0</v>
      </c>
      <c r="AT18" s="310" cm="1">
        <f t="array" ref="AT18">INDEX('생산수량Back-Data'!$B$5:$AAA$10041,
       MATCH($B17,'생산수량Back-Data'!$B$5:$B$10041,0)+3,
       MATCH(AT$3,'생산수량Back-Data'!$B$3:$AAA$3,0))</f>
        <v>0</v>
      </c>
      <c r="AU18" s="324" cm="1">
        <f t="array" ref="AU18">INDEX('생산수량Back-Data'!$B$5:$AAA$10041,
       MATCH($B17,'생산수량Back-Data'!$B$5:$B$10041,0)+3,
       MATCH(AU$3,'생산수량Back-Data'!$B$3:$AAA$3,0))</f>
        <v>0</v>
      </c>
    </row>
    <row r="19" spans="2:47" ht="32.1" customHeight="1" x14ac:dyDescent="0.3">
      <c r="B19" s="444" t="s">
        <v>47</v>
      </c>
      <c r="C19" s="444" t="s">
        <v>185</v>
      </c>
      <c r="D19" s="444" t="s">
        <v>192</v>
      </c>
      <c r="E19" s="438">
        <f>ABS(SUMIFS('Fixture 총 발주수량'!V:V,'Fixture 총 발주수량'!B:B,'클린룸 생산계획'!B19,'Fixture 총 발주수량'!V:V,"&lt;0"))</f>
        <v>0</v>
      </c>
      <c r="F19" s="437">
        <f>G19-E19</f>
        <v>0</v>
      </c>
      <c r="G19" s="437">
        <f>SUMIF(Q19:AU19, "&gt;0")</f>
        <v>0</v>
      </c>
      <c r="H19" s="437">
        <f>SUMIF(Q20:AU20, "&gt;0")</f>
        <v>0</v>
      </c>
      <c r="I19" s="442">
        <f>IFERROR(H19/G19,)</f>
        <v>0</v>
      </c>
      <c r="J19" s="437">
        <f ca="1">IFERROR(SUMIF('Fixture 총 발주수량'!B:AG,'클린룸 생산계획'!B19,'Fixture 총 발주수량'!Y:Y),)</f>
        <v>0</v>
      </c>
      <c r="K19" s="437">
        <f ca="1">IFERROR(SUMIF('Fixture 총 발주수량'!B:AG,'클린룸 생산계획'!B19,'Fixture 총 발주수량'!W:W),)</f>
        <v>298</v>
      </c>
      <c r="L19" s="438">
        <f>ROUNDUP(E19/2000,)</f>
        <v>0</v>
      </c>
      <c r="M19" s="438">
        <f>M17+L19</f>
        <v>8</v>
      </c>
      <c r="N19" s="438">
        <f>M19+L19</f>
        <v>8</v>
      </c>
      <c r="O19" s="438">
        <f>O17+L19</f>
        <v>8</v>
      </c>
      <c r="P19" s="306" t="s">
        <v>264</v>
      </c>
      <c r="Q19" s="325"/>
      <c r="R19" s="312"/>
      <c r="S19" s="312"/>
      <c r="T19" s="312"/>
      <c r="U19" s="312"/>
      <c r="V19" s="312"/>
      <c r="W19" s="312"/>
      <c r="X19" s="312"/>
      <c r="Y19" s="312"/>
      <c r="Z19" s="312"/>
      <c r="AA19" s="312"/>
      <c r="AB19" s="312"/>
      <c r="AC19" s="312"/>
      <c r="AD19" s="312"/>
      <c r="AE19" s="312"/>
      <c r="AF19" s="312"/>
      <c r="AG19" s="312"/>
      <c r="AH19" s="312"/>
      <c r="AI19" s="312"/>
      <c r="AJ19" s="312"/>
      <c r="AK19" s="312"/>
      <c r="AL19" s="312"/>
      <c r="AM19" s="312"/>
      <c r="AN19" s="312"/>
      <c r="AO19" s="312"/>
      <c r="AP19" s="312"/>
      <c r="AQ19" s="312"/>
      <c r="AR19" s="312"/>
      <c r="AS19" s="312"/>
      <c r="AT19" s="312"/>
      <c r="AU19" s="313"/>
    </row>
    <row r="20" spans="2:47" ht="32.1" customHeight="1" thickBot="1" x14ac:dyDescent="0.35">
      <c r="B20" s="454"/>
      <c r="C20" s="454"/>
      <c r="D20" s="454"/>
      <c r="E20" s="450"/>
      <c r="F20" s="452"/>
      <c r="G20" s="452"/>
      <c r="H20" s="452"/>
      <c r="I20" s="453"/>
      <c r="J20" s="452"/>
      <c r="K20" s="452"/>
      <c r="L20" s="450"/>
      <c r="M20" s="450"/>
      <c r="N20" s="450"/>
      <c r="O20" s="450"/>
      <c r="P20" s="305" t="s">
        <v>266</v>
      </c>
      <c r="Q20" s="323" cm="1">
        <f t="array" ref="Q20">INDEX('생산수량Back-Data'!$B$5:$AAA$10041,
       MATCH($B19,'생산수량Back-Data'!$B$5:$B$10041,0)+3,
       MATCH(Q$3,'생산수량Back-Data'!$B$3:$AAA$3,0))</f>
        <v>0</v>
      </c>
      <c r="R20" s="310" cm="1">
        <f t="array" ref="R20">INDEX('생산수량Back-Data'!$B$5:$AAA$10041,
       MATCH($B19,'생산수량Back-Data'!$B$5:$B$10041,0)+3,
       MATCH(R$3,'생산수량Back-Data'!$B$3:$AAA$3,0))</f>
        <v>0</v>
      </c>
      <c r="S20" s="310" cm="1">
        <f t="array" ref="S20">INDEX('생산수량Back-Data'!$B$5:$AAA$10041,
       MATCH($B19,'생산수량Back-Data'!$B$5:$B$10041,0)+3,
       MATCH(S$3,'생산수량Back-Data'!$B$3:$AAA$3,0))</f>
        <v>0</v>
      </c>
      <c r="T20" s="310" cm="1">
        <f t="array" ref="T20">INDEX('생산수량Back-Data'!$B$5:$AAA$10041,
       MATCH($B19,'생산수량Back-Data'!$B$5:$B$10041,0)+3,
       MATCH(T$3,'생산수량Back-Data'!$B$3:$AAA$3,0))</f>
        <v>0</v>
      </c>
      <c r="U20" s="310" cm="1">
        <f t="array" ref="U20">INDEX('생산수량Back-Data'!$B$5:$AAA$10041,
       MATCH($B19,'생산수량Back-Data'!$B$5:$B$10041,0)+3,
       MATCH(U$3,'생산수량Back-Data'!$B$3:$AAA$3,0))</f>
        <v>0</v>
      </c>
      <c r="V20" s="310" cm="1">
        <f t="array" ref="V20">INDEX('생산수량Back-Data'!$B$5:$AAA$10041,
       MATCH($B19,'생산수량Back-Data'!$B$5:$B$10041,0)+3,
       MATCH(V$3,'생산수량Back-Data'!$B$3:$AAA$3,0))</f>
        <v>0</v>
      </c>
      <c r="W20" s="310" cm="1">
        <f t="array" ref="W20">INDEX('생산수량Back-Data'!$B$5:$AAA$10041,
       MATCH($B19,'생산수량Back-Data'!$B$5:$B$10041,0)+3,
       MATCH(W$3,'생산수량Back-Data'!$B$3:$AAA$3,0))</f>
        <v>0</v>
      </c>
      <c r="X20" s="310" cm="1">
        <f t="array" ref="X20">INDEX('생산수량Back-Data'!$B$5:$AAA$10041,
       MATCH($B19,'생산수량Back-Data'!$B$5:$B$10041,0)+3,
       MATCH(X$3,'생산수량Back-Data'!$B$3:$AAA$3,0))</f>
        <v>0</v>
      </c>
      <c r="Y20" s="310" cm="1">
        <f t="array" ref="Y20">INDEX('생산수량Back-Data'!$B$5:$AAA$10041,
       MATCH($B19,'생산수량Back-Data'!$B$5:$B$10041,0)+3,
       MATCH(Y$3,'생산수량Back-Data'!$B$3:$AAA$3,0))</f>
        <v>0</v>
      </c>
      <c r="Z20" s="310" cm="1">
        <f t="array" ref="Z20">INDEX('생산수량Back-Data'!$B$5:$AAA$10041,
       MATCH($B19,'생산수량Back-Data'!$B$5:$B$10041,0)+3,
       MATCH(Z$3,'생산수량Back-Data'!$B$3:$AAA$3,0))</f>
        <v>0</v>
      </c>
      <c r="AA20" s="310" cm="1">
        <f t="array" ref="AA20">INDEX('생산수량Back-Data'!$B$5:$AAA$10041,
       MATCH($B19,'생산수량Back-Data'!$B$5:$B$10041,0)+3,
       MATCH(AA$3,'생산수량Back-Data'!$B$3:$AAA$3,0))</f>
        <v>0</v>
      </c>
      <c r="AB20" s="310" cm="1">
        <f t="array" ref="AB20">INDEX('생산수량Back-Data'!$B$5:$AAA$10041,
       MATCH($B19,'생산수량Back-Data'!$B$5:$B$10041,0)+3,
       MATCH(AB$3,'생산수량Back-Data'!$B$3:$AAA$3,0))</f>
        <v>0</v>
      </c>
      <c r="AC20" s="310" cm="1">
        <f t="array" ref="AC20">INDEX('생산수량Back-Data'!$B$5:$AAA$10041,
       MATCH($B19,'생산수량Back-Data'!$B$5:$B$10041,0)+3,
       MATCH(AC$3,'생산수량Back-Data'!$B$3:$AAA$3,0))</f>
        <v>0</v>
      </c>
      <c r="AD20" s="310" cm="1">
        <f t="array" ref="AD20">INDEX('생산수량Back-Data'!$B$5:$AAA$10041,
       MATCH($B19,'생산수량Back-Data'!$B$5:$B$10041,0)+3,
       MATCH(AD$3,'생산수량Back-Data'!$B$3:$AAA$3,0))</f>
        <v>0</v>
      </c>
      <c r="AE20" s="310" cm="1">
        <f t="array" ref="AE20">INDEX('생산수량Back-Data'!$B$5:$AAA$10041,
       MATCH($B19,'생산수량Back-Data'!$B$5:$B$10041,0)+3,
       MATCH(AE$3,'생산수량Back-Data'!$B$3:$AAA$3,0))</f>
        <v>0</v>
      </c>
      <c r="AF20" s="310" cm="1">
        <f t="array" ref="AF20">INDEX('생산수량Back-Data'!$B$5:$AAA$10041,
       MATCH($B19,'생산수량Back-Data'!$B$5:$B$10041,0)+3,
       MATCH(AF$3,'생산수량Back-Data'!$B$3:$AAA$3,0))</f>
        <v>0</v>
      </c>
      <c r="AG20" s="310" cm="1">
        <f t="array" ref="AG20">INDEX('생산수량Back-Data'!$B$5:$AAA$10041,
       MATCH($B19,'생산수량Back-Data'!$B$5:$B$10041,0)+3,
       MATCH(AG$3,'생산수량Back-Data'!$B$3:$AAA$3,0))</f>
        <v>0</v>
      </c>
      <c r="AH20" s="310" cm="1">
        <f t="array" ref="AH20">INDEX('생산수량Back-Data'!$B$5:$AAA$10041,
       MATCH($B19,'생산수량Back-Data'!$B$5:$B$10041,0)+3,
       MATCH(AH$3,'생산수량Back-Data'!$B$3:$AAA$3,0))</f>
        <v>0</v>
      </c>
      <c r="AI20" s="310" cm="1">
        <f t="array" ref="AI20">INDEX('생산수량Back-Data'!$B$5:$AAA$10041,
       MATCH($B19,'생산수량Back-Data'!$B$5:$B$10041,0)+3,
       MATCH(AI$3,'생산수량Back-Data'!$B$3:$AAA$3,0))</f>
        <v>0</v>
      </c>
      <c r="AJ20" s="310" cm="1">
        <f t="array" ref="AJ20">INDEX('생산수량Back-Data'!$B$5:$AAA$10041,
       MATCH($B19,'생산수량Back-Data'!$B$5:$B$10041,0)+3,
       MATCH(AJ$3,'생산수량Back-Data'!$B$3:$AAA$3,0))</f>
        <v>0</v>
      </c>
      <c r="AK20" s="310" cm="1">
        <f t="array" ref="AK20">INDEX('생산수량Back-Data'!$B$5:$AAA$10041,
       MATCH($B19,'생산수량Back-Data'!$B$5:$B$10041,0)+3,
       MATCH(AK$3,'생산수량Back-Data'!$B$3:$AAA$3,0))</f>
        <v>0</v>
      </c>
      <c r="AL20" s="310" cm="1">
        <f t="array" ref="AL20">INDEX('생산수량Back-Data'!$B$5:$AAA$10041,
       MATCH($B19,'생산수량Back-Data'!$B$5:$B$10041,0)+3,
       MATCH(AL$3,'생산수량Back-Data'!$B$3:$AAA$3,0))</f>
        <v>0</v>
      </c>
      <c r="AM20" s="310" cm="1">
        <f t="array" ref="AM20">INDEX('생산수량Back-Data'!$B$5:$AAA$10041,
       MATCH($B19,'생산수량Back-Data'!$B$5:$B$10041,0)+3,
       MATCH(AM$3,'생산수량Back-Data'!$B$3:$AAA$3,0))</f>
        <v>0</v>
      </c>
      <c r="AN20" s="310" cm="1">
        <f t="array" ref="AN20">INDEX('생산수량Back-Data'!$B$5:$AAA$10041,
       MATCH($B19,'생산수량Back-Data'!$B$5:$B$10041,0)+3,
       MATCH(AN$3,'생산수량Back-Data'!$B$3:$AAA$3,0))</f>
        <v>0</v>
      </c>
      <c r="AO20" s="310" cm="1">
        <f t="array" ref="AO20">INDEX('생산수량Back-Data'!$B$5:$AAA$10041,
       MATCH($B19,'생산수량Back-Data'!$B$5:$B$10041,0)+3,
       MATCH(AO$3,'생산수량Back-Data'!$B$3:$AAA$3,0))</f>
        <v>0</v>
      </c>
      <c r="AP20" s="310" cm="1">
        <f t="array" ref="AP20">INDEX('생산수량Back-Data'!$B$5:$AAA$10041,
       MATCH($B19,'생산수량Back-Data'!$B$5:$B$10041,0)+3,
       MATCH(AP$3,'생산수량Back-Data'!$B$3:$AAA$3,0))</f>
        <v>0</v>
      </c>
      <c r="AQ20" s="310" cm="1">
        <f t="array" ref="AQ20">INDEX('생산수량Back-Data'!$B$5:$AAA$10041,
       MATCH($B19,'생산수량Back-Data'!$B$5:$B$10041,0)+3,
       MATCH(AQ$3,'생산수량Back-Data'!$B$3:$AAA$3,0))</f>
        <v>0</v>
      </c>
      <c r="AR20" s="310" cm="1">
        <f t="array" ref="AR20">INDEX('생산수량Back-Data'!$B$5:$AAA$10041,
       MATCH($B19,'생산수량Back-Data'!$B$5:$B$10041,0)+3,
       MATCH(AR$3,'생산수량Back-Data'!$B$3:$AAA$3,0))</f>
        <v>0</v>
      </c>
      <c r="AS20" s="310" cm="1">
        <f t="array" ref="AS20">INDEX('생산수량Back-Data'!$B$5:$AAA$10041,
       MATCH($B19,'생산수량Back-Data'!$B$5:$B$10041,0)+3,
       MATCH(AS$3,'생산수량Back-Data'!$B$3:$AAA$3,0))</f>
        <v>0</v>
      </c>
      <c r="AT20" s="310" cm="1">
        <f t="array" ref="AT20">INDEX('생산수량Back-Data'!$B$5:$AAA$10041,
       MATCH($B19,'생산수량Back-Data'!$B$5:$B$10041,0)+3,
       MATCH(AT$3,'생산수량Back-Data'!$B$3:$AAA$3,0))</f>
        <v>0</v>
      </c>
      <c r="AU20" s="324" cm="1">
        <f t="array" ref="AU20">INDEX('생산수량Back-Data'!$B$5:$AAA$10041,
       MATCH($B19,'생산수량Back-Data'!$B$5:$B$10041,0)+3,
       MATCH(AU$3,'생산수량Back-Data'!$B$3:$AAA$3,0))</f>
        <v>0</v>
      </c>
    </row>
    <row r="21" spans="2:47" ht="32.1" customHeight="1" x14ac:dyDescent="0.3">
      <c r="B21" s="449" t="s">
        <v>40</v>
      </c>
      <c r="C21" s="449" t="s">
        <v>185</v>
      </c>
      <c r="D21" s="449" t="s">
        <v>189</v>
      </c>
      <c r="E21" s="446">
        <f>ABS(SUMIFS('Fixture 총 발주수량'!V:V,'Fixture 총 발주수량'!B:B,'클린룸 생산계획'!B21,'Fixture 총 발주수량'!V:V,"&lt;0"))</f>
        <v>1941</v>
      </c>
      <c r="F21" s="435">
        <f>G21-E21</f>
        <v>-1941</v>
      </c>
      <c r="G21" s="435">
        <f>SUMIF(Q21:AU21, "&gt;0")</f>
        <v>0</v>
      </c>
      <c r="H21" s="435">
        <f>SUMIF(Q22:AU22, "&gt;0")</f>
        <v>0</v>
      </c>
      <c r="I21" s="448">
        <f>IFERROR(H21/G21,)</f>
        <v>0</v>
      </c>
      <c r="J21" s="435">
        <f ca="1">IFERROR(SUMIF('Fixture 총 발주수량'!B:AG,'클린룸 생산계획'!B21,'Fixture 총 발주수량'!Y:Y),)</f>
        <v>0</v>
      </c>
      <c r="K21" s="435">
        <f ca="1">IFERROR(SUMIF('Fixture 총 발주수량'!B:AG,'클린룸 생산계획'!B21,'Fixture 총 발주수량'!W:W),)</f>
        <v>0</v>
      </c>
      <c r="L21" s="446">
        <f>ROUNDUP(E21/2000,)</f>
        <v>1</v>
      </c>
      <c r="M21" s="446">
        <f>M19+L21</f>
        <v>9</v>
      </c>
      <c r="N21" s="446">
        <f>M21+L21</f>
        <v>10</v>
      </c>
      <c r="O21" s="446">
        <f>O19+L21</f>
        <v>9</v>
      </c>
      <c r="P21" s="336" t="s">
        <v>264</v>
      </c>
      <c r="Q21" s="420"/>
      <c r="R21" s="338"/>
      <c r="S21" s="338"/>
      <c r="T21" s="338"/>
      <c r="U21" s="338"/>
      <c r="V21" s="338"/>
      <c r="W21" s="338"/>
      <c r="X21" s="338"/>
      <c r="Y21" s="338"/>
      <c r="Z21" s="338"/>
      <c r="AA21" s="338"/>
      <c r="AB21" s="338"/>
      <c r="AC21" s="338"/>
      <c r="AD21" s="338"/>
      <c r="AE21" s="338"/>
      <c r="AF21" s="338"/>
      <c r="AG21" s="338"/>
      <c r="AH21" s="338"/>
      <c r="AI21" s="338"/>
      <c r="AJ21" s="338"/>
      <c r="AK21" s="338"/>
      <c r="AL21" s="338"/>
      <c r="AM21" s="338"/>
      <c r="AN21" s="338"/>
      <c r="AO21" s="338"/>
      <c r="AP21" s="338"/>
      <c r="AQ21" s="338"/>
      <c r="AR21" s="338"/>
      <c r="AS21" s="338"/>
      <c r="AT21" s="338"/>
      <c r="AU21" s="316"/>
    </row>
    <row r="22" spans="2:47" ht="32.1" customHeight="1" x14ac:dyDescent="0.3">
      <c r="B22" s="445"/>
      <c r="C22" s="445"/>
      <c r="D22" s="445"/>
      <c r="E22" s="439"/>
      <c r="F22" s="436"/>
      <c r="G22" s="436"/>
      <c r="H22" s="436"/>
      <c r="I22" s="443"/>
      <c r="J22" s="436"/>
      <c r="K22" s="436"/>
      <c r="L22" s="439"/>
      <c r="M22" s="439"/>
      <c r="N22" s="439"/>
      <c r="O22" s="439"/>
      <c r="P22" s="306" t="s">
        <v>266</v>
      </c>
      <c r="Q22" s="327" cm="1">
        <f t="array" ref="Q22">INDEX('생산수량Back-Data'!$B$5:$AAA$10041,
       MATCH($B21,'생산수량Back-Data'!$B$5:$B$10041,0)+3,
       MATCH(Q$3,'생산수량Back-Data'!$B$3:$AAA$3,0))</f>
        <v>0</v>
      </c>
      <c r="R22" s="328" cm="1">
        <f t="array" ref="R22">INDEX('생산수량Back-Data'!$B$5:$AAA$10041,
       MATCH($B21,'생산수량Back-Data'!$B$5:$B$10041,0)+3,
       MATCH(R$3,'생산수량Back-Data'!$B$3:$AAA$3,0))</f>
        <v>0</v>
      </c>
      <c r="S22" s="328" cm="1">
        <f t="array" ref="S22">INDEX('생산수량Back-Data'!$B$5:$AAA$10041,
       MATCH($B21,'생산수량Back-Data'!$B$5:$B$10041,0)+3,
       MATCH(S$3,'생산수량Back-Data'!$B$3:$AAA$3,0))</f>
        <v>0</v>
      </c>
      <c r="T22" s="328" cm="1">
        <f t="array" ref="T22">INDEX('생산수량Back-Data'!$B$5:$AAA$10041,
       MATCH($B21,'생산수량Back-Data'!$B$5:$B$10041,0)+3,
       MATCH(T$3,'생산수량Back-Data'!$B$3:$AAA$3,0))</f>
        <v>0</v>
      </c>
      <c r="U22" s="328" cm="1">
        <f t="array" ref="U22">INDEX('생산수량Back-Data'!$B$5:$AAA$10041,
       MATCH($B21,'생산수량Back-Data'!$B$5:$B$10041,0)+3,
       MATCH(U$3,'생산수량Back-Data'!$B$3:$AAA$3,0))</f>
        <v>0</v>
      </c>
      <c r="V22" s="328" cm="1">
        <f t="array" ref="V22">INDEX('생산수량Back-Data'!$B$5:$AAA$10041,
       MATCH($B21,'생산수량Back-Data'!$B$5:$B$10041,0)+3,
       MATCH(V$3,'생산수량Back-Data'!$B$3:$AAA$3,0))</f>
        <v>0</v>
      </c>
      <c r="W22" s="328" cm="1">
        <f t="array" ref="W22">INDEX('생산수량Back-Data'!$B$5:$AAA$10041,
       MATCH($B21,'생산수량Back-Data'!$B$5:$B$10041,0)+3,
       MATCH(W$3,'생산수량Back-Data'!$B$3:$AAA$3,0))</f>
        <v>0</v>
      </c>
      <c r="X22" s="328" cm="1">
        <f t="array" ref="X22">INDEX('생산수량Back-Data'!$B$5:$AAA$10041,
       MATCH($B21,'생산수량Back-Data'!$B$5:$B$10041,0)+3,
       MATCH(X$3,'생산수량Back-Data'!$B$3:$AAA$3,0))</f>
        <v>0</v>
      </c>
      <c r="Y22" s="328" cm="1">
        <f t="array" ref="Y22">INDEX('생산수량Back-Data'!$B$5:$AAA$10041,
       MATCH($B21,'생산수량Back-Data'!$B$5:$B$10041,0)+3,
       MATCH(Y$3,'생산수량Back-Data'!$B$3:$AAA$3,0))</f>
        <v>0</v>
      </c>
      <c r="Z22" s="328" cm="1">
        <f t="array" ref="Z22">INDEX('생산수량Back-Data'!$B$5:$AAA$10041,
       MATCH($B21,'생산수량Back-Data'!$B$5:$B$10041,0)+3,
       MATCH(Z$3,'생산수량Back-Data'!$B$3:$AAA$3,0))</f>
        <v>0</v>
      </c>
      <c r="AA22" s="328" cm="1">
        <f t="array" ref="AA22">INDEX('생산수량Back-Data'!$B$5:$AAA$10041,
       MATCH($B21,'생산수량Back-Data'!$B$5:$B$10041,0)+3,
       MATCH(AA$3,'생산수량Back-Data'!$B$3:$AAA$3,0))</f>
        <v>0</v>
      </c>
      <c r="AB22" s="328" cm="1">
        <f t="array" ref="AB22">INDEX('생산수량Back-Data'!$B$5:$AAA$10041,
       MATCH($B21,'생산수량Back-Data'!$B$5:$B$10041,0)+3,
       MATCH(AB$3,'생산수량Back-Data'!$B$3:$AAA$3,0))</f>
        <v>0</v>
      </c>
      <c r="AC22" s="328" cm="1">
        <f t="array" ref="AC22">INDEX('생산수량Back-Data'!$B$5:$AAA$10041,
       MATCH($B21,'생산수량Back-Data'!$B$5:$B$10041,0)+3,
       MATCH(AC$3,'생산수량Back-Data'!$B$3:$AAA$3,0))</f>
        <v>0</v>
      </c>
      <c r="AD22" s="328" cm="1">
        <f t="array" ref="AD22">INDEX('생산수량Back-Data'!$B$5:$AAA$10041,
       MATCH($B21,'생산수량Back-Data'!$B$5:$B$10041,0)+3,
       MATCH(AD$3,'생산수량Back-Data'!$B$3:$AAA$3,0))</f>
        <v>0</v>
      </c>
      <c r="AE22" s="328" cm="1">
        <f t="array" ref="AE22">INDEX('생산수량Back-Data'!$B$5:$AAA$10041,
       MATCH($B21,'생산수량Back-Data'!$B$5:$B$10041,0)+3,
       MATCH(AE$3,'생산수량Back-Data'!$B$3:$AAA$3,0))</f>
        <v>0</v>
      </c>
      <c r="AF22" s="328" cm="1">
        <f t="array" ref="AF22">INDEX('생산수량Back-Data'!$B$5:$AAA$10041,
       MATCH($B21,'생산수량Back-Data'!$B$5:$B$10041,0)+3,
       MATCH(AF$3,'생산수량Back-Data'!$B$3:$AAA$3,0))</f>
        <v>0</v>
      </c>
      <c r="AG22" s="328" cm="1">
        <f t="array" ref="AG22">INDEX('생산수량Back-Data'!$B$5:$AAA$10041,
       MATCH($B21,'생산수량Back-Data'!$B$5:$B$10041,0)+3,
       MATCH(AG$3,'생산수량Back-Data'!$B$3:$AAA$3,0))</f>
        <v>0</v>
      </c>
      <c r="AH22" s="328" cm="1">
        <f t="array" ref="AH22">INDEX('생산수량Back-Data'!$B$5:$AAA$10041,
       MATCH($B21,'생산수량Back-Data'!$B$5:$B$10041,0)+3,
       MATCH(AH$3,'생산수량Back-Data'!$B$3:$AAA$3,0))</f>
        <v>0</v>
      </c>
      <c r="AI22" s="328" cm="1">
        <f t="array" ref="AI22">INDEX('생산수량Back-Data'!$B$5:$AAA$10041,
       MATCH($B21,'생산수량Back-Data'!$B$5:$B$10041,0)+3,
       MATCH(AI$3,'생산수량Back-Data'!$B$3:$AAA$3,0))</f>
        <v>0</v>
      </c>
      <c r="AJ22" s="328" cm="1">
        <f t="array" ref="AJ22">INDEX('생산수량Back-Data'!$B$5:$AAA$10041,
       MATCH($B21,'생산수량Back-Data'!$B$5:$B$10041,0)+3,
       MATCH(AJ$3,'생산수량Back-Data'!$B$3:$AAA$3,0))</f>
        <v>0</v>
      </c>
      <c r="AK22" s="328" cm="1">
        <f t="array" ref="AK22">INDEX('생산수량Back-Data'!$B$5:$AAA$10041,
       MATCH($B21,'생산수량Back-Data'!$B$5:$B$10041,0)+3,
       MATCH(AK$3,'생산수량Back-Data'!$B$3:$AAA$3,0))</f>
        <v>0</v>
      </c>
      <c r="AL22" s="328" cm="1">
        <f t="array" ref="AL22">INDEX('생산수량Back-Data'!$B$5:$AAA$10041,
       MATCH($B21,'생산수량Back-Data'!$B$5:$B$10041,0)+3,
       MATCH(AL$3,'생산수량Back-Data'!$B$3:$AAA$3,0))</f>
        <v>0</v>
      </c>
      <c r="AM22" s="328" cm="1">
        <f t="array" ref="AM22">INDEX('생산수량Back-Data'!$B$5:$AAA$10041,
       MATCH($B21,'생산수량Back-Data'!$B$5:$B$10041,0)+3,
       MATCH(AM$3,'생산수량Back-Data'!$B$3:$AAA$3,0))</f>
        <v>0</v>
      </c>
      <c r="AN22" s="328" cm="1">
        <f t="array" ref="AN22">INDEX('생산수량Back-Data'!$B$5:$AAA$10041,
       MATCH($B21,'생산수량Back-Data'!$B$5:$B$10041,0)+3,
       MATCH(AN$3,'생산수량Back-Data'!$B$3:$AAA$3,0))</f>
        <v>0</v>
      </c>
      <c r="AO22" s="328" cm="1">
        <f t="array" ref="AO22">INDEX('생산수량Back-Data'!$B$5:$AAA$10041,
       MATCH($B21,'생산수량Back-Data'!$B$5:$B$10041,0)+3,
       MATCH(AO$3,'생산수량Back-Data'!$B$3:$AAA$3,0))</f>
        <v>0</v>
      </c>
      <c r="AP22" s="328" cm="1">
        <f t="array" ref="AP22">INDEX('생산수량Back-Data'!$B$5:$AAA$10041,
       MATCH($B21,'생산수량Back-Data'!$B$5:$B$10041,0)+3,
       MATCH(AP$3,'생산수량Back-Data'!$B$3:$AAA$3,0))</f>
        <v>0</v>
      </c>
      <c r="AQ22" s="328" cm="1">
        <f t="array" ref="AQ22">INDEX('생산수량Back-Data'!$B$5:$AAA$10041,
       MATCH($B21,'생산수량Back-Data'!$B$5:$B$10041,0)+3,
       MATCH(AQ$3,'생산수량Back-Data'!$B$3:$AAA$3,0))</f>
        <v>0</v>
      </c>
      <c r="AR22" s="328" cm="1">
        <f t="array" ref="AR22">INDEX('생산수량Back-Data'!$B$5:$AAA$10041,
       MATCH($B21,'생산수량Back-Data'!$B$5:$B$10041,0)+3,
       MATCH(AR$3,'생산수량Back-Data'!$B$3:$AAA$3,0))</f>
        <v>0</v>
      </c>
      <c r="AS22" s="328" cm="1">
        <f t="array" ref="AS22">INDEX('생산수량Back-Data'!$B$5:$AAA$10041,
       MATCH($B21,'생산수량Back-Data'!$B$5:$B$10041,0)+3,
       MATCH(AS$3,'생산수량Back-Data'!$B$3:$AAA$3,0))</f>
        <v>0</v>
      </c>
      <c r="AT22" s="328" cm="1">
        <f t="array" ref="AT22">INDEX('생산수량Back-Data'!$B$5:$AAA$10041,
       MATCH($B21,'생산수량Back-Data'!$B$5:$B$10041,0)+3,
       MATCH(AT$3,'생산수량Back-Data'!$B$3:$AAA$3,0))</f>
        <v>0</v>
      </c>
      <c r="AU22" s="324" cm="1">
        <f t="array" ref="AU22">INDEX('생산수량Back-Data'!$B$5:$AAA$10041,
       MATCH($B21,'생산수량Back-Data'!$B$5:$B$10041,0)+3,
       MATCH(AU$3,'생산수량Back-Data'!$B$3:$AAA$3,0))</f>
        <v>0</v>
      </c>
    </row>
    <row r="23" spans="2:47" ht="32.1" customHeight="1" x14ac:dyDescent="0.3">
      <c r="B23" s="444" t="s">
        <v>41</v>
      </c>
      <c r="C23" s="444" t="s">
        <v>185</v>
      </c>
      <c r="D23" s="444" t="s">
        <v>190</v>
      </c>
      <c r="E23" s="438">
        <f>ABS(SUMIFS('Fixture 총 발주수량'!V:V,'Fixture 총 발주수량'!B:B,'클린룸 생산계획'!B23,'Fixture 총 발주수량'!V:V,"&lt;0"))</f>
        <v>3379</v>
      </c>
      <c r="F23" s="437">
        <f>G23-E23</f>
        <v>-3379</v>
      </c>
      <c r="G23" s="437">
        <f>SUMIF(Q23:AU23, "&gt;0")</f>
        <v>0</v>
      </c>
      <c r="H23" s="437">
        <f>SUMIF(Q24:AU24, "&gt;0")</f>
        <v>0</v>
      </c>
      <c r="I23" s="442">
        <f>IFERROR(H23/G23,)</f>
        <v>0</v>
      </c>
      <c r="J23" s="437">
        <f ca="1">IFERROR(SUMIF('Fixture 총 발주수량'!B:AG,'클린룸 생산계획'!B23,'Fixture 총 발주수량'!Y:Y),)</f>
        <v>320</v>
      </c>
      <c r="K23" s="437">
        <f ca="1">IFERROR(SUMIF('Fixture 총 발주수량'!B:AG,'클린룸 생산계획'!B23,'Fixture 총 발주수량'!W:W),)</f>
        <v>276</v>
      </c>
      <c r="L23" s="438">
        <f>ROUNDUP(E23/2000,)</f>
        <v>2</v>
      </c>
      <c r="M23" s="438">
        <f>M21+L23</f>
        <v>11</v>
      </c>
      <c r="N23" s="438">
        <f>M23+L23</f>
        <v>13</v>
      </c>
      <c r="O23" s="438">
        <f>O21+L23</f>
        <v>11</v>
      </c>
      <c r="P23" s="306" t="s">
        <v>264</v>
      </c>
      <c r="Q23" s="325"/>
      <c r="R23" s="312"/>
      <c r="S23" s="312"/>
      <c r="T23" s="312"/>
      <c r="U23" s="312"/>
      <c r="V23" s="312"/>
      <c r="W23" s="312"/>
      <c r="X23" s="312"/>
      <c r="Y23" s="312"/>
      <c r="Z23" s="312"/>
      <c r="AA23" s="312"/>
      <c r="AB23" s="312"/>
      <c r="AC23" s="312"/>
      <c r="AD23" s="312"/>
      <c r="AE23" s="312"/>
      <c r="AF23" s="312"/>
      <c r="AG23" s="312"/>
      <c r="AH23" s="312"/>
      <c r="AI23" s="312"/>
      <c r="AJ23" s="312"/>
      <c r="AK23" s="312"/>
      <c r="AL23" s="312"/>
      <c r="AM23" s="312"/>
      <c r="AN23" s="312"/>
      <c r="AO23" s="312"/>
      <c r="AP23" s="312"/>
      <c r="AQ23" s="312"/>
      <c r="AR23" s="312"/>
      <c r="AS23" s="312"/>
      <c r="AT23" s="312"/>
      <c r="AU23" s="313"/>
    </row>
    <row r="24" spans="2:47" ht="32.1" customHeight="1" x14ac:dyDescent="0.3">
      <c r="B24" s="445"/>
      <c r="C24" s="445"/>
      <c r="D24" s="445"/>
      <c r="E24" s="439"/>
      <c r="F24" s="436"/>
      <c r="G24" s="436"/>
      <c r="H24" s="436"/>
      <c r="I24" s="443"/>
      <c r="J24" s="436"/>
      <c r="K24" s="436"/>
      <c r="L24" s="439"/>
      <c r="M24" s="439"/>
      <c r="N24" s="439"/>
      <c r="O24" s="439"/>
      <c r="P24" s="306" t="s">
        <v>266</v>
      </c>
      <c r="Q24" s="323" cm="1">
        <f t="array" ref="Q24">INDEX('생산수량Back-Data'!$B$5:$AAA$10041,
       MATCH($B23,'생산수량Back-Data'!$B$5:$B$10041,0)+3,
       MATCH(Q$3,'생산수량Back-Data'!$B$3:$AAA$3,0))</f>
        <v>0</v>
      </c>
      <c r="R24" s="310" cm="1">
        <f t="array" ref="R24">INDEX('생산수량Back-Data'!$B$5:$AAA$10041,
       MATCH($B23,'생산수량Back-Data'!$B$5:$B$10041,0)+3,
       MATCH(R$3,'생산수량Back-Data'!$B$3:$AAA$3,0))</f>
        <v>0</v>
      </c>
      <c r="S24" s="310" cm="1">
        <f t="array" ref="S24">INDEX('생산수량Back-Data'!$B$5:$AAA$10041,
       MATCH($B23,'생산수량Back-Data'!$B$5:$B$10041,0)+3,
       MATCH(S$3,'생산수량Back-Data'!$B$3:$AAA$3,0))</f>
        <v>0</v>
      </c>
      <c r="T24" s="310" cm="1">
        <f t="array" ref="T24">INDEX('생산수량Back-Data'!$B$5:$AAA$10041,
       MATCH($B23,'생산수량Back-Data'!$B$5:$B$10041,0)+3,
       MATCH(T$3,'생산수량Back-Data'!$B$3:$AAA$3,0))</f>
        <v>0</v>
      </c>
      <c r="U24" s="310" cm="1">
        <f t="array" ref="U24">INDEX('생산수량Back-Data'!$B$5:$AAA$10041,
       MATCH($B23,'생산수량Back-Data'!$B$5:$B$10041,0)+3,
       MATCH(U$3,'생산수량Back-Data'!$B$3:$AAA$3,0))</f>
        <v>0</v>
      </c>
      <c r="V24" s="310" cm="1">
        <f t="array" ref="V24">INDEX('생산수량Back-Data'!$B$5:$AAA$10041,
       MATCH($B23,'생산수량Back-Data'!$B$5:$B$10041,0)+3,
       MATCH(V$3,'생산수량Back-Data'!$B$3:$AAA$3,0))</f>
        <v>0</v>
      </c>
      <c r="W24" s="310" cm="1">
        <f t="array" ref="W24">INDEX('생산수량Back-Data'!$B$5:$AAA$10041,
       MATCH($B23,'생산수량Back-Data'!$B$5:$B$10041,0)+3,
       MATCH(W$3,'생산수량Back-Data'!$B$3:$AAA$3,0))</f>
        <v>0</v>
      </c>
      <c r="X24" s="310" cm="1">
        <f t="array" ref="X24">INDEX('생산수량Back-Data'!$B$5:$AAA$10041,
       MATCH($B23,'생산수량Back-Data'!$B$5:$B$10041,0)+3,
       MATCH(X$3,'생산수량Back-Data'!$B$3:$AAA$3,0))</f>
        <v>0</v>
      </c>
      <c r="Y24" s="310" cm="1">
        <f t="array" ref="Y24">INDEX('생산수량Back-Data'!$B$5:$AAA$10041,
       MATCH($B23,'생산수량Back-Data'!$B$5:$B$10041,0)+3,
       MATCH(Y$3,'생산수량Back-Data'!$B$3:$AAA$3,0))</f>
        <v>0</v>
      </c>
      <c r="Z24" s="310" cm="1">
        <f t="array" ref="Z24">INDEX('생산수량Back-Data'!$B$5:$AAA$10041,
       MATCH($B23,'생산수량Back-Data'!$B$5:$B$10041,0)+3,
       MATCH(Z$3,'생산수량Back-Data'!$B$3:$AAA$3,0))</f>
        <v>0</v>
      </c>
      <c r="AA24" s="310" cm="1">
        <f t="array" ref="AA24">INDEX('생산수량Back-Data'!$B$5:$AAA$10041,
       MATCH($B23,'생산수량Back-Data'!$B$5:$B$10041,0)+3,
       MATCH(AA$3,'생산수량Back-Data'!$B$3:$AAA$3,0))</f>
        <v>0</v>
      </c>
      <c r="AB24" s="310" cm="1">
        <f t="array" ref="AB24">INDEX('생산수량Back-Data'!$B$5:$AAA$10041,
       MATCH($B23,'생산수량Back-Data'!$B$5:$B$10041,0)+3,
       MATCH(AB$3,'생산수량Back-Data'!$B$3:$AAA$3,0))</f>
        <v>0</v>
      </c>
      <c r="AC24" s="310" cm="1">
        <f t="array" ref="AC24">INDEX('생산수량Back-Data'!$B$5:$AAA$10041,
       MATCH($B23,'생산수량Back-Data'!$B$5:$B$10041,0)+3,
       MATCH(AC$3,'생산수량Back-Data'!$B$3:$AAA$3,0))</f>
        <v>0</v>
      </c>
      <c r="AD24" s="310" cm="1">
        <f t="array" ref="AD24">INDEX('생산수량Back-Data'!$B$5:$AAA$10041,
       MATCH($B23,'생산수량Back-Data'!$B$5:$B$10041,0)+3,
       MATCH(AD$3,'생산수량Back-Data'!$B$3:$AAA$3,0))</f>
        <v>0</v>
      </c>
      <c r="AE24" s="310" cm="1">
        <f t="array" ref="AE24">INDEX('생산수량Back-Data'!$B$5:$AAA$10041,
       MATCH($B23,'생산수량Back-Data'!$B$5:$B$10041,0)+3,
       MATCH(AE$3,'생산수량Back-Data'!$B$3:$AAA$3,0))</f>
        <v>0</v>
      </c>
      <c r="AF24" s="310" cm="1">
        <f t="array" ref="AF24">INDEX('생산수량Back-Data'!$B$5:$AAA$10041,
       MATCH($B23,'생산수량Back-Data'!$B$5:$B$10041,0)+3,
       MATCH(AF$3,'생산수량Back-Data'!$B$3:$AAA$3,0))</f>
        <v>0</v>
      </c>
      <c r="AG24" s="310" cm="1">
        <f t="array" ref="AG24">INDEX('생산수량Back-Data'!$B$5:$AAA$10041,
       MATCH($B23,'생산수량Back-Data'!$B$5:$B$10041,0)+3,
       MATCH(AG$3,'생산수량Back-Data'!$B$3:$AAA$3,0))</f>
        <v>0</v>
      </c>
      <c r="AH24" s="310" cm="1">
        <f t="array" ref="AH24">INDEX('생산수량Back-Data'!$B$5:$AAA$10041,
       MATCH($B23,'생산수량Back-Data'!$B$5:$B$10041,0)+3,
       MATCH(AH$3,'생산수량Back-Data'!$B$3:$AAA$3,0))</f>
        <v>0</v>
      </c>
      <c r="AI24" s="310" cm="1">
        <f t="array" ref="AI24">INDEX('생산수량Back-Data'!$B$5:$AAA$10041,
       MATCH($B23,'생산수량Back-Data'!$B$5:$B$10041,0)+3,
       MATCH(AI$3,'생산수량Back-Data'!$B$3:$AAA$3,0))</f>
        <v>0</v>
      </c>
      <c r="AJ24" s="310" cm="1">
        <f t="array" ref="AJ24">INDEX('생산수량Back-Data'!$B$5:$AAA$10041,
       MATCH($B23,'생산수량Back-Data'!$B$5:$B$10041,0)+3,
       MATCH(AJ$3,'생산수량Back-Data'!$B$3:$AAA$3,0))</f>
        <v>0</v>
      </c>
      <c r="AK24" s="310" cm="1">
        <f t="array" ref="AK24">INDEX('생산수량Back-Data'!$B$5:$AAA$10041,
       MATCH($B23,'생산수량Back-Data'!$B$5:$B$10041,0)+3,
       MATCH(AK$3,'생산수량Back-Data'!$B$3:$AAA$3,0))</f>
        <v>0</v>
      </c>
      <c r="AL24" s="310" cm="1">
        <f t="array" ref="AL24">INDEX('생산수량Back-Data'!$B$5:$AAA$10041,
       MATCH($B23,'생산수량Back-Data'!$B$5:$B$10041,0)+3,
       MATCH(AL$3,'생산수량Back-Data'!$B$3:$AAA$3,0))</f>
        <v>0</v>
      </c>
      <c r="AM24" s="310" cm="1">
        <f t="array" ref="AM24">INDEX('생산수량Back-Data'!$B$5:$AAA$10041,
       MATCH($B23,'생산수량Back-Data'!$B$5:$B$10041,0)+3,
       MATCH(AM$3,'생산수량Back-Data'!$B$3:$AAA$3,0))</f>
        <v>0</v>
      </c>
      <c r="AN24" s="310" cm="1">
        <f t="array" ref="AN24">INDEX('생산수량Back-Data'!$B$5:$AAA$10041,
       MATCH($B23,'생산수량Back-Data'!$B$5:$B$10041,0)+3,
       MATCH(AN$3,'생산수량Back-Data'!$B$3:$AAA$3,0))</f>
        <v>0</v>
      </c>
      <c r="AO24" s="310" cm="1">
        <f t="array" ref="AO24">INDEX('생산수량Back-Data'!$B$5:$AAA$10041,
       MATCH($B23,'생산수량Back-Data'!$B$5:$B$10041,0)+3,
       MATCH(AO$3,'생산수량Back-Data'!$B$3:$AAA$3,0))</f>
        <v>0</v>
      </c>
      <c r="AP24" s="310" cm="1">
        <f t="array" ref="AP24">INDEX('생산수량Back-Data'!$B$5:$AAA$10041,
       MATCH($B23,'생산수량Back-Data'!$B$5:$B$10041,0)+3,
       MATCH(AP$3,'생산수량Back-Data'!$B$3:$AAA$3,0))</f>
        <v>0</v>
      </c>
      <c r="AQ24" s="310" cm="1">
        <f t="array" ref="AQ24">INDEX('생산수량Back-Data'!$B$5:$AAA$10041,
       MATCH($B23,'생산수량Back-Data'!$B$5:$B$10041,0)+3,
       MATCH(AQ$3,'생산수량Back-Data'!$B$3:$AAA$3,0))</f>
        <v>0</v>
      </c>
      <c r="AR24" s="310" cm="1">
        <f t="array" ref="AR24">INDEX('생산수량Back-Data'!$B$5:$AAA$10041,
       MATCH($B23,'생산수량Back-Data'!$B$5:$B$10041,0)+3,
       MATCH(AR$3,'생산수량Back-Data'!$B$3:$AAA$3,0))</f>
        <v>0</v>
      </c>
      <c r="AS24" s="310" cm="1">
        <f t="array" ref="AS24">INDEX('생산수량Back-Data'!$B$5:$AAA$10041,
       MATCH($B23,'생산수량Back-Data'!$B$5:$B$10041,0)+3,
       MATCH(AS$3,'생산수량Back-Data'!$B$3:$AAA$3,0))</f>
        <v>0</v>
      </c>
      <c r="AT24" s="310" cm="1">
        <f t="array" ref="AT24">INDEX('생산수량Back-Data'!$B$5:$AAA$10041,
       MATCH($B23,'생산수량Back-Data'!$B$5:$B$10041,0)+3,
       MATCH(AT$3,'생산수량Back-Data'!$B$3:$AAA$3,0))</f>
        <v>0</v>
      </c>
      <c r="AU24" s="324" cm="1">
        <f t="array" ref="AU24">INDEX('생산수량Back-Data'!$B$5:$AAA$10041,
       MATCH($B23,'생산수량Back-Data'!$B$5:$B$10041,0)+3,
       MATCH(AU$3,'생산수량Back-Data'!$B$3:$AAA$3,0))</f>
        <v>0</v>
      </c>
    </row>
    <row r="25" spans="2:47" ht="32.1" customHeight="1" x14ac:dyDescent="0.3">
      <c r="B25" s="444" t="s">
        <v>42</v>
      </c>
      <c r="C25" s="444" t="s">
        <v>185</v>
      </c>
      <c r="D25" s="444" t="s">
        <v>191</v>
      </c>
      <c r="E25" s="438">
        <f>ABS(SUMIFS('Fixture 총 발주수량'!V:V,'Fixture 총 발주수량'!B:B,'클린룸 생산계획'!B25,'Fixture 총 발주수량'!V:V,"&lt;0"))</f>
        <v>2405</v>
      </c>
      <c r="F25" s="437">
        <f>G25-E25</f>
        <v>-2405</v>
      </c>
      <c r="G25" s="437">
        <f>SUMIF(Q25:AU25, "&gt;0")</f>
        <v>0</v>
      </c>
      <c r="H25" s="437">
        <f>SUMIF(Q26:AU26, "&gt;0")</f>
        <v>0</v>
      </c>
      <c r="I25" s="442">
        <f>IFERROR(H25/G25,)</f>
        <v>0</v>
      </c>
      <c r="J25" s="437">
        <f ca="1">IFERROR(SUMIF('Fixture 총 발주수량'!B:AG,'클린룸 생산계획'!B25,'Fixture 총 발주수량'!Y:Y),)</f>
        <v>0</v>
      </c>
      <c r="K25" s="437">
        <f ca="1">IFERROR(SUMIF('Fixture 총 발주수량'!B:AG,'클린룸 생산계획'!B25,'Fixture 총 발주수량'!W:W),)</f>
        <v>0</v>
      </c>
      <c r="L25" s="438">
        <f>ROUNDUP(E25/2000,)</f>
        <v>2</v>
      </c>
      <c r="M25" s="438">
        <f>M23+L25</f>
        <v>13</v>
      </c>
      <c r="N25" s="438">
        <f>M25+L25</f>
        <v>15</v>
      </c>
      <c r="O25" s="438">
        <f>O23+L25</f>
        <v>13</v>
      </c>
      <c r="P25" s="306" t="s">
        <v>264</v>
      </c>
      <c r="Q25" s="325"/>
      <c r="R25" s="312"/>
      <c r="S25" s="312"/>
      <c r="T25" s="312"/>
      <c r="U25" s="312"/>
      <c r="V25" s="312"/>
      <c r="W25" s="312"/>
      <c r="X25" s="312"/>
      <c r="Y25" s="312"/>
      <c r="Z25" s="312"/>
      <c r="AA25" s="312"/>
      <c r="AB25" s="312"/>
      <c r="AC25" s="312"/>
      <c r="AD25" s="312"/>
      <c r="AE25" s="312"/>
      <c r="AF25" s="312"/>
      <c r="AG25" s="312"/>
      <c r="AH25" s="312"/>
      <c r="AI25" s="312"/>
      <c r="AJ25" s="312"/>
      <c r="AK25" s="312"/>
      <c r="AL25" s="312"/>
      <c r="AM25" s="312"/>
      <c r="AN25" s="312"/>
      <c r="AO25" s="312"/>
      <c r="AP25" s="312"/>
      <c r="AQ25" s="312"/>
      <c r="AR25" s="312"/>
      <c r="AS25" s="312"/>
      <c r="AT25" s="313"/>
      <c r="AU25" s="313"/>
    </row>
    <row r="26" spans="2:47" ht="32.1" customHeight="1" x14ac:dyDescent="0.3">
      <c r="B26" s="445"/>
      <c r="C26" s="445"/>
      <c r="D26" s="445"/>
      <c r="E26" s="439"/>
      <c r="F26" s="436"/>
      <c r="G26" s="436"/>
      <c r="H26" s="436"/>
      <c r="I26" s="443"/>
      <c r="J26" s="436"/>
      <c r="K26" s="436"/>
      <c r="L26" s="439"/>
      <c r="M26" s="439"/>
      <c r="N26" s="439"/>
      <c r="O26" s="439"/>
      <c r="P26" s="306" t="s">
        <v>266</v>
      </c>
      <c r="Q26" s="323" cm="1">
        <f t="array" ref="Q26">INDEX('생산수량Back-Data'!$B$5:$AAA$10041,
       MATCH($B25,'생산수량Back-Data'!$B$5:$B$10041,0)+3,
       MATCH(Q$3,'생산수량Back-Data'!$B$3:$AAA$3,0))</f>
        <v>0</v>
      </c>
      <c r="R26" s="310" cm="1">
        <f t="array" ref="R26">INDEX('생산수량Back-Data'!$B$5:$AAA$10041,
       MATCH($B25,'생산수량Back-Data'!$B$5:$B$10041,0)+3,
       MATCH(R$3,'생산수량Back-Data'!$B$3:$AAA$3,0))</f>
        <v>0</v>
      </c>
      <c r="S26" s="310" cm="1">
        <f t="array" ref="S26">INDEX('생산수량Back-Data'!$B$5:$AAA$10041,
       MATCH($B25,'생산수량Back-Data'!$B$5:$B$10041,0)+3,
       MATCH(S$3,'생산수량Back-Data'!$B$3:$AAA$3,0))</f>
        <v>0</v>
      </c>
      <c r="T26" s="310" cm="1">
        <f t="array" ref="T26">INDEX('생산수량Back-Data'!$B$5:$AAA$10041,
       MATCH($B25,'생산수량Back-Data'!$B$5:$B$10041,0)+3,
       MATCH(T$3,'생산수량Back-Data'!$B$3:$AAA$3,0))</f>
        <v>0</v>
      </c>
      <c r="U26" s="310" cm="1">
        <f t="array" ref="U26">INDEX('생산수량Back-Data'!$B$5:$AAA$10041,
       MATCH($B25,'생산수량Back-Data'!$B$5:$B$10041,0)+3,
       MATCH(U$3,'생산수량Back-Data'!$B$3:$AAA$3,0))</f>
        <v>0</v>
      </c>
      <c r="V26" s="310" cm="1">
        <f t="array" ref="V26">INDEX('생산수량Back-Data'!$B$5:$AAA$10041,
       MATCH($B25,'생산수량Back-Data'!$B$5:$B$10041,0)+3,
       MATCH(V$3,'생산수량Back-Data'!$B$3:$AAA$3,0))</f>
        <v>0</v>
      </c>
      <c r="W26" s="310" cm="1">
        <f t="array" ref="W26">INDEX('생산수량Back-Data'!$B$5:$AAA$10041,
       MATCH($B25,'생산수량Back-Data'!$B$5:$B$10041,0)+3,
       MATCH(W$3,'생산수량Back-Data'!$B$3:$AAA$3,0))</f>
        <v>0</v>
      </c>
      <c r="X26" s="310" cm="1">
        <f t="array" ref="X26">INDEX('생산수량Back-Data'!$B$5:$AAA$10041,
       MATCH($B25,'생산수량Back-Data'!$B$5:$B$10041,0)+3,
       MATCH(X$3,'생산수량Back-Data'!$B$3:$AAA$3,0))</f>
        <v>0</v>
      </c>
      <c r="Y26" s="310" cm="1">
        <f t="array" ref="Y26">INDEX('생산수량Back-Data'!$B$5:$AAA$10041,
       MATCH($B25,'생산수량Back-Data'!$B$5:$B$10041,0)+3,
       MATCH(Y$3,'생산수량Back-Data'!$B$3:$AAA$3,0))</f>
        <v>0</v>
      </c>
      <c r="Z26" s="310" cm="1">
        <f t="array" ref="Z26">INDEX('생산수량Back-Data'!$B$5:$AAA$10041,
       MATCH($B25,'생산수량Back-Data'!$B$5:$B$10041,0)+3,
       MATCH(Z$3,'생산수량Back-Data'!$B$3:$AAA$3,0))</f>
        <v>0</v>
      </c>
      <c r="AA26" s="310" cm="1">
        <f t="array" ref="AA26">INDEX('생산수량Back-Data'!$B$5:$AAA$10041,
       MATCH($B25,'생산수량Back-Data'!$B$5:$B$10041,0)+3,
       MATCH(AA$3,'생산수량Back-Data'!$B$3:$AAA$3,0))</f>
        <v>0</v>
      </c>
      <c r="AB26" s="310" cm="1">
        <f t="array" ref="AB26">INDEX('생산수량Back-Data'!$B$5:$AAA$10041,
       MATCH($B25,'생산수량Back-Data'!$B$5:$B$10041,0)+3,
       MATCH(AB$3,'생산수량Back-Data'!$B$3:$AAA$3,0))</f>
        <v>0</v>
      </c>
      <c r="AC26" s="310" cm="1">
        <f t="array" ref="AC26">INDEX('생산수량Back-Data'!$B$5:$AAA$10041,
       MATCH($B25,'생산수량Back-Data'!$B$5:$B$10041,0)+3,
       MATCH(AC$3,'생산수량Back-Data'!$B$3:$AAA$3,0))</f>
        <v>0</v>
      </c>
      <c r="AD26" s="310" cm="1">
        <f t="array" ref="AD26">INDEX('생산수량Back-Data'!$B$5:$AAA$10041,
       MATCH($B25,'생산수량Back-Data'!$B$5:$B$10041,0)+3,
       MATCH(AD$3,'생산수량Back-Data'!$B$3:$AAA$3,0))</f>
        <v>0</v>
      </c>
      <c r="AE26" s="310" cm="1">
        <f t="array" ref="AE26">INDEX('생산수량Back-Data'!$B$5:$AAA$10041,
       MATCH($B25,'생산수량Back-Data'!$B$5:$B$10041,0)+3,
       MATCH(AE$3,'생산수량Back-Data'!$B$3:$AAA$3,0))</f>
        <v>0</v>
      </c>
      <c r="AF26" s="310" cm="1">
        <f t="array" ref="AF26">INDEX('생산수량Back-Data'!$B$5:$AAA$10041,
       MATCH($B25,'생산수량Back-Data'!$B$5:$B$10041,0)+3,
       MATCH(AF$3,'생산수량Back-Data'!$B$3:$AAA$3,0))</f>
        <v>0</v>
      </c>
      <c r="AG26" s="310" cm="1">
        <f t="array" ref="AG26">INDEX('생산수량Back-Data'!$B$5:$AAA$10041,
       MATCH($B25,'생산수량Back-Data'!$B$5:$B$10041,0)+3,
       MATCH(AG$3,'생산수량Back-Data'!$B$3:$AAA$3,0))</f>
        <v>0</v>
      </c>
      <c r="AH26" s="310" cm="1">
        <f t="array" ref="AH26">INDEX('생산수량Back-Data'!$B$5:$AAA$10041,
       MATCH($B25,'생산수량Back-Data'!$B$5:$B$10041,0)+3,
       MATCH(AH$3,'생산수량Back-Data'!$B$3:$AAA$3,0))</f>
        <v>0</v>
      </c>
      <c r="AI26" s="310" cm="1">
        <f t="array" ref="AI26">INDEX('생산수량Back-Data'!$B$5:$AAA$10041,
       MATCH($B25,'생산수량Back-Data'!$B$5:$B$10041,0)+3,
       MATCH(AI$3,'생산수량Back-Data'!$B$3:$AAA$3,0))</f>
        <v>0</v>
      </c>
      <c r="AJ26" s="310" cm="1">
        <f t="array" ref="AJ26">INDEX('생산수량Back-Data'!$B$5:$AAA$10041,
       MATCH($B25,'생산수량Back-Data'!$B$5:$B$10041,0)+3,
       MATCH(AJ$3,'생산수량Back-Data'!$B$3:$AAA$3,0))</f>
        <v>0</v>
      </c>
      <c r="AK26" s="310" cm="1">
        <f t="array" ref="AK26">INDEX('생산수량Back-Data'!$B$5:$AAA$10041,
       MATCH($B25,'생산수량Back-Data'!$B$5:$B$10041,0)+3,
       MATCH(AK$3,'생산수량Back-Data'!$B$3:$AAA$3,0))</f>
        <v>0</v>
      </c>
      <c r="AL26" s="310" cm="1">
        <f t="array" ref="AL26">INDEX('생산수량Back-Data'!$B$5:$AAA$10041,
       MATCH($B25,'생산수량Back-Data'!$B$5:$B$10041,0)+3,
       MATCH(AL$3,'생산수량Back-Data'!$B$3:$AAA$3,0))</f>
        <v>0</v>
      </c>
      <c r="AM26" s="310" cm="1">
        <f t="array" ref="AM26">INDEX('생산수량Back-Data'!$B$5:$AAA$10041,
       MATCH($B25,'생산수량Back-Data'!$B$5:$B$10041,0)+3,
       MATCH(AM$3,'생산수량Back-Data'!$B$3:$AAA$3,0))</f>
        <v>0</v>
      </c>
      <c r="AN26" s="310" cm="1">
        <f t="array" ref="AN26">INDEX('생산수량Back-Data'!$B$5:$AAA$10041,
       MATCH($B25,'생산수량Back-Data'!$B$5:$B$10041,0)+3,
       MATCH(AN$3,'생산수량Back-Data'!$B$3:$AAA$3,0))</f>
        <v>0</v>
      </c>
      <c r="AO26" s="310" cm="1">
        <f t="array" ref="AO26">INDEX('생산수량Back-Data'!$B$5:$AAA$10041,
       MATCH($B25,'생산수량Back-Data'!$B$5:$B$10041,0)+3,
       MATCH(AO$3,'생산수량Back-Data'!$B$3:$AAA$3,0))</f>
        <v>0</v>
      </c>
      <c r="AP26" s="310" cm="1">
        <f t="array" ref="AP26">INDEX('생산수량Back-Data'!$B$5:$AAA$10041,
       MATCH($B25,'생산수량Back-Data'!$B$5:$B$10041,0)+3,
       MATCH(AP$3,'생산수량Back-Data'!$B$3:$AAA$3,0))</f>
        <v>0</v>
      </c>
      <c r="AQ26" s="310" cm="1">
        <f t="array" ref="AQ26">INDEX('생산수량Back-Data'!$B$5:$AAA$10041,
       MATCH($B25,'생산수량Back-Data'!$B$5:$B$10041,0)+3,
       MATCH(AQ$3,'생산수량Back-Data'!$B$3:$AAA$3,0))</f>
        <v>0</v>
      </c>
      <c r="AR26" s="310" cm="1">
        <f t="array" ref="AR26">INDEX('생산수량Back-Data'!$B$5:$AAA$10041,
       MATCH($B25,'생산수량Back-Data'!$B$5:$B$10041,0)+3,
       MATCH(AR$3,'생산수량Back-Data'!$B$3:$AAA$3,0))</f>
        <v>0</v>
      </c>
      <c r="AS26" s="310" cm="1">
        <f t="array" ref="AS26">INDEX('생산수량Back-Data'!$B$5:$AAA$10041,
       MATCH($B25,'생산수량Back-Data'!$B$5:$B$10041,0)+3,
       MATCH(AS$3,'생산수량Back-Data'!$B$3:$AAA$3,0))</f>
        <v>0</v>
      </c>
      <c r="AT26" s="310" cm="1">
        <f t="array" ref="AT26">INDEX('생산수량Back-Data'!$B$5:$AAA$10041,
       MATCH($B25,'생산수량Back-Data'!$B$5:$B$10041,0)+3,
       MATCH(AT$3,'생산수량Back-Data'!$B$3:$AAA$3,0))</f>
        <v>0</v>
      </c>
      <c r="AU26" s="324" cm="1">
        <f t="array" ref="AU26">INDEX('생산수량Back-Data'!$B$5:$AAA$10041,
       MATCH($B25,'생산수량Back-Data'!$B$5:$B$10041,0)+3,
       MATCH(AU$3,'생산수량Back-Data'!$B$3:$AAA$3,0))</f>
        <v>0</v>
      </c>
    </row>
    <row r="27" spans="2:47" ht="32.1" customHeight="1" x14ac:dyDescent="0.3">
      <c r="B27" s="444" t="s">
        <v>43</v>
      </c>
      <c r="C27" s="444" t="s">
        <v>185</v>
      </c>
      <c r="D27" s="444" t="s">
        <v>192</v>
      </c>
      <c r="E27" s="438">
        <f>ABS(SUMIFS('Fixture 총 발주수량'!V:V,'Fixture 총 발주수량'!B:B,'클린룸 생산계획'!B27,'Fixture 총 발주수량'!V:V,"&lt;0"))</f>
        <v>580</v>
      </c>
      <c r="F27" s="437">
        <f>G27-E27</f>
        <v>-580</v>
      </c>
      <c r="G27" s="437">
        <f>SUMIF(Q27:AU27, "&gt;0")</f>
        <v>0</v>
      </c>
      <c r="H27" s="437">
        <f>SUMIF(Q28:AU28, "&gt;0")</f>
        <v>0</v>
      </c>
      <c r="I27" s="442">
        <f>IFERROR(H27/G27,)</f>
        <v>0</v>
      </c>
      <c r="J27" s="437">
        <f ca="1">IFERROR(SUMIF('Fixture 총 발주수량'!B:AG,'클린룸 생산계획'!B27,'Fixture 총 발주수량'!Y:Y),)</f>
        <v>0</v>
      </c>
      <c r="K27" s="437">
        <f ca="1">IFERROR(SUMIF('Fixture 총 발주수량'!B:AG,'클린룸 생산계획'!B27,'Fixture 총 발주수량'!W:W),)</f>
        <v>0</v>
      </c>
      <c r="L27" s="438">
        <f>ROUNDUP(E27/2000,)</f>
        <v>1</v>
      </c>
      <c r="M27" s="438">
        <f>M25+L27</f>
        <v>14</v>
      </c>
      <c r="N27" s="438">
        <f>M27+L27</f>
        <v>15</v>
      </c>
      <c r="O27" s="438">
        <f>O25+L27</f>
        <v>14</v>
      </c>
      <c r="P27" s="306" t="s">
        <v>264</v>
      </c>
      <c r="Q27" s="326"/>
      <c r="R27" s="315"/>
      <c r="S27" s="315"/>
      <c r="T27" s="315"/>
      <c r="U27" s="315"/>
      <c r="V27" s="315"/>
      <c r="W27" s="315"/>
      <c r="X27" s="315"/>
      <c r="Y27" s="315"/>
      <c r="Z27" s="315"/>
      <c r="AA27" s="315"/>
      <c r="AB27" s="315"/>
      <c r="AC27" s="315"/>
      <c r="AD27" s="315"/>
      <c r="AE27" s="315"/>
      <c r="AF27" s="315"/>
      <c r="AG27" s="315"/>
      <c r="AH27" s="315"/>
      <c r="AI27" s="315"/>
      <c r="AJ27" s="315"/>
      <c r="AK27" s="315"/>
      <c r="AL27" s="315"/>
      <c r="AM27" s="315"/>
      <c r="AN27" s="315"/>
      <c r="AO27" s="315"/>
      <c r="AP27" s="315"/>
      <c r="AQ27" s="315"/>
      <c r="AR27" s="315"/>
      <c r="AS27" s="315"/>
      <c r="AT27" s="315"/>
      <c r="AU27" s="316"/>
    </row>
    <row r="28" spans="2:47" ht="32.1" customHeight="1" thickBot="1" x14ac:dyDescent="0.35">
      <c r="B28" s="454"/>
      <c r="C28" s="454"/>
      <c r="D28" s="454"/>
      <c r="E28" s="450"/>
      <c r="F28" s="452"/>
      <c r="G28" s="452"/>
      <c r="H28" s="452"/>
      <c r="I28" s="453"/>
      <c r="J28" s="452"/>
      <c r="K28" s="452"/>
      <c r="L28" s="450"/>
      <c r="M28" s="450"/>
      <c r="N28" s="450"/>
      <c r="O28" s="450"/>
      <c r="P28" s="305" t="s">
        <v>266</v>
      </c>
      <c r="Q28" s="323" cm="1">
        <f t="array" ref="Q28">INDEX('생산수량Back-Data'!$B$5:$AAA$10041,
       MATCH($B27,'생산수량Back-Data'!$B$5:$B$10041,0)+3,
       MATCH(Q$3,'생산수량Back-Data'!$B$3:$AAA$3,0))</f>
        <v>0</v>
      </c>
      <c r="R28" s="310" cm="1">
        <f t="array" ref="R28">INDEX('생산수량Back-Data'!$B$5:$AAA$10041,
       MATCH($B27,'생산수량Back-Data'!$B$5:$B$10041,0)+3,
       MATCH(R$3,'생산수량Back-Data'!$B$3:$AAA$3,0))</f>
        <v>0</v>
      </c>
      <c r="S28" s="310" cm="1">
        <f t="array" ref="S28">INDEX('생산수량Back-Data'!$B$5:$AAA$10041,
       MATCH($B27,'생산수량Back-Data'!$B$5:$B$10041,0)+3,
       MATCH(S$3,'생산수량Back-Data'!$B$3:$AAA$3,0))</f>
        <v>0</v>
      </c>
      <c r="T28" s="310" cm="1">
        <f t="array" ref="T28">INDEX('생산수량Back-Data'!$B$5:$AAA$10041,
       MATCH($B27,'생산수량Back-Data'!$B$5:$B$10041,0)+3,
       MATCH(T$3,'생산수량Back-Data'!$B$3:$AAA$3,0))</f>
        <v>0</v>
      </c>
      <c r="U28" s="310" cm="1">
        <f t="array" ref="U28">INDEX('생산수량Back-Data'!$B$5:$AAA$10041,
       MATCH($B27,'생산수량Back-Data'!$B$5:$B$10041,0)+3,
       MATCH(U$3,'생산수량Back-Data'!$B$3:$AAA$3,0))</f>
        <v>0</v>
      </c>
      <c r="V28" s="310" cm="1">
        <f t="array" ref="V28">INDEX('생산수량Back-Data'!$B$5:$AAA$10041,
       MATCH($B27,'생산수량Back-Data'!$B$5:$B$10041,0)+3,
       MATCH(V$3,'생산수량Back-Data'!$B$3:$AAA$3,0))</f>
        <v>0</v>
      </c>
      <c r="W28" s="310" cm="1">
        <f t="array" ref="W28">INDEX('생산수량Back-Data'!$B$5:$AAA$10041,
       MATCH($B27,'생산수량Back-Data'!$B$5:$B$10041,0)+3,
       MATCH(W$3,'생산수량Back-Data'!$B$3:$AAA$3,0))</f>
        <v>0</v>
      </c>
      <c r="X28" s="310" cm="1">
        <f t="array" ref="X28">INDEX('생산수량Back-Data'!$B$5:$AAA$10041,
       MATCH($B27,'생산수량Back-Data'!$B$5:$B$10041,0)+3,
       MATCH(X$3,'생산수량Back-Data'!$B$3:$AAA$3,0))</f>
        <v>0</v>
      </c>
      <c r="Y28" s="310" cm="1">
        <f t="array" ref="Y28">INDEX('생산수량Back-Data'!$B$5:$AAA$10041,
       MATCH($B27,'생산수량Back-Data'!$B$5:$B$10041,0)+3,
       MATCH(Y$3,'생산수량Back-Data'!$B$3:$AAA$3,0))</f>
        <v>0</v>
      </c>
      <c r="Z28" s="310" cm="1">
        <f t="array" ref="Z28">INDEX('생산수량Back-Data'!$B$5:$AAA$10041,
       MATCH($B27,'생산수량Back-Data'!$B$5:$B$10041,0)+3,
       MATCH(Z$3,'생산수량Back-Data'!$B$3:$AAA$3,0))</f>
        <v>0</v>
      </c>
      <c r="AA28" s="310" cm="1">
        <f t="array" ref="AA28">INDEX('생산수량Back-Data'!$B$5:$AAA$10041,
       MATCH($B27,'생산수량Back-Data'!$B$5:$B$10041,0)+3,
       MATCH(AA$3,'생산수량Back-Data'!$B$3:$AAA$3,0))</f>
        <v>0</v>
      </c>
      <c r="AB28" s="310" cm="1">
        <f t="array" ref="AB28">INDEX('생산수량Back-Data'!$B$5:$AAA$10041,
       MATCH($B27,'생산수량Back-Data'!$B$5:$B$10041,0)+3,
       MATCH(AB$3,'생산수량Back-Data'!$B$3:$AAA$3,0))</f>
        <v>0</v>
      </c>
      <c r="AC28" s="310" cm="1">
        <f t="array" ref="AC28">INDEX('생산수량Back-Data'!$B$5:$AAA$10041,
       MATCH($B27,'생산수량Back-Data'!$B$5:$B$10041,0)+3,
       MATCH(AC$3,'생산수량Back-Data'!$B$3:$AAA$3,0))</f>
        <v>0</v>
      </c>
      <c r="AD28" s="310" cm="1">
        <f t="array" ref="AD28">INDEX('생산수량Back-Data'!$B$5:$AAA$10041,
       MATCH($B27,'생산수량Back-Data'!$B$5:$B$10041,0)+3,
       MATCH(AD$3,'생산수량Back-Data'!$B$3:$AAA$3,0))</f>
        <v>0</v>
      </c>
      <c r="AE28" s="310" cm="1">
        <f t="array" ref="AE28">INDEX('생산수량Back-Data'!$B$5:$AAA$10041,
       MATCH($B27,'생산수량Back-Data'!$B$5:$B$10041,0)+3,
       MATCH(AE$3,'생산수량Back-Data'!$B$3:$AAA$3,0))</f>
        <v>0</v>
      </c>
      <c r="AF28" s="310" cm="1">
        <f t="array" ref="AF28">INDEX('생산수량Back-Data'!$B$5:$AAA$10041,
       MATCH($B27,'생산수량Back-Data'!$B$5:$B$10041,0)+3,
       MATCH(AF$3,'생산수량Back-Data'!$B$3:$AAA$3,0))</f>
        <v>0</v>
      </c>
      <c r="AG28" s="310" cm="1">
        <f t="array" ref="AG28">INDEX('생산수량Back-Data'!$B$5:$AAA$10041,
       MATCH($B27,'생산수량Back-Data'!$B$5:$B$10041,0)+3,
       MATCH(AG$3,'생산수량Back-Data'!$B$3:$AAA$3,0))</f>
        <v>0</v>
      </c>
      <c r="AH28" s="310" cm="1">
        <f t="array" ref="AH28">INDEX('생산수량Back-Data'!$B$5:$AAA$10041,
       MATCH($B27,'생산수량Back-Data'!$B$5:$B$10041,0)+3,
       MATCH(AH$3,'생산수량Back-Data'!$B$3:$AAA$3,0))</f>
        <v>0</v>
      </c>
      <c r="AI28" s="310" cm="1">
        <f t="array" ref="AI28">INDEX('생산수량Back-Data'!$B$5:$AAA$10041,
       MATCH($B27,'생산수량Back-Data'!$B$5:$B$10041,0)+3,
       MATCH(AI$3,'생산수량Back-Data'!$B$3:$AAA$3,0))</f>
        <v>0</v>
      </c>
      <c r="AJ28" s="310" cm="1">
        <f t="array" ref="AJ28">INDEX('생산수량Back-Data'!$B$5:$AAA$10041,
       MATCH($B27,'생산수량Back-Data'!$B$5:$B$10041,0)+3,
       MATCH(AJ$3,'생산수량Back-Data'!$B$3:$AAA$3,0))</f>
        <v>0</v>
      </c>
      <c r="AK28" s="310" cm="1">
        <f t="array" ref="AK28">INDEX('생산수량Back-Data'!$B$5:$AAA$10041,
       MATCH($B27,'생산수량Back-Data'!$B$5:$B$10041,0)+3,
       MATCH(AK$3,'생산수량Back-Data'!$B$3:$AAA$3,0))</f>
        <v>0</v>
      </c>
      <c r="AL28" s="310" cm="1">
        <f t="array" ref="AL28">INDEX('생산수량Back-Data'!$B$5:$AAA$10041,
       MATCH($B27,'생산수량Back-Data'!$B$5:$B$10041,0)+3,
       MATCH(AL$3,'생산수량Back-Data'!$B$3:$AAA$3,0))</f>
        <v>0</v>
      </c>
      <c r="AM28" s="310" cm="1">
        <f t="array" ref="AM28">INDEX('생산수량Back-Data'!$B$5:$AAA$10041,
       MATCH($B27,'생산수량Back-Data'!$B$5:$B$10041,0)+3,
       MATCH(AM$3,'생산수량Back-Data'!$B$3:$AAA$3,0))</f>
        <v>0</v>
      </c>
      <c r="AN28" s="310" cm="1">
        <f t="array" ref="AN28">INDEX('생산수량Back-Data'!$B$5:$AAA$10041,
       MATCH($B27,'생산수량Back-Data'!$B$5:$B$10041,0)+3,
       MATCH(AN$3,'생산수량Back-Data'!$B$3:$AAA$3,0))</f>
        <v>0</v>
      </c>
      <c r="AO28" s="310" cm="1">
        <f t="array" ref="AO28">INDEX('생산수량Back-Data'!$B$5:$AAA$10041,
       MATCH($B27,'생산수량Back-Data'!$B$5:$B$10041,0)+3,
       MATCH(AO$3,'생산수량Back-Data'!$B$3:$AAA$3,0))</f>
        <v>0</v>
      </c>
      <c r="AP28" s="310" cm="1">
        <f t="array" ref="AP28">INDEX('생산수량Back-Data'!$B$5:$AAA$10041,
       MATCH($B27,'생산수량Back-Data'!$B$5:$B$10041,0)+3,
       MATCH(AP$3,'생산수량Back-Data'!$B$3:$AAA$3,0))</f>
        <v>0</v>
      </c>
      <c r="AQ28" s="310" cm="1">
        <f t="array" ref="AQ28">INDEX('생산수량Back-Data'!$B$5:$AAA$10041,
       MATCH($B27,'생산수량Back-Data'!$B$5:$B$10041,0)+3,
       MATCH(AQ$3,'생산수량Back-Data'!$B$3:$AAA$3,0))</f>
        <v>0</v>
      </c>
      <c r="AR28" s="310" cm="1">
        <f t="array" ref="AR28">INDEX('생산수량Back-Data'!$B$5:$AAA$10041,
       MATCH($B27,'생산수량Back-Data'!$B$5:$B$10041,0)+3,
       MATCH(AR$3,'생산수량Back-Data'!$B$3:$AAA$3,0))</f>
        <v>0</v>
      </c>
      <c r="AS28" s="310" cm="1">
        <f t="array" ref="AS28">INDEX('생산수량Back-Data'!$B$5:$AAA$10041,
       MATCH($B27,'생산수량Back-Data'!$B$5:$B$10041,0)+3,
       MATCH(AS$3,'생산수량Back-Data'!$B$3:$AAA$3,0))</f>
        <v>0</v>
      </c>
      <c r="AT28" s="310" cm="1">
        <f t="array" ref="AT28">INDEX('생산수량Back-Data'!$B$5:$AAA$10041,
       MATCH($B27,'생산수량Back-Data'!$B$5:$B$10041,0)+3,
       MATCH(AT$3,'생산수량Back-Data'!$B$3:$AAA$3,0))</f>
        <v>0</v>
      </c>
      <c r="AU28" s="324" cm="1">
        <f t="array" ref="AU28">INDEX('생산수량Back-Data'!$B$5:$AAA$10041,
       MATCH($B27,'생산수량Back-Data'!$B$5:$B$10041,0)+3,
       MATCH(AU$3,'생산수량Back-Data'!$B$3:$AAA$3,0))</f>
        <v>0</v>
      </c>
    </row>
    <row r="29" spans="2:47" ht="32.1" customHeight="1" x14ac:dyDescent="0.3">
      <c r="B29" s="449" t="s">
        <v>74</v>
      </c>
      <c r="C29" s="449" t="s">
        <v>185</v>
      </c>
      <c r="D29" s="449" t="s">
        <v>208</v>
      </c>
      <c r="E29" s="446">
        <f>ABS(SUMIFS('Fixture 총 발주수량'!V:V,'Fixture 총 발주수량'!B:B,'클린룸 생산계획'!B29,'Fixture 총 발주수량'!V:V,"&lt;0"))</f>
        <v>0</v>
      </c>
      <c r="F29" s="435">
        <f>G29-E29</f>
        <v>0</v>
      </c>
      <c r="G29" s="435">
        <f>SUMIF(Q29:AU29, "&gt;0")</f>
        <v>0</v>
      </c>
      <c r="H29" s="435">
        <f>SUMIF(Q30:AU30, "&gt;0")</f>
        <v>0</v>
      </c>
      <c r="I29" s="448">
        <f>IFERROR(H29/G29,)</f>
        <v>0</v>
      </c>
      <c r="J29" s="435">
        <f ca="1">IFERROR(SUMIF('Fixture 총 발주수량'!B:AG,'클린룸 생산계획'!B29,'Fixture 총 발주수량'!Y:Y),)</f>
        <v>0</v>
      </c>
      <c r="K29" s="435">
        <f ca="1">IFERROR(SUMIF('Fixture 총 발주수량'!B:AG,'클린룸 생산계획'!B29,'Fixture 총 발주수량'!W:W),)</f>
        <v>0</v>
      </c>
      <c r="L29" s="446">
        <f>ROUNDUP(E29/2000,)</f>
        <v>0</v>
      </c>
      <c r="M29" s="446">
        <f>M27+L29</f>
        <v>14</v>
      </c>
      <c r="N29" s="446">
        <f>M29+L29</f>
        <v>14</v>
      </c>
      <c r="O29" s="446">
        <f>O27+L29</f>
        <v>14</v>
      </c>
      <c r="P29" s="336" t="s">
        <v>264</v>
      </c>
      <c r="Q29" s="420"/>
      <c r="R29" s="338"/>
      <c r="S29" s="338"/>
      <c r="T29" s="338"/>
      <c r="U29" s="338"/>
      <c r="V29" s="338"/>
      <c r="W29" s="338"/>
      <c r="X29" s="338"/>
      <c r="Y29" s="338"/>
      <c r="Z29" s="338"/>
      <c r="AA29" s="338"/>
      <c r="AB29" s="338"/>
      <c r="AC29" s="338"/>
      <c r="AD29" s="338"/>
      <c r="AE29" s="338"/>
      <c r="AF29" s="338"/>
      <c r="AG29" s="338"/>
      <c r="AH29" s="338"/>
      <c r="AI29" s="338"/>
      <c r="AJ29" s="338"/>
      <c r="AK29" s="338"/>
      <c r="AL29" s="338"/>
      <c r="AM29" s="338"/>
      <c r="AN29" s="338"/>
      <c r="AO29" s="338"/>
      <c r="AP29" s="338"/>
      <c r="AQ29" s="338"/>
      <c r="AR29" s="338"/>
      <c r="AS29" s="338"/>
      <c r="AT29" s="338"/>
      <c r="AU29" s="316"/>
    </row>
    <row r="30" spans="2:47" ht="32.1" customHeight="1" x14ac:dyDescent="0.3">
      <c r="B30" s="445"/>
      <c r="C30" s="445"/>
      <c r="D30" s="445"/>
      <c r="E30" s="439"/>
      <c r="F30" s="436"/>
      <c r="G30" s="436"/>
      <c r="H30" s="436"/>
      <c r="I30" s="443"/>
      <c r="J30" s="436"/>
      <c r="K30" s="436"/>
      <c r="L30" s="439"/>
      <c r="M30" s="439"/>
      <c r="N30" s="439"/>
      <c r="O30" s="439"/>
      <c r="P30" s="306" t="s">
        <v>266</v>
      </c>
      <c r="Q30" s="327" cm="1">
        <f t="array" ref="Q30">INDEX('생산수량Back-Data'!$B$5:$AAA$10041,
       MATCH($B29,'생산수량Back-Data'!$B$5:$B$10041,0)+3,
       MATCH(Q$3,'생산수량Back-Data'!$B$3:$AAA$3,0))</f>
        <v>0</v>
      </c>
      <c r="R30" s="328" cm="1">
        <f t="array" ref="R30">INDEX('생산수량Back-Data'!$B$5:$AAA$10041,
       MATCH($B29,'생산수량Back-Data'!$B$5:$B$10041,0)+3,
       MATCH(R$3,'생산수량Back-Data'!$B$3:$AAA$3,0))</f>
        <v>0</v>
      </c>
      <c r="S30" s="328" cm="1">
        <f t="array" ref="S30">INDEX('생산수량Back-Data'!$B$5:$AAA$10041,
       MATCH($B29,'생산수량Back-Data'!$B$5:$B$10041,0)+3,
       MATCH(S$3,'생산수량Back-Data'!$B$3:$AAA$3,0))</f>
        <v>0</v>
      </c>
      <c r="T30" s="328" cm="1">
        <f t="array" ref="T30">INDEX('생산수량Back-Data'!$B$5:$AAA$10041,
       MATCH($B29,'생산수량Back-Data'!$B$5:$B$10041,0)+3,
       MATCH(T$3,'생산수량Back-Data'!$B$3:$AAA$3,0))</f>
        <v>0</v>
      </c>
      <c r="U30" s="328" cm="1">
        <f t="array" ref="U30">INDEX('생산수량Back-Data'!$B$5:$AAA$10041,
       MATCH($B29,'생산수량Back-Data'!$B$5:$B$10041,0)+3,
       MATCH(U$3,'생산수량Back-Data'!$B$3:$AAA$3,0))</f>
        <v>0</v>
      </c>
      <c r="V30" s="328" cm="1">
        <f t="array" ref="V30">INDEX('생산수량Back-Data'!$B$5:$AAA$10041,
       MATCH($B29,'생산수량Back-Data'!$B$5:$B$10041,0)+3,
       MATCH(V$3,'생산수량Back-Data'!$B$3:$AAA$3,0))</f>
        <v>0</v>
      </c>
      <c r="W30" s="328" cm="1">
        <f t="array" ref="W30">INDEX('생산수량Back-Data'!$B$5:$AAA$10041,
       MATCH($B29,'생산수량Back-Data'!$B$5:$B$10041,0)+3,
       MATCH(W$3,'생산수량Back-Data'!$B$3:$AAA$3,0))</f>
        <v>0</v>
      </c>
      <c r="X30" s="328" cm="1">
        <f t="array" ref="X30">INDEX('생산수량Back-Data'!$B$5:$AAA$10041,
       MATCH($B29,'생산수량Back-Data'!$B$5:$B$10041,0)+3,
       MATCH(X$3,'생산수량Back-Data'!$B$3:$AAA$3,0))</f>
        <v>0</v>
      </c>
      <c r="Y30" s="328" cm="1">
        <f t="array" ref="Y30">INDEX('생산수량Back-Data'!$B$5:$AAA$10041,
       MATCH($B29,'생산수량Back-Data'!$B$5:$B$10041,0)+3,
       MATCH(Y$3,'생산수량Back-Data'!$B$3:$AAA$3,0))</f>
        <v>0</v>
      </c>
      <c r="Z30" s="328" cm="1">
        <f t="array" ref="Z30">INDEX('생산수량Back-Data'!$B$5:$AAA$10041,
       MATCH($B29,'생산수량Back-Data'!$B$5:$B$10041,0)+3,
       MATCH(Z$3,'생산수량Back-Data'!$B$3:$AAA$3,0))</f>
        <v>0</v>
      </c>
      <c r="AA30" s="328" cm="1">
        <f t="array" ref="AA30">INDEX('생산수량Back-Data'!$B$5:$AAA$10041,
       MATCH($B29,'생산수량Back-Data'!$B$5:$B$10041,0)+3,
       MATCH(AA$3,'생산수량Back-Data'!$B$3:$AAA$3,0))</f>
        <v>0</v>
      </c>
      <c r="AB30" s="328" cm="1">
        <f t="array" ref="AB30">INDEX('생산수량Back-Data'!$B$5:$AAA$10041,
       MATCH($B29,'생산수량Back-Data'!$B$5:$B$10041,0)+3,
       MATCH(AB$3,'생산수량Back-Data'!$B$3:$AAA$3,0))</f>
        <v>0</v>
      </c>
      <c r="AC30" s="328" cm="1">
        <f t="array" ref="AC30">INDEX('생산수량Back-Data'!$B$5:$AAA$10041,
       MATCH($B29,'생산수량Back-Data'!$B$5:$B$10041,0)+3,
       MATCH(AC$3,'생산수량Back-Data'!$B$3:$AAA$3,0))</f>
        <v>0</v>
      </c>
      <c r="AD30" s="328" cm="1">
        <f t="array" ref="AD30">INDEX('생산수량Back-Data'!$B$5:$AAA$10041,
       MATCH($B29,'생산수량Back-Data'!$B$5:$B$10041,0)+3,
       MATCH(AD$3,'생산수량Back-Data'!$B$3:$AAA$3,0))</f>
        <v>0</v>
      </c>
      <c r="AE30" s="328" cm="1">
        <f t="array" ref="AE30">INDEX('생산수량Back-Data'!$B$5:$AAA$10041,
       MATCH($B29,'생산수량Back-Data'!$B$5:$B$10041,0)+3,
       MATCH(AE$3,'생산수량Back-Data'!$B$3:$AAA$3,0))</f>
        <v>0</v>
      </c>
      <c r="AF30" s="328" cm="1">
        <f t="array" ref="AF30">INDEX('생산수량Back-Data'!$B$5:$AAA$10041,
       MATCH($B29,'생산수량Back-Data'!$B$5:$B$10041,0)+3,
       MATCH(AF$3,'생산수량Back-Data'!$B$3:$AAA$3,0))</f>
        <v>0</v>
      </c>
      <c r="AG30" s="328" cm="1">
        <f t="array" ref="AG30">INDEX('생산수량Back-Data'!$B$5:$AAA$10041,
       MATCH($B29,'생산수량Back-Data'!$B$5:$B$10041,0)+3,
       MATCH(AG$3,'생산수량Back-Data'!$B$3:$AAA$3,0))</f>
        <v>0</v>
      </c>
      <c r="AH30" s="328" cm="1">
        <f t="array" ref="AH30">INDEX('생산수량Back-Data'!$B$5:$AAA$10041,
       MATCH($B29,'생산수량Back-Data'!$B$5:$B$10041,0)+3,
       MATCH(AH$3,'생산수량Back-Data'!$B$3:$AAA$3,0))</f>
        <v>0</v>
      </c>
      <c r="AI30" s="328" cm="1">
        <f t="array" ref="AI30">INDEX('생산수량Back-Data'!$B$5:$AAA$10041,
       MATCH($B29,'생산수량Back-Data'!$B$5:$B$10041,0)+3,
       MATCH(AI$3,'생산수량Back-Data'!$B$3:$AAA$3,0))</f>
        <v>0</v>
      </c>
      <c r="AJ30" s="328" cm="1">
        <f t="array" ref="AJ30">INDEX('생산수량Back-Data'!$B$5:$AAA$10041,
       MATCH($B29,'생산수량Back-Data'!$B$5:$B$10041,0)+3,
       MATCH(AJ$3,'생산수량Back-Data'!$B$3:$AAA$3,0))</f>
        <v>0</v>
      </c>
      <c r="AK30" s="328" cm="1">
        <f t="array" ref="AK30">INDEX('생산수량Back-Data'!$B$5:$AAA$10041,
       MATCH($B29,'생산수량Back-Data'!$B$5:$B$10041,0)+3,
       MATCH(AK$3,'생산수량Back-Data'!$B$3:$AAA$3,0))</f>
        <v>0</v>
      </c>
      <c r="AL30" s="328" cm="1">
        <f t="array" ref="AL30">INDEX('생산수량Back-Data'!$B$5:$AAA$10041,
       MATCH($B29,'생산수량Back-Data'!$B$5:$B$10041,0)+3,
       MATCH(AL$3,'생산수량Back-Data'!$B$3:$AAA$3,0))</f>
        <v>0</v>
      </c>
      <c r="AM30" s="328" cm="1">
        <f t="array" ref="AM30">INDEX('생산수량Back-Data'!$B$5:$AAA$10041,
       MATCH($B29,'생산수량Back-Data'!$B$5:$B$10041,0)+3,
       MATCH(AM$3,'생산수량Back-Data'!$B$3:$AAA$3,0))</f>
        <v>0</v>
      </c>
      <c r="AN30" s="328" cm="1">
        <f t="array" ref="AN30">INDEX('생산수량Back-Data'!$B$5:$AAA$10041,
       MATCH($B29,'생산수량Back-Data'!$B$5:$B$10041,0)+3,
       MATCH(AN$3,'생산수량Back-Data'!$B$3:$AAA$3,0))</f>
        <v>0</v>
      </c>
      <c r="AO30" s="328" cm="1">
        <f t="array" ref="AO30">INDEX('생산수량Back-Data'!$B$5:$AAA$10041,
       MATCH($B29,'생산수량Back-Data'!$B$5:$B$10041,0)+3,
       MATCH(AO$3,'생산수량Back-Data'!$B$3:$AAA$3,0))</f>
        <v>0</v>
      </c>
      <c r="AP30" s="328" cm="1">
        <f t="array" ref="AP30">INDEX('생산수량Back-Data'!$B$5:$AAA$10041,
       MATCH($B29,'생산수량Back-Data'!$B$5:$B$10041,0)+3,
       MATCH(AP$3,'생산수량Back-Data'!$B$3:$AAA$3,0))</f>
        <v>0</v>
      </c>
      <c r="AQ30" s="328" cm="1">
        <f t="array" ref="AQ30">INDEX('생산수량Back-Data'!$B$5:$AAA$10041,
       MATCH($B29,'생산수량Back-Data'!$B$5:$B$10041,0)+3,
       MATCH(AQ$3,'생산수량Back-Data'!$B$3:$AAA$3,0))</f>
        <v>0</v>
      </c>
      <c r="AR30" s="328" cm="1">
        <f t="array" ref="AR30">INDEX('생산수량Back-Data'!$B$5:$AAA$10041,
       MATCH($B29,'생산수량Back-Data'!$B$5:$B$10041,0)+3,
       MATCH(AR$3,'생산수량Back-Data'!$B$3:$AAA$3,0))</f>
        <v>0</v>
      </c>
      <c r="AS30" s="328" cm="1">
        <f t="array" ref="AS30">INDEX('생산수량Back-Data'!$B$5:$AAA$10041,
       MATCH($B29,'생산수량Back-Data'!$B$5:$B$10041,0)+3,
       MATCH(AS$3,'생산수량Back-Data'!$B$3:$AAA$3,0))</f>
        <v>0</v>
      </c>
      <c r="AT30" s="328" cm="1">
        <f t="array" ref="AT30">INDEX('생산수량Back-Data'!$B$5:$AAA$10041,
       MATCH($B29,'생산수량Back-Data'!$B$5:$B$10041,0)+3,
       MATCH(AT$3,'생산수량Back-Data'!$B$3:$AAA$3,0))</f>
        <v>0</v>
      </c>
      <c r="AU30" s="324" cm="1">
        <f t="array" ref="AU30">INDEX('생산수량Back-Data'!$B$5:$AAA$10041,
       MATCH($B29,'생산수량Back-Data'!$B$5:$B$10041,0)+3,
       MATCH(AU$3,'생산수량Back-Data'!$B$3:$AAA$3,0))</f>
        <v>0</v>
      </c>
    </row>
    <row r="31" spans="2:47" ht="32.1" customHeight="1" x14ac:dyDescent="0.3">
      <c r="B31" s="444" t="s">
        <v>75</v>
      </c>
      <c r="C31" s="444" t="s">
        <v>185</v>
      </c>
      <c r="D31" s="444" t="s">
        <v>209</v>
      </c>
      <c r="E31" s="438">
        <f>ABS(SUMIFS('Fixture 총 발주수량'!V:V,'Fixture 총 발주수량'!B:B,'클린룸 생산계획'!B31,'Fixture 총 발주수량'!V:V,"&lt;0"))</f>
        <v>30</v>
      </c>
      <c r="F31" s="437">
        <f>G31-E31</f>
        <v>-30</v>
      </c>
      <c r="G31" s="437">
        <f>SUMIF(Q31:AU31, "&gt;0")</f>
        <v>0</v>
      </c>
      <c r="H31" s="437">
        <f>SUMIF(Q32:AU32, "&gt;0")</f>
        <v>0</v>
      </c>
      <c r="I31" s="442">
        <f>IFERROR(H31/G31,)</f>
        <v>0</v>
      </c>
      <c r="J31" s="437">
        <f ca="1">IFERROR(SUMIF('Fixture 총 발주수량'!B:AG,'클린룸 생산계획'!B31,'Fixture 총 발주수량'!Y:Y),)</f>
        <v>0</v>
      </c>
      <c r="K31" s="437">
        <f ca="1">IFERROR(SUMIF('Fixture 총 발주수량'!B:AG,'클린룸 생산계획'!B31,'Fixture 총 발주수량'!W:W),)</f>
        <v>0</v>
      </c>
      <c r="L31" s="438">
        <f>ROUNDUP(E31/2000,)</f>
        <v>1</v>
      </c>
      <c r="M31" s="438">
        <f>M29+L31</f>
        <v>15</v>
      </c>
      <c r="N31" s="438">
        <f>M31+L31</f>
        <v>16</v>
      </c>
      <c r="O31" s="438">
        <f>O29+L31</f>
        <v>15</v>
      </c>
      <c r="P31" s="306" t="s">
        <v>264</v>
      </c>
      <c r="Q31" s="325"/>
      <c r="R31" s="312"/>
      <c r="S31" s="312"/>
      <c r="T31" s="312"/>
      <c r="U31" s="312"/>
      <c r="V31" s="312"/>
      <c r="W31" s="312"/>
      <c r="X31" s="312"/>
      <c r="Y31" s="312"/>
      <c r="Z31" s="312"/>
      <c r="AA31" s="312"/>
      <c r="AB31" s="312"/>
      <c r="AC31" s="312"/>
      <c r="AD31" s="312"/>
      <c r="AE31" s="312"/>
      <c r="AF31" s="312"/>
      <c r="AG31" s="312"/>
      <c r="AH31" s="312"/>
      <c r="AI31" s="312"/>
      <c r="AJ31" s="312"/>
      <c r="AK31" s="312"/>
      <c r="AL31" s="312"/>
      <c r="AM31" s="312"/>
      <c r="AN31" s="312"/>
      <c r="AO31" s="312"/>
      <c r="AP31" s="312"/>
      <c r="AQ31" s="312"/>
      <c r="AR31" s="312"/>
      <c r="AS31" s="312"/>
      <c r="AT31" s="312"/>
      <c r="AU31" s="313"/>
    </row>
    <row r="32" spans="2:47" ht="32.1" customHeight="1" x14ac:dyDescent="0.3">
      <c r="B32" s="445"/>
      <c r="C32" s="445"/>
      <c r="D32" s="445"/>
      <c r="E32" s="439"/>
      <c r="F32" s="436"/>
      <c r="G32" s="436"/>
      <c r="H32" s="436"/>
      <c r="I32" s="443"/>
      <c r="J32" s="436"/>
      <c r="K32" s="436"/>
      <c r="L32" s="439"/>
      <c r="M32" s="439"/>
      <c r="N32" s="439"/>
      <c r="O32" s="439"/>
      <c r="P32" s="306" t="s">
        <v>266</v>
      </c>
      <c r="Q32" s="323" cm="1">
        <f t="array" ref="Q32">INDEX('생산수량Back-Data'!$B$5:$AAA$10041,
       MATCH($B31,'생산수량Back-Data'!$B$5:$B$10041,0)+3,
       MATCH(Q$3,'생산수량Back-Data'!$B$3:$AAA$3,0))</f>
        <v>0</v>
      </c>
      <c r="R32" s="310" cm="1">
        <f t="array" ref="R32">INDEX('생산수량Back-Data'!$B$5:$AAA$10041,
       MATCH($B31,'생산수량Back-Data'!$B$5:$B$10041,0)+3,
       MATCH(R$3,'생산수량Back-Data'!$B$3:$AAA$3,0))</f>
        <v>0</v>
      </c>
      <c r="S32" s="310" cm="1">
        <f t="array" ref="S32">INDEX('생산수량Back-Data'!$B$5:$AAA$10041,
       MATCH($B31,'생산수량Back-Data'!$B$5:$B$10041,0)+3,
       MATCH(S$3,'생산수량Back-Data'!$B$3:$AAA$3,0))</f>
        <v>0</v>
      </c>
      <c r="T32" s="310" cm="1">
        <f t="array" ref="T32">INDEX('생산수량Back-Data'!$B$5:$AAA$10041,
       MATCH($B31,'생산수량Back-Data'!$B$5:$B$10041,0)+3,
       MATCH(T$3,'생산수량Back-Data'!$B$3:$AAA$3,0))</f>
        <v>0</v>
      </c>
      <c r="U32" s="310" cm="1">
        <f t="array" ref="U32">INDEX('생산수량Back-Data'!$B$5:$AAA$10041,
       MATCH($B31,'생산수량Back-Data'!$B$5:$B$10041,0)+3,
       MATCH(U$3,'생산수량Back-Data'!$B$3:$AAA$3,0))</f>
        <v>0</v>
      </c>
      <c r="V32" s="310" cm="1">
        <f t="array" ref="V32">INDEX('생산수량Back-Data'!$B$5:$AAA$10041,
       MATCH($B31,'생산수량Back-Data'!$B$5:$B$10041,0)+3,
       MATCH(V$3,'생산수량Back-Data'!$B$3:$AAA$3,0))</f>
        <v>0</v>
      </c>
      <c r="W32" s="310" cm="1">
        <f t="array" ref="W32">INDEX('생산수량Back-Data'!$B$5:$AAA$10041,
       MATCH($B31,'생산수량Back-Data'!$B$5:$B$10041,0)+3,
       MATCH(W$3,'생산수량Back-Data'!$B$3:$AAA$3,0))</f>
        <v>0</v>
      </c>
      <c r="X32" s="310" cm="1">
        <f t="array" ref="X32">INDEX('생산수량Back-Data'!$B$5:$AAA$10041,
       MATCH($B31,'생산수량Back-Data'!$B$5:$B$10041,0)+3,
       MATCH(X$3,'생산수량Back-Data'!$B$3:$AAA$3,0))</f>
        <v>0</v>
      </c>
      <c r="Y32" s="310" cm="1">
        <f t="array" ref="Y32">INDEX('생산수량Back-Data'!$B$5:$AAA$10041,
       MATCH($B31,'생산수량Back-Data'!$B$5:$B$10041,0)+3,
       MATCH(Y$3,'생산수량Back-Data'!$B$3:$AAA$3,0))</f>
        <v>0</v>
      </c>
      <c r="Z32" s="310" cm="1">
        <f t="array" ref="Z32">INDEX('생산수량Back-Data'!$B$5:$AAA$10041,
       MATCH($B31,'생산수량Back-Data'!$B$5:$B$10041,0)+3,
       MATCH(Z$3,'생산수량Back-Data'!$B$3:$AAA$3,0))</f>
        <v>0</v>
      </c>
      <c r="AA32" s="310" cm="1">
        <f t="array" ref="AA32">INDEX('생산수량Back-Data'!$B$5:$AAA$10041,
       MATCH($B31,'생산수량Back-Data'!$B$5:$B$10041,0)+3,
       MATCH(AA$3,'생산수량Back-Data'!$B$3:$AAA$3,0))</f>
        <v>0</v>
      </c>
      <c r="AB32" s="310" cm="1">
        <f t="array" ref="AB32">INDEX('생산수량Back-Data'!$B$5:$AAA$10041,
       MATCH($B31,'생산수량Back-Data'!$B$5:$B$10041,0)+3,
       MATCH(AB$3,'생산수량Back-Data'!$B$3:$AAA$3,0))</f>
        <v>0</v>
      </c>
      <c r="AC32" s="310" cm="1">
        <f t="array" ref="AC32">INDEX('생산수량Back-Data'!$B$5:$AAA$10041,
       MATCH($B31,'생산수량Back-Data'!$B$5:$B$10041,0)+3,
       MATCH(AC$3,'생산수량Back-Data'!$B$3:$AAA$3,0))</f>
        <v>0</v>
      </c>
      <c r="AD32" s="310" cm="1">
        <f t="array" ref="AD32">INDEX('생산수량Back-Data'!$B$5:$AAA$10041,
       MATCH($B31,'생산수량Back-Data'!$B$5:$B$10041,0)+3,
       MATCH(AD$3,'생산수량Back-Data'!$B$3:$AAA$3,0))</f>
        <v>0</v>
      </c>
      <c r="AE32" s="310" cm="1">
        <f t="array" ref="AE32">INDEX('생산수량Back-Data'!$B$5:$AAA$10041,
       MATCH($B31,'생산수량Back-Data'!$B$5:$B$10041,0)+3,
       MATCH(AE$3,'생산수량Back-Data'!$B$3:$AAA$3,0))</f>
        <v>0</v>
      </c>
      <c r="AF32" s="310" cm="1">
        <f t="array" ref="AF32">INDEX('생산수량Back-Data'!$B$5:$AAA$10041,
       MATCH($B31,'생산수량Back-Data'!$B$5:$B$10041,0)+3,
       MATCH(AF$3,'생산수량Back-Data'!$B$3:$AAA$3,0))</f>
        <v>0</v>
      </c>
      <c r="AG32" s="310" cm="1">
        <f t="array" ref="AG32">INDEX('생산수량Back-Data'!$B$5:$AAA$10041,
       MATCH($B31,'생산수량Back-Data'!$B$5:$B$10041,0)+3,
       MATCH(AG$3,'생산수량Back-Data'!$B$3:$AAA$3,0))</f>
        <v>0</v>
      </c>
      <c r="AH32" s="310" cm="1">
        <f t="array" ref="AH32">INDEX('생산수량Back-Data'!$B$5:$AAA$10041,
       MATCH($B31,'생산수량Back-Data'!$B$5:$B$10041,0)+3,
       MATCH(AH$3,'생산수량Back-Data'!$B$3:$AAA$3,0))</f>
        <v>0</v>
      </c>
      <c r="AI32" s="310" cm="1">
        <f t="array" ref="AI32">INDEX('생산수량Back-Data'!$B$5:$AAA$10041,
       MATCH($B31,'생산수량Back-Data'!$B$5:$B$10041,0)+3,
       MATCH(AI$3,'생산수량Back-Data'!$B$3:$AAA$3,0))</f>
        <v>0</v>
      </c>
      <c r="AJ32" s="310" cm="1">
        <f t="array" ref="AJ32">INDEX('생산수량Back-Data'!$B$5:$AAA$10041,
       MATCH($B31,'생산수량Back-Data'!$B$5:$B$10041,0)+3,
       MATCH(AJ$3,'생산수량Back-Data'!$B$3:$AAA$3,0))</f>
        <v>0</v>
      </c>
      <c r="AK32" s="310" cm="1">
        <f t="array" ref="AK32">INDEX('생산수량Back-Data'!$B$5:$AAA$10041,
       MATCH($B31,'생산수량Back-Data'!$B$5:$B$10041,0)+3,
       MATCH(AK$3,'생산수량Back-Data'!$B$3:$AAA$3,0))</f>
        <v>0</v>
      </c>
      <c r="AL32" s="310" cm="1">
        <f t="array" ref="AL32">INDEX('생산수량Back-Data'!$B$5:$AAA$10041,
       MATCH($B31,'생산수량Back-Data'!$B$5:$B$10041,0)+3,
       MATCH(AL$3,'생산수량Back-Data'!$B$3:$AAA$3,0))</f>
        <v>0</v>
      </c>
      <c r="AM32" s="310" cm="1">
        <f t="array" ref="AM32">INDEX('생산수량Back-Data'!$B$5:$AAA$10041,
       MATCH($B31,'생산수량Back-Data'!$B$5:$B$10041,0)+3,
       MATCH(AM$3,'생산수량Back-Data'!$B$3:$AAA$3,0))</f>
        <v>0</v>
      </c>
      <c r="AN32" s="310" cm="1">
        <f t="array" ref="AN32">INDEX('생산수량Back-Data'!$B$5:$AAA$10041,
       MATCH($B31,'생산수량Back-Data'!$B$5:$B$10041,0)+3,
       MATCH(AN$3,'생산수량Back-Data'!$B$3:$AAA$3,0))</f>
        <v>0</v>
      </c>
      <c r="AO32" s="310" cm="1">
        <f t="array" ref="AO32">INDEX('생산수량Back-Data'!$B$5:$AAA$10041,
       MATCH($B31,'생산수량Back-Data'!$B$5:$B$10041,0)+3,
       MATCH(AO$3,'생산수량Back-Data'!$B$3:$AAA$3,0))</f>
        <v>0</v>
      </c>
      <c r="AP32" s="310" cm="1">
        <f t="array" ref="AP32">INDEX('생산수량Back-Data'!$B$5:$AAA$10041,
       MATCH($B31,'생산수량Back-Data'!$B$5:$B$10041,0)+3,
       MATCH(AP$3,'생산수량Back-Data'!$B$3:$AAA$3,0))</f>
        <v>0</v>
      </c>
      <c r="AQ32" s="310" cm="1">
        <f t="array" ref="AQ32">INDEX('생산수량Back-Data'!$B$5:$AAA$10041,
       MATCH($B31,'생산수량Back-Data'!$B$5:$B$10041,0)+3,
       MATCH(AQ$3,'생산수량Back-Data'!$B$3:$AAA$3,0))</f>
        <v>0</v>
      </c>
      <c r="AR32" s="310" cm="1">
        <f t="array" ref="AR32">INDEX('생산수량Back-Data'!$B$5:$AAA$10041,
       MATCH($B31,'생산수량Back-Data'!$B$5:$B$10041,0)+3,
       MATCH(AR$3,'생산수량Back-Data'!$B$3:$AAA$3,0))</f>
        <v>0</v>
      </c>
      <c r="AS32" s="310" cm="1">
        <f t="array" ref="AS32">INDEX('생산수량Back-Data'!$B$5:$AAA$10041,
       MATCH($B31,'생산수량Back-Data'!$B$5:$B$10041,0)+3,
       MATCH(AS$3,'생산수량Back-Data'!$B$3:$AAA$3,0))</f>
        <v>0</v>
      </c>
      <c r="AT32" s="310" cm="1">
        <f t="array" ref="AT32">INDEX('생산수량Back-Data'!$B$5:$AAA$10041,
       MATCH($B31,'생산수량Back-Data'!$B$5:$B$10041,0)+3,
       MATCH(AT$3,'생산수량Back-Data'!$B$3:$AAA$3,0))</f>
        <v>0</v>
      </c>
      <c r="AU32" s="324" cm="1">
        <f t="array" ref="AU32">INDEX('생산수량Back-Data'!$B$5:$AAA$10041,
       MATCH($B31,'생산수량Back-Data'!$B$5:$B$10041,0)+3,
       MATCH(AU$3,'생산수량Back-Data'!$B$3:$AAA$3,0))</f>
        <v>0</v>
      </c>
    </row>
    <row r="33" spans="2:47" ht="32.1" customHeight="1" x14ac:dyDescent="0.3">
      <c r="B33" s="444" t="s">
        <v>76</v>
      </c>
      <c r="C33" s="444" t="s">
        <v>185</v>
      </c>
      <c r="D33" s="444" t="s">
        <v>210</v>
      </c>
      <c r="E33" s="438">
        <f>ABS(SUMIFS('Fixture 총 발주수량'!V:V,'Fixture 총 발주수량'!B:B,'클린룸 생산계획'!B33,'Fixture 총 발주수량'!V:V,"&lt;0"))</f>
        <v>100</v>
      </c>
      <c r="F33" s="437">
        <f>G33-E33</f>
        <v>-100</v>
      </c>
      <c r="G33" s="437">
        <f>SUMIF(Q33:AU33, "&gt;0")</f>
        <v>0</v>
      </c>
      <c r="H33" s="437">
        <f>SUMIF(Q34:AU34, "&gt;0")</f>
        <v>0</v>
      </c>
      <c r="I33" s="442">
        <f>IFERROR(H33/G33,)</f>
        <v>0</v>
      </c>
      <c r="J33" s="437">
        <f ca="1">IFERROR(SUMIF('Fixture 총 발주수량'!B:AG,'클린룸 생산계획'!B33,'Fixture 총 발주수량'!Y:Y),)</f>
        <v>0</v>
      </c>
      <c r="K33" s="437">
        <f ca="1">IFERROR(SUMIF('Fixture 총 발주수량'!B:AG,'클린룸 생산계획'!B33,'Fixture 총 발주수량'!W:W),)</f>
        <v>0</v>
      </c>
      <c r="L33" s="438">
        <f>ROUNDUP(E33/2000,)</f>
        <v>1</v>
      </c>
      <c r="M33" s="438">
        <f>M31+L33</f>
        <v>16</v>
      </c>
      <c r="N33" s="438">
        <f>M33+L33</f>
        <v>17</v>
      </c>
      <c r="O33" s="438">
        <f>O31+L33</f>
        <v>16</v>
      </c>
      <c r="P33" s="306" t="s">
        <v>264</v>
      </c>
      <c r="Q33" s="325"/>
      <c r="R33" s="312"/>
      <c r="S33" s="312"/>
      <c r="T33" s="312"/>
      <c r="U33" s="312"/>
      <c r="V33" s="312"/>
      <c r="W33" s="312"/>
      <c r="X33" s="312"/>
      <c r="Y33" s="312"/>
      <c r="Z33" s="312"/>
      <c r="AA33" s="312"/>
      <c r="AB33" s="312"/>
      <c r="AC33" s="312"/>
      <c r="AD33" s="312"/>
      <c r="AE33" s="312"/>
      <c r="AF33" s="312"/>
      <c r="AG33" s="312"/>
      <c r="AH33" s="312"/>
      <c r="AI33" s="312"/>
      <c r="AJ33" s="312"/>
      <c r="AK33" s="312"/>
      <c r="AL33" s="312"/>
      <c r="AM33" s="312"/>
      <c r="AN33" s="312"/>
      <c r="AO33" s="312"/>
      <c r="AP33" s="312"/>
      <c r="AQ33" s="312"/>
      <c r="AR33" s="312"/>
      <c r="AS33" s="312"/>
      <c r="AT33" s="312"/>
      <c r="AU33" s="313"/>
    </row>
    <row r="34" spans="2:47" ht="32.1" customHeight="1" x14ac:dyDescent="0.3">
      <c r="B34" s="445"/>
      <c r="C34" s="445"/>
      <c r="D34" s="445"/>
      <c r="E34" s="439"/>
      <c r="F34" s="436"/>
      <c r="G34" s="436"/>
      <c r="H34" s="436"/>
      <c r="I34" s="443"/>
      <c r="J34" s="436"/>
      <c r="K34" s="436"/>
      <c r="L34" s="439"/>
      <c r="M34" s="439"/>
      <c r="N34" s="439"/>
      <c r="O34" s="439"/>
      <c r="P34" s="306" t="s">
        <v>266</v>
      </c>
      <c r="Q34" s="323" cm="1">
        <f t="array" ref="Q34">INDEX('생산수량Back-Data'!$B$5:$AAA$10041,
       MATCH($B33,'생산수량Back-Data'!$B$5:$B$10041,0)+3,
       MATCH(Q$3,'생산수량Back-Data'!$B$3:$AAA$3,0))</f>
        <v>0</v>
      </c>
      <c r="R34" s="310" cm="1">
        <f t="array" ref="R34">INDEX('생산수량Back-Data'!$B$5:$AAA$10041,
       MATCH($B33,'생산수량Back-Data'!$B$5:$B$10041,0)+3,
       MATCH(R$3,'생산수량Back-Data'!$B$3:$AAA$3,0))</f>
        <v>0</v>
      </c>
      <c r="S34" s="310" cm="1">
        <f t="array" ref="S34">INDEX('생산수량Back-Data'!$B$5:$AAA$10041,
       MATCH($B33,'생산수량Back-Data'!$B$5:$B$10041,0)+3,
       MATCH(S$3,'생산수량Back-Data'!$B$3:$AAA$3,0))</f>
        <v>0</v>
      </c>
      <c r="T34" s="310" cm="1">
        <f t="array" ref="T34">INDEX('생산수량Back-Data'!$B$5:$AAA$10041,
       MATCH($B33,'생산수량Back-Data'!$B$5:$B$10041,0)+3,
       MATCH(T$3,'생산수량Back-Data'!$B$3:$AAA$3,0))</f>
        <v>0</v>
      </c>
      <c r="U34" s="310" cm="1">
        <f t="array" ref="U34">INDEX('생산수량Back-Data'!$B$5:$AAA$10041,
       MATCH($B33,'생산수량Back-Data'!$B$5:$B$10041,0)+3,
       MATCH(U$3,'생산수량Back-Data'!$B$3:$AAA$3,0))</f>
        <v>0</v>
      </c>
      <c r="V34" s="310" cm="1">
        <f t="array" ref="V34">INDEX('생산수량Back-Data'!$B$5:$AAA$10041,
       MATCH($B33,'생산수량Back-Data'!$B$5:$B$10041,0)+3,
       MATCH(V$3,'생산수량Back-Data'!$B$3:$AAA$3,0))</f>
        <v>0</v>
      </c>
      <c r="W34" s="310" cm="1">
        <f t="array" ref="W34">INDEX('생산수량Back-Data'!$B$5:$AAA$10041,
       MATCH($B33,'생산수량Back-Data'!$B$5:$B$10041,0)+3,
       MATCH(W$3,'생산수량Back-Data'!$B$3:$AAA$3,0))</f>
        <v>0</v>
      </c>
      <c r="X34" s="310" cm="1">
        <f t="array" ref="X34">INDEX('생산수량Back-Data'!$B$5:$AAA$10041,
       MATCH($B33,'생산수량Back-Data'!$B$5:$B$10041,0)+3,
       MATCH(X$3,'생산수량Back-Data'!$B$3:$AAA$3,0))</f>
        <v>0</v>
      </c>
      <c r="Y34" s="310" cm="1">
        <f t="array" ref="Y34">INDEX('생산수량Back-Data'!$B$5:$AAA$10041,
       MATCH($B33,'생산수량Back-Data'!$B$5:$B$10041,0)+3,
       MATCH(Y$3,'생산수량Back-Data'!$B$3:$AAA$3,0))</f>
        <v>0</v>
      </c>
      <c r="Z34" s="310" cm="1">
        <f t="array" ref="Z34">INDEX('생산수량Back-Data'!$B$5:$AAA$10041,
       MATCH($B33,'생산수량Back-Data'!$B$5:$B$10041,0)+3,
       MATCH(Z$3,'생산수량Back-Data'!$B$3:$AAA$3,0))</f>
        <v>0</v>
      </c>
      <c r="AA34" s="310" cm="1">
        <f t="array" ref="AA34">INDEX('생산수량Back-Data'!$B$5:$AAA$10041,
       MATCH($B33,'생산수량Back-Data'!$B$5:$B$10041,0)+3,
       MATCH(AA$3,'생산수량Back-Data'!$B$3:$AAA$3,0))</f>
        <v>0</v>
      </c>
      <c r="AB34" s="310" cm="1">
        <f t="array" ref="AB34">INDEX('생산수량Back-Data'!$B$5:$AAA$10041,
       MATCH($B33,'생산수량Back-Data'!$B$5:$B$10041,0)+3,
       MATCH(AB$3,'생산수량Back-Data'!$B$3:$AAA$3,0))</f>
        <v>0</v>
      </c>
      <c r="AC34" s="310" cm="1">
        <f t="array" ref="AC34">INDEX('생산수량Back-Data'!$B$5:$AAA$10041,
       MATCH($B33,'생산수량Back-Data'!$B$5:$B$10041,0)+3,
       MATCH(AC$3,'생산수량Back-Data'!$B$3:$AAA$3,0))</f>
        <v>0</v>
      </c>
      <c r="AD34" s="310" cm="1">
        <f t="array" ref="AD34">INDEX('생산수량Back-Data'!$B$5:$AAA$10041,
       MATCH($B33,'생산수량Back-Data'!$B$5:$B$10041,0)+3,
       MATCH(AD$3,'생산수량Back-Data'!$B$3:$AAA$3,0))</f>
        <v>0</v>
      </c>
      <c r="AE34" s="310" cm="1">
        <f t="array" ref="AE34">INDEX('생산수량Back-Data'!$B$5:$AAA$10041,
       MATCH($B33,'생산수량Back-Data'!$B$5:$B$10041,0)+3,
       MATCH(AE$3,'생산수량Back-Data'!$B$3:$AAA$3,0))</f>
        <v>0</v>
      </c>
      <c r="AF34" s="310" cm="1">
        <f t="array" ref="AF34">INDEX('생산수량Back-Data'!$B$5:$AAA$10041,
       MATCH($B33,'생산수량Back-Data'!$B$5:$B$10041,0)+3,
       MATCH(AF$3,'생산수량Back-Data'!$B$3:$AAA$3,0))</f>
        <v>0</v>
      </c>
      <c r="AG34" s="310" cm="1">
        <f t="array" ref="AG34">INDEX('생산수량Back-Data'!$B$5:$AAA$10041,
       MATCH($B33,'생산수량Back-Data'!$B$5:$B$10041,0)+3,
       MATCH(AG$3,'생산수량Back-Data'!$B$3:$AAA$3,0))</f>
        <v>0</v>
      </c>
      <c r="AH34" s="310" cm="1">
        <f t="array" ref="AH34">INDEX('생산수량Back-Data'!$B$5:$AAA$10041,
       MATCH($B33,'생산수량Back-Data'!$B$5:$B$10041,0)+3,
       MATCH(AH$3,'생산수량Back-Data'!$B$3:$AAA$3,0))</f>
        <v>0</v>
      </c>
      <c r="AI34" s="310" cm="1">
        <f t="array" ref="AI34">INDEX('생산수량Back-Data'!$B$5:$AAA$10041,
       MATCH($B33,'생산수량Back-Data'!$B$5:$B$10041,0)+3,
       MATCH(AI$3,'생산수량Back-Data'!$B$3:$AAA$3,0))</f>
        <v>0</v>
      </c>
      <c r="AJ34" s="310" cm="1">
        <f t="array" ref="AJ34">INDEX('생산수량Back-Data'!$B$5:$AAA$10041,
       MATCH($B33,'생산수량Back-Data'!$B$5:$B$10041,0)+3,
       MATCH(AJ$3,'생산수량Back-Data'!$B$3:$AAA$3,0))</f>
        <v>0</v>
      </c>
      <c r="AK34" s="310" cm="1">
        <f t="array" ref="AK34">INDEX('생산수량Back-Data'!$B$5:$AAA$10041,
       MATCH($B33,'생산수량Back-Data'!$B$5:$B$10041,0)+3,
       MATCH(AK$3,'생산수량Back-Data'!$B$3:$AAA$3,0))</f>
        <v>0</v>
      </c>
      <c r="AL34" s="310" cm="1">
        <f t="array" ref="AL34">INDEX('생산수량Back-Data'!$B$5:$AAA$10041,
       MATCH($B33,'생산수량Back-Data'!$B$5:$B$10041,0)+3,
       MATCH(AL$3,'생산수량Back-Data'!$B$3:$AAA$3,0))</f>
        <v>0</v>
      </c>
      <c r="AM34" s="310" cm="1">
        <f t="array" ref="AM34">INDEX('생산수량Back-Data'!$B$5:$AAA$10041,
       MATCH($B33,'생산수량Back-Data'!$B$5:$B$10041,0)+3,
       MATCH(AM$3,'생산수량Back-Data'!$B$3:$AAA$3,0))</f>
        <v>0</v>
      </c>
      <c r="AN34" s="310" cm="1">
        <f t="array" ref="AN34">INDEX('생산수량Back-Data'!$B$5:$AAA$10041,
       MATCH($B33,'생산수량Back-Data'!$B$5:$B$10041,0)+3,
       MATCH(AN$3,'생산수량Back-Data'!$B$3:$AAA$3,0))</f>
        <v>0</v>
      </c>
      <c r="AO34" s="310" cm="1">
        <f t="array" ref="AO34">INDEX('생산수량Back-Data'!$B$5:$AAA$10041,
       MATCH($B33,'생산수량Back-Data'!$B$5:$B$10041,0)+3,
       MATCH(AO$3,'생산수량Back-Data'!$B$3:$AAA$3,0))</f>
        <v>0</v>
      </c>
      <c r="AP34" s="310" cm="1">
        <f t="array" ref="AP34">INDEX('생산수량Back-Data'!$B$5:$AAA$10041,
       MATCH($B33,'생산수량Back-Data'!$B$5:$B$10041,0)+3,
       MATCH(AP$3,'생산수량Back-Data'!$B$3:$AAA$3,0))</f>
        <v>0</v>
      </c>
      <c r="AQ34" s="310" cm="1">
        <f t="array" ref="AQ34">INDEX('생산수량Back-Data'!$B$5:$AAA$10041,
       MATCH($B33,'생산수량Back-Data'!$B$5:$B$10041,0)+3,
       MATCH(AQ$3,'생산수량Back-Data'!$B$3:$AAA$3,0))</f>
        <v>0</v>
      </c>
      <c r="AR34" s="310" cm="1">
        <f t="array" ref="AR34">INDEX('생산수량Back-Data'!$B$5:$AAA$10041,
       MATCH($B33,'생산수량Back-Data'!$B$5:$B$10041,0)+3,
       MATCH(AR$3,'생산수량Back-Data'!$B$3:$AAA$3,0))</f>
        <v>0</v>
      </c>
      <c r="AS34" s="310" cm="1">
        <f t="array" ref="AS34">INDEX('생산수량Back-Data'!$B$5:$AAA$10041,
       MATCH($B33,'생산수량Back-Data'!$B$5:$B$10041,0)+3,
       MATCH(AS$3,'생산수량Back-Data'!$B$3:$AAA$3,0))</f>
        <v>0</v>
      </c>
      <c r="AT34" s="310" cm="1">
        <f t="array" ref="AT34">INDEX('생산수량Back-Data'!$B$5:$AAA$10041,
       MATCH($B33,'생산수량Back-Data'!$B$5:$B$10041,0)+3,
       MATCH(AT$3,'생산수량Back-Data'!$B$3:$AAA$3,0))</f>
        <v>0</v>
      </c>
      <c r="AU34" s="324" cm="1">
        <f t="array" ref="AU34">INDEX('생산수량Back-Data'!$B$5:$AAA$10041,
       MATCH($B33,'생산수량Back-Data'!$B$5:$B$10041,0)+3,
       MATCH(AU$3,'생산수량Back-Data'!$B$3:$AAA$3,0))</f>
        <v>0</v>
      </c>
    </row>
    <row r="35" spans="2:47" ht="32.1" customHeight="1" x14ac:dyDescent="0.3">
      <c r="B35" s="444" t="s">
        <v>71</v>
      </c>
      <c r="C35" s="444" t="s">
        <v>185</v>
      </c>
      <c r="D35" s="444" t="s">
        <v>211</v>
      </c>
      <c r="E35" s="438">
        <f>ABS(SUMIFS('Fixture 총 발주수량'!V:V,'Fixture 총 발주수량'!B:B,'클린룸 생산계획'!B35,'Fixture 총 발주수량'!V:V,"&lt;0"))</f>
        <v>110</v>
      </c>
      <c r="F35" s="437">
        <f>G35-E35</f>
        <v>-110</v>
      </c>
      <c r="G35" s="437">
        <f>SUMIF(Q35:AU35, "&gt;0")</f>
        <v>0</v>
      </c>
      <c r="H35" s="437">
        <f>SUMIF(Q36:AU36, "&gt;0")</f>
        <v>0</v>
      </c>
      <c r="I35" s="442">
        <f>IFERROR(H35/G35,)</f>
        <v>0</v>
      </c>
      <c r="J35" s="437">
        <f ca="1">IFERROR(SUMIF('Fixture 총 발주수량'!B:AG,'클린룸 생산계획'!B35,'Fixture 총 발주수량'!Y:Y),)</f>
        <v>0</v>
      </c>
      <c r="K35" s="437">
        <f ca="1">IFERROR(SUMIF('Fixture 총 발주수량'!B:AG,'클린룸 생산계획'!B35,'Fixture 총 발주수량'!W:W),)</f>
        <v>0</v>
      </c>
      <c r="L35" s="438">
        <f>ROUNDUP(E35/2000,)</f>
        <v>1</v>
      </c>
      <c r="M35" s="438">
        <f>M33+L35</f>
        <v>17</v>
      </c>
      <c r="N35" s="438">
        <f>M35+L35</f>
        <v>18</v>
      </c>
      <c r="O35" s="438">
        <f>O33+L35</f>
        <v>17</v>
      </c>
      <c r="P35" s="306" t="s">
        <v>264</v>
      </c>
      <c r="Q35" s="325"/>
      <c r="R35" s="312"/>
      <c r="S35" s="312"/>
      <c r="T35" s="312"/>
      <c r="U35" s="312"/>
      <c r="V35" s="312"/>
      <c r="W35" s="312"/>
      <c r="X35" s="312"/>
      <c r="Y35" s="312"/>
      <c r="Z35" s="312"/>
      <c r="AA35" s="312"/>
      <c r="AB35" s="312"/>
      <c r="AC35" s="312"/>
      <c r="AD35" s="312"/>
      <c r="AE35" s="312"/>
      <c r="AF35" s="312"/>
      <c r="AG35" s="312"/>
      <c r="AH35" s="312"/>
      <c r="AI35" s="312"/>
      <c r="AJ35" s="312"/>
      <c r="AK35" s="312"/>
      <c r="AL35" s="312"/>
      <c r="AM35" s="312"/>
      <c r="AN35" s="312"/>
      <c r="AO35" s="312"/>
      <c r="AP35" s="312"/>
      <c r="AQ35" s="312"/>
      <c r="AR35" s="312"/>
      <c r="AS35" s="312"/>
      <c r="AT35" s="312"/>
      <c r="AU35" s="313"/>
    </row>
    <row r="36" spans="2:47" ht="32.1" customHeight="1" x14ac:dyDescent="0.3">
      <c r="B36" s="445"/>
      <c r="C36" s="445"/>
      <c r="D36" s="445"/>
      <c r="E36" s="439"/>
      <c r="F36" s="436"/>
      <c r="G36" s="436"/>
      <c r="H36" s="436"/>
      <c r="I36" s="443"/>
      <c r="J36" s="436"/>
      <c r="K36" s="436"/>
      <c r="L36" s="439"/>
      <c r="M36" s="439"/>
      <c r="N36" s="439"/>
      <c r="O36" s="439"/>
      <c r="P36" s="306" t="s">
        <v>266</v>
      </c>
      <c r="Q36" s="323" cm="1">
        <f t="array" ref="Q36">INDEX('생산수량Back-Data'!$B$5:$AAA$10041,
       MATCH($B35,'생산수량Back-Data'!$B$5:$B$10041,0)+3,
       MATCH(Q$3,'생산수량Back-Data'!$B$3:$AAA$3,0))</f>
        <v>0</v>
      </c>
      <c r="R36" s="310" cm="1">
        <f t="array" ref="R36">INDEX('생산수량Back-Data'!$B$5:$AAA$10041,
       MATCH($B35,'생산수량Back-Data'!$B$5:$B$10041,0)+3,
       MATCH(R$3,'생산수량Back-Data'!$B$3:$AAA$3,0))</f>
        <v>0</v>
      </c>
      <c r="S36" s="310" cm="1">
        <f t="array" ref="S36">INDEX('생산수량Back-Data'!$B$5:$AAA$10041,
       MATCH($B35,'생산수량Back-Data'!$B$5:$B$10041,0)+3,
       MATCH(S$3,'생산수량Back-Data'!$B$3:$AAA$3,0))</f>
        <v>0</v>
      </c>
      <c r="T36" s="310" cm="1">
        <f t="array" ref="T36">INDEX('생산수량Back-Data'!$B$5:$AAA$10041,
       MATCH($B35,'생산수량Back-Data'!$B$5:$B$10041,0)+3,
       MATCH(T$3,'생산수량Back-Data'!$B$3:$AAA$3,0))</f>
        <v>0</v>
      </c>
      <c r="U36" s="310" cm="1">
        <f t="array" ref="U36">INDEX('생산수량Back-Data'!$B$5:$AAA$10041,
       MATCH($B35,'생산수량Back-Data'!$B$5:$B$10041,0)+3,
       MATCH(U$3,'생산수량Back-Data'!$B$3:$AAA$3,0))</f>
        <v>0</v>
      </c>
      <c r="V36" s="310" cm="1">
        <f t="array" ref="V36">INDEX('생산수량Back-Data'!$B$5:$AAA$10041,
       MATCH($B35,'생산수량Back-Data'!$B$5:$B$10041,0)+3,
       MATCH(V$3,'생산수량Back-Data'!$B$3:$AAA$3,0))</f>
        <v>0</v>
      </c>
      <c r="W36" s="310" cm="1">
        <f t="array" ref="W36">INDEX('생산수량Back-Data'!$B$5:$AAA$10041,
       MATCH($B35,'생산수량Back-Data'!$B$5:$B$10041,0)+3,
       MATCH(W$3,'생산수량Back-Data'!$B$3:$AAA$3,0))</f>
        <v>0</v>
      </c>
      <c r="X36" s="310" cm="1">
        <f t="array" ref="X36">INDEX('생산수량Back-Data'!$B$5:$AAA$10041,
       MATCH($B35,'생산수량Back-Data'!$B$5:$B$10041,0)+3,
       MATCH(X$3,'생산수량Back-Data'!$B$3:$AAA$3,0))</f>
        <v>0</v>
      </c>
      <c r="Y36" s="310" cm="1">
        <f t="array" ref="Y36">INDEX('생산수량Back-Data'!$B$5:$AAA$10041,
       MATCH($B35,'생산수량Back-Data'!$B$5:$B$10041,0)+3,
       MATCH(Y$3,'생산수량Back-Data'!$B$3:$AAA$3,0))</f>
        <v>0</v>
      </c>
      <c r="Z36" s="310" cm="1">
        <f t="array" ref="Z36">INDEX('생산수량Back-Data'!$B$5:$AAA$10041,
       MATCH($B35,'생산수량Back-Data'!$B$5:$B$10041,0)+3,
       MATCH(Z$3,'생산수량Back-Data'!$B$3:$AAA$3,0))</f>
        <v>0</v>
      </c>
      <c r="AA36" s="310" cm="1">
        <f t="array" ref="AA36">INDEX('생산수량Back-Data'!$B$5:$AAA$10041,
       MATCH($B35,'생산수량Back-Data'!$B$5:$B$10041,0)+3,
       MATCH(AA$3,'생산수량Back-Data'!$B$3:$AAA$3,0))</f>
        <v>0</v>
      </c>
      <c r="AB36" s="310" cm="1">
        <f t="array" ref="AB36">INDEX('생산수량Back-Data'!$B$5:$AAA$10041,
       MATCH($B35,'생산수량Back-Data'!$B$5:$B$10041,0)+3,
       MATCH(AB$3,'생산수량Back-Data'!$B$3:$AAA$3,0))</f>
        <v>0</v>
      </c>
      <c r="AC36" s="310" cm="1">
        <f t="array" ref="AC36">INDEX('생산수량Back-Data'!$B$5:$AAA$10041,
       MATCH($B35,'생산수량Back-Data'!$B$5:$B$10041,0)+3,
       MATCH(AC$3,'생산수량Back-Data'!$B$3:$AAA$3,0))</f>
        <v>0</v>
      </c>
      <c r="AD36" s="310" cm="1">
        <f t="array" ref="AD36">INDEX('생산수량Back-Data'!$B$5:$AAA$10041,
       MATCH($B35,'생산수량Back-Data'!$B$5:$B$10041,0)+3,
       MATCH(AD$3,'생산수량Back-Data'!$B$3:$AAA$3,0))</f>
        <v>0</v>
      </c>
      <c r="AE36" s="310" cm="1">
        <f t="array" ref="AE36">INDEX('생산수량Back-Data'!$B$5:$AAA$10041,
       MATCH($B35,'생산수량Back-Data'!$B$5:$B$10041,0)+3,
       MATCH(AE$3,'생산수량Back-Data'!$B$3:$AAA$3,0))</f>
        <v>0</v>
      </c>
      <c r="AF36" s="310" cm="1">
        <f t="array" ref="AF36">INDEX('생산수량Back-Data'!$B$5:$AAA$10041,
       MATCH($B35,'생산수량Back-Data'!$B$5:$B$10041,0)+3,
       MATCH(AF$3,'생산수량Back-Data'!$B$3:$AAA$3,0))</f>
        <v>0</v>
      </c>
      <c r="AG36" s="310" cm="1">
        <f t="array" ref="AG36">INDEX('생산수량Back-Data'!$B$5:$AAA$10041,
       MATCH($B35,'생산수량Back-Data'!$B$5:$B$10041,0)+3,
       MATCH(AG$3,'생산수량Back-Data'!$B$3:$AAA$3,0))</f>
        <v>0</v>
      </c>
      <c r="AH36" s="310" cm="1">
        <f t="array" ref="AH36">INDEX('생산수량Back-Data'!$B$5:$AAA$10041,
       MATCH($B35,'생산수량Back-Data'!$B$5:$B$10041,0)+3,
       MATCH(AH$3,'생산수량Back-Data'!$B$3:$AAA$3,0))</f>
        <v>0</v>
      </c>
      <c r="AI36" s="310" cm="1">
        <f t="array" ref="AI36">INDEX('생산수량Back-Data'!$B$5:$AAA$10041,
       MATCH($B35,'생산수량Back-Data'!$B$5:$B$10041,0)+3,
       MATCH(AI$3,'생산수량Back-Data'!$B$3:$AAA$3,0))</f>
        <v>0</v>
      </c>
      <c r="AJ36" s="310" cm="1">
        <f t="array" ref="AJ36">INDEX('생산수량Back-Data'!$B$5:$AAA$10041,
       MATCH($B35,'생산수량Back-Data'!$B$5:$B$10041,0)+3,
       MATCH(AJ$3,'생산수량Back-Data'!$B$3:$AAA$3,0))</f>
        <v>0</v>
      </c>
      <c r="AK36" s="310" cm="1">
        <f t="array" ref="AK36">INDEX('생산수량Back-Data'!$B$5:$AAA$10041,
       MATCH($B35,'생산수량Back-Data'!$B$5:$B$10041,0)+3,
       MATCH(AK$3,'생산수량Back-Data'!$B$3:$AAA$3,0))</f>
        <v>0</v>
      </c>
      <c r="AL36" s="310" cm="1">
        <f t="array" ref="AL36">INDEX('생산수량Back-Data'!$B$5:$AAA$10041,
       MATCH($B35,'생산수량Back-Data'!$B$5:$B$10041,0)+3,
       MATCH(AL$3,'생산수량Back-Data'!$B$3:$AAA$3,0))</f>
        <v>0</v>
      </c>
      <c r="AM36" s="310" cm="1">
        <f t="array" ref="AM36">INDEX('생산수량Back-Data'!$B$5:$AAA$10041,
       MATCH($B35,'생산수량Back-Data'!$B$5:$B$10041,0)+3,
       MATCH(AM$3,'생산수량Back-Data'!$B$3:$AAA$3,0))</f>
        <v>0</v>
      </c>
      <c r="AN36" s="310" cm="1">
        <f t="array" ref="AN36">INDEX('생산수량Back-Data'!$B$5:$AAA$10041,
       MATCH($B35,'생산수량Back-Data'!$B$5:$B$10041,0)+3,
       MATCH(AN$3,'생산수량Back-Data'!$B$3:$AAA$3,0))</f>
        <v>0</v>
      </c>
      <c r="AO36" s="310" cm="1">
        <f t="array" ref="AO36">INDEX('생산수량Back-Data'!$B$5:$AAA$10041,
       MATCH($B35,'생산수량Back-Data'!$B$5:$B$10041,0)+3,
       MATCH(AO$3,'생산수량Back-Data'!$B$3:$AAA$3,0))</f>
        <v>0</v>
      </c>
      <c r="AP36" s="310" cm="1">
        <f t="array" ref="AP36">INDEX('생산수량Back-Data'!$B$5:$AAA$10041,
       MATCH($B35,'생산수량Back-Data'!$B$5:$B$10041,0)+3,
       MATCH(AP$3,'생산수량Back-Data'!$B$3:$AAA$3,0))</f>
        <v>0</v>
      </c>
      <c r="AQ36" s="310" cm="1">
        <f t="array" ref="AQ36">INDEX('생산수량Back-Data'!$B$5:$AAA$10041,
       MATCH($B35,'생산수량Back-Data'!$B$5:$B$10041,0)+3,
       MATCH(AQ$3,'생산수량Back-Data'!$B$3:$AAA$3,0))</f>
        <v>0</v>
      </c>
      <c r="AR36" s="310" cm="1">
        <f t="array" ref="AR36">INDEX('생산수량Back-Data'!$B$5:$AAA$10041,
       MATCH($B35,'생산수량Back-Data'!$B$5:$B$10041,0)+3,
       MATCH(AR$3,'생산수량Back-Data'!$B$3:$AAA$3,0))</f>
        <v>0</v>
      </c>
      <c r="AS36" s="310" cm="1">
        <f t="array" ref="AS36">INDEX('생산수량Back-Data'!$B$5:$AAA$10041,
       MATCH($B35,'생산수량Back-Data'!$B$5:$B$10041,0)+3,
       MATCH(AS$3,'생산수량Back-Data'!$B$3:$AAA$3,0))</f>
        <v>0</v>
      </c>
      <c r="AT36" s="310" cm="1">
        <f t="array" ref="AT36">INDEX('생산수량Back-Data'!$B$5:$AAA$10041,
       MATCH($B35,'생산수량Back-Data'!$B$5:$B$10041,0)+3,
       MATCH(AT$3,'생산수량Back-Data'!$B$3:$AAA$3,0))</f>
        <v>0</v>
      </c>
      <c r="AU36" s="324" cm="1">
        <f t="array" ref="AU36">INDEX('생산수량Back-Data'!$B$5:$AAA$10041,
       MATCH($B35,'생산수량Back-Data'!$B$5:$B$10041,0)+3,
       MATCH(AU$3,'생산수량Back-Data'!$B$3:$AAA$3,0))</f>
        <v>0</v>
      </c>
    </row>
    <row r="37" spans="2:47" ht="32.1" customHeight="1" x14ac:dyDescent="0.3">
      <c r="B37" s="444" t="s">
        <v>72</v>
      </c>
      <c r="C37" s="444" t="s">
        <v>185</v>
      </c>
      <c r="D37" s="444" t="s">
        <v>212</v>
      </c>
      <c r="E37" s="438">
        <f>ABS(SUMIFS('Fixture 총 발주수량'!V:V,'Fixture 총 발주수량'!B:B,'클린룸 생산계획'!B37,'Fixture 총 발주수량'!V:V,"&lt;0"))</f>
        <v>286</v>
      </c>
      <c r="F37" s="437">
        <f>G37-E37</f>
        <v>-286</v>
      </c>
      <c r="G37" s="437">
        <f>SUMIF(Q37:AU37, "&gt;0")</f>
        <v>0</v>
      </c>
      <c r="H37" s="437">
        <f>SUMIF(Q38:AU38, "&gt;0")</f>
        <v>0</v>
      </c>
      <c r="I37" s="442">
        <f>IFERROR(H37/G37,)</f>
        <v>0</v>
      </c>
      <c r="J37" s="437">
        <f ca="1">IFERROR(SUMIF('Fixture 총 발주수량'!B:AG,'클린룸 생산계획'!B37,'Fixture 총 발주수량'!Y:Y),)</f>
        <v>0</v>
      </c>
      <c r="K37" s="437">
        <f ca="1">IFERROR(SUMIF('Fixture 총 발주수량'!B:AG,'클린룸 생산계획'!B37,'Fixture 총 발주수량'!W:W),)</f>
        <v>0</v>
      </c>
      <c r="L37" s="438">
        <f>ROUNDUP(E37/2000,)</f>
        <v>1</v>
      </c>
      <c r="M37" s="438">
        <f>M35+L37</f>
        <v>18</v>
      </c>
      <c r="N37" s="438">
        <f>M37+L37</f>
        <v>19</v>
      </c>
      <c r="O37" s="438">
        <f>O35+L37</f>
        <v>18</v>
      </c>
      <c r="P37" s="306" t="s">
        <v>264</v>
      </c>
      <c r="Q37" s="325"/>
      <c r="R37" s="312"/>
      <c r="S37" s="312"/>
      <c r="T37" s="312"/>
      <c r="U37" s="312"/>
      <c r="V37" s="312"/>
      <c r="W37" s="312"/>
      <c r="X37" s="312"/>
      <c r="Y37" s="312"/>
      <c r="Z37" s="312"/>
      <c r="AA37" s="312"/>
      <c r="AB37" s="312"/>
      <c r="AC37" s="312"/>
      <c r="AD37" s="312"/>
      <c r="AE37" s="312"/>
      <c r="AF37" s="312"/>
      <c r="AG37" s="312"/>
      <c r="AH37" s="312"/>
      <c r="AI37" s="312"/>
      <c r="AJ37" s="312"/>
      <c r="AK37" s="312"/>
      <c r="AL37" s="312"/>
      <c r="AM37" s="312"/>
      <c r="AN37" s="312"/>
      <c r="AO37" s="312"/>
      <c r="AP37" s="312"/>
      <c r="AQ37" s="312"/>
      <c r="AR37" s="312"/>
      <c r="AS37" s="312"/>
      <c r="AT37" s="312"/>
      <c r="AU37" s="313"/>
    </row>
    <row r="38" spans="2:47" ht="32.1" customHeight="1" x14ac:dyDescent="0.3">
      <c r="B38" s="445"/>
      <c r="C38" s="445"/>
      <c r="D38" s="445"/>
      <c r="E38" s="439"/>
      <c r="F38" s="436"/>
      <c r="G38" s="436"/>
      <c r="H38" s="436"/>
      <c r="I38" s="443"/>
      <c r="J38" s="436"/>
      <c r="K38" s="436"/>
      <c r="L38" s="439"/>
      <c r="M38" s="439"/>
      <c r="N38" s="439"/>
      <c r="O38" s="439"/>
      <c r="P38" s="306" t="s">
        <v>266</v>
      </c>
      <c r="Q38" s="323" cm="1">
        <f t="array" ref="Q38">INDEX('생산수량Back-Data'!$B$5:$AAA$10041,
       MATCH($B37,'생산수량Back-Data'!$B$5:$B$10041,0)+3,
       MATCH(Q$3,'생산수량Back-Data'!$B$3:$AAA$3,0))</f>
        <v>0</v>
      </c>
      <c r="R38" s="310" cm="1">
        <f t="array" ref="R38">INDEX('생산수량Back-Data'!$B$5:$AAA$10041,
       MATCH($B37,'생산수량Back-Data'!$B$5:$B$10041,0)+3,
       MATCH(R$3,'생산수량Back-Data'!$B$3:$AAA$3,0))</f>
        <v>0</v>
      </c>
      <c r="S38" s="310" cm="1">
        <f t="array" ref="S38">INDEX('생산수량Back-Data'!$B$5:$AAA$10041,
       MATCH($B37,'생산수량Back-Data'!$B$5:$B$10041,0)+3,
       MATCH(S$3,'생산수량Back-Data'!$B$3:$AAA$3,0))</f>
        <v>0</v>
      </c>
      <c r="T38" s="310" cm="1">
        <f t="array" ref="T38">INDEX('생산수량Back-Data'!$B$5:$AAA$10041,
       MATCH($B37,'생산수량Back-Data'!$B$5:$B$10041,0)+3,
       MATCH(T$3,'생산수량Back-Data'!$B$3:$AAA$3,0))</f>
        <v>0</v>
      </c>
      <c r="U38" s="310" cm="1">
        <f t="array" ref="U38">INDEX('생산수량Back-Data'!$B$5:$AAA$10041,
       MATCH($B37,'생산수량Back-Data'!$B$5:$B$10041,0)+3,
       MATCH(U$3,'생산수량Back-Data'!$B$3:$AAA$3,0))</f>
        <v>0</v>
      </c>
      <c r="V38" s="310" cm="1">
        <f t="array" ref="V38">INDEX('생산수량Back-Data'!$B$5:$AAA$10041,
       MATCH($B37,'생산수량Back-Data'!$B$5:$B$10041,0)+3,
       MATCH(V$3,'생산수량Back-Data'!$B$3:$AAA$3,0))</f>
        <v>0</v>
      </c>
      <c r="W38" s="310" cm="1">
        <f t="array" ref="W38">INDEX('생산수량Back-Data'!$B$5:$AAA$10041,
       MATCH($B37,'생산수량Back-Data'!$B$5:$B$10041,0)+3,
       MATCH(W$3,'생산수량Back-Data'!$B$3:$AAA$3,0))</f>
        <v>0</v>
      </c>
      <c r="X38" s="310" cm="1">
        <f t="array" ref="X38">INDEX('생산수량Back-Data'!$B$5:$AAA$10041,
       MATCH($B37,'생산수량Back-Data'!$B$5:$B$10041,0)+3,
       MATCH(X$3,'생산수량Back-Data'!$B$3:$AAA$3,0))</f>
        <v>0</v>
      </c>
      <c r="Y38" s="310" cm="1">
        <f t="array" ref="Y38">INDEX('생산수량Back-Data'!$B$5:$AAA$10041,
       MATCH($B37,'생산수량Back-Data'!$B$5:$B$10041,0)+3,
       MATCH(Y$3,'생산수량Back-Data'!$B$3:$AAA$3,0))</f>
        <v>0</v>
      </c>
      <c r="Z38" s="310" cm="1">
        <f t="array" ref="Z38">INDEX('생산수량Back-Data'!$B$5:$AAA$10041,
       MATCH($B37,'생산수량Back-Data'!$B$5:$B$10041,0)+3,
       MATCH(Z$3,'생산수량Back-Data'!$B$3:$AAA$3,0))</f>
        <v>0</v>
      </c>
      <c r="AA38" s="310" cm="1">
        <f t="array" ref="AA38">INDEX('생산수량Back-Data'!$B$5:$AAA$10041,
       MATCH($B37,'생산수량Back-Data'!$B$5:$B$10041,0)+3,
       MATCH(AA$3,'생산수량Back-Data'!$B$3:$AAA$3,0))</f>
        <v>0</v>
      </c>
      <c r="AB38" s="310" cm="1">
        <f t="array" ref="AB38">INDEX('생산수량Back-Data'!$B$5:$AAA$10041,
       MATCH($B37,'생산수량Back-Data'!$B$5:$B$10041,0)+3,
       MATCH(AB$3,'생산수량Back-Data'!$B$3:$AAA$3,0))</f>
        <v>0</v>
      </c>
      <c r="AC38" s="310" cm="1">
        <f t="array" ref="AC38">INDEX('생산수량Back-Data'!$B$5:$AAA$10041,
       MATCH($B37,'생산수량Back-Data'!$B$5:$B$10041,0)+3,
       MATCH(AC$3,'생산수량Back-Data'!$B$3:$AAA$3,0))</f>
        <v>0</v>
      </c>
      <c r="AD38" s="310" cm="1">
        <f t="array" ref="AD38">INDEX('생산수량Back-Data'!$B$5:$AAA$10041,
       MATCH($B37,'생산수량Back-Data'!$B$5:$B$10041,0)+3,
       MATCH(AD$3,'생산수량Back-Data'!$B$3:$AAA$3,0))</f>
        <v>0</v>
      </c>
      <c r="AE38" s="310" cm="1">
        <f t="array" ref="AE38">INDEX('생산수량Back-Data'!$B$5:$AAA$10041,
       MATCH($B37,'생산수량Back-Data'!$B$5:$B$10041,0)+3,
       MATCH(AE$3,'생산수량Back-Data'!$B$3:$AAA$3,0))</f>
        <v>0</v>
      </c>
      <c r="AF38" s="310" cm="1">
        <f t="array" ref="AF38">INDEX('생산수량Back-Data'!$B$5:$AAA$10041,
       MATCH($B37,'생산수량Back-Data'!$B$5:$B$10041,0)+3,
       MATCH(AF$3,'생산수량Back-Data'!$B$3:$AAA$3,0))</f>
        <v>0</v>
      </c>
      <c r="AG38" s="310" cm="1">
        <f t="array" ref="AG38">INDEX('생산수량Back-Data'!$B$5:$AAA$10041,
       MATCH($B37,'생산수량Back-Data'!$B$5:$B$10041,0)+3,
       MATCH(AG$3,'생산수량Back-Data'!$B$3:$AAA$3,0))</f>
        <v>0</v>
      </c>
      <c r="AH38" s="310" cm="1">
        <f t="array" ref="AH38">INDEX('생산수량Back-Data'!$B$5:$AAA$10041,
       MATCH($B37,'생산수량Back-Data'!$B$5:$B$10041,0)+3,
       MATCH(AH$3,'생산수량Back-Data'!$B$3:$AAA$3,0))</f>
        <v>0</v>
      </c>
      <c r="AI38" s="310" cm="1">
        <f t="array" ref="AI38">INDEX('생산수량Back-Data'!$B$5:$AAA$10041,
       MATCH($B37,'생산수량Back-Data'!$B$5:$B$10041,0)+3,
       MATCH(AI$3,'생산수량Back-Data'!$B$3:$AAA$3,0))</f>
        <v>0</v>
      </c>
      <c r="AJ38" s="310" cm="1">
        <f t="array" ref="AJ38">INDEX('생산수량Back-Data'!$B$5:$AAA$10041,
       MATCH($B37,'생산수량Back-Data'!$B$5:$B$10041,0)+3,
       MATCH(AJ$3,'생산수량Back-Data'!$B$3:$AAA$3,0))</f>
        <v>0</v>
      </c>
      <c r="AK38" s="310" cm="1">
        <f t="array" ref="AK38">INDEX('생산수량Back-Data'!$B$5:$AAA$10041,
       MATCH($B37,'생산수량Back-Data'!$B$5:$B$10041,0)+3,
       MATCH(AK$3,'생산수량Back-Data'!$B$3:$AAA$3,0))</f>
        <v>0</v>
      </c>
      <c r="AL38" s="310" cm="1">
        <f t="array" ref="AL38">INDEX('생산수량Back-Data'!$B$5:$AAA$10041,
       MATCH($B37,'생산수량Back-Data'!$B$5:$B$10041,0)+3,
       MATCH(AL$3,'생산수량Back-Data'!$B$3:$AAA$3,0))</f>
        <v>0</v>
      </c>
      <c r="AM38" s="310" cm="1">
        <f t="array" ref="AM38">INDEX('생산수량Back-Data'!$B$5:$AAA$10041,
       MATCH($B37,'생산수량Back-Data'!$B$5:$B$10041,0)+3,
       MATCH(AM$3,'생산수량Back-Data'!$B$3:$AAA$3,0))</f>
        <v>0</v>
      </c>
      <c r="AN38" s="310" cm="1">
        <f t="array" ref="AN38">INDEX('생산수량Back-Data'!$B$5:$AAA$10041,
       MATCH($B37,'생산수량Back-Data'!$B$5:$B$10041,0)+3,
       MATCH(AN$3,'생산수량Back-Data'!$B$3:$AAA$3,0))</f>
        <v>0</v>
      </c>
      <c r="AO38" s="310" cm="1">
        <f t="array" ref="AO38">INDEX('생산수량Back-Data'!$B$5:$AAA$10041,
       MATCH($B37,'생산수량Back-Data'!$B$5:$B$10041,0)+3,
       MATCH(AO$3,'생산수량Back-Data'!$B$3:$AAA$3,0))</f>
        <v>0</v>
      </c>
      <c r="AP38" s="310" cm="1">
        <f t="array" ref="AP38">INDEX('생산수량Back-Data'!$B$5:$AAA$10041,
       MATCH($B37,'생산수량Back-Data'!$B$5:$B$10041,0)+3,
       MATCH(AP$3,'생산수량Back-Data'!$B$3:$AAA$3,0))</f>
        <v>0</v>
      </c>
      <c r="AQ38" s="310" cm="1">
        <f t="array" ref="AQ38">INDEX('생산수량Back-Data'!$B$5:$AAA$10041,
       MATCH($B37,'생산수량Back-Data'!$B$5:$B$10041,0)+3,
       MATCH(AQ$3,'생산수량Back-Data'!$B$3:$AAA$3,0))</f>
        <v>0</v>
      </c>
      <c r="AR38" s="310" cm="1">
        <f t="array" ref="AR38">INDEX('생산수량Back-Data'!$B$5:$AAA$10041,
       MATCH($B37,'생산수량Back-Data'!$B$5:$B$10041,0)+3,
       MATCH(AR$3,'생산수량Back-Data'!$B$3:$AAA$3,0))</f>
        <v>0</v>
      </c>
      <c r="AS38" s="310" cm="1">
        <f t="array" ref="AS38">INDEX('생산수량Back-Data'!$B$5:$AAA$10041,
       MATCH($B37,'생산수량Back-Data'!$B$5:$B$10041,0)+3,
       MATCH(AS$3,'생산수량Back-Data'!$B$3:$AAA$3,0))</f>
        <v>0</v>
      </c>
      <c r="AT38" s="310" cm="1">
        <f t="array" ref="AT38">INDEX('생산수량Back-Data'!$B$5:$AAA$10041,
       MATCH($B37,'생산수량Back-Data'!$B$5:$B$10041,0)+3,
       MATCH(AT$3,'생산수량Back-Data'!$B$3:$AAA$3,0))</f>
        <v>0</v>
      </c>
      <c r="AU38" s="324" cm="1">
        <f t="array" ref="AU38">INDEX('생산수량Back-Data'!$B$5:$AAA$10041,
       MATCH($B37,'생산수량Back-Data'!$B$5:$B$10041,0)+3,
       MATCH(AU$3,'생산수량Back-Data'!$B$3:$AAA$3,0))</f>
        <v>0</v>
      </c>
    </row>
    <row r="39" spans="2:47" ht="32.1" customHeight="1" x14ac:dyDescent="0.3">
      <c r="B39" s="444" t="s">
        <v>73</v>
      </c>
      <c r="C39" s="444" t="s">
        <v>185</v>
      </c>
      <c r="D39" s="444" t="s">
        <v>213</v>
      </c>
      <c r="E39" s="438">
        <f>ABS(SUMIFS('Fixture 총 발주수량'!V:V,'Fixture 총 발주수량'!B:B,'클린룸 생산계획'!B39,'Fixture 총 발주수량'!V:V,"&lt;0"))</f>
        <v>110</v>
      </c>
      <c r="F39" s="437">
        <f>G39-E39</f>
        <v>-110</v>
      </c>
      <c r="G39" s="437">
        <f>SUMIF(Q39:AU39, "&gt;0")</f>
        <v>0</v>
      </c>
      <c r="H39" s="437">
        <f>SUMIF(Q40:AU40, "&gt;0")</f>
        <v>0</v>
      </c>
      <c r="I39" s="442">
        <f>IFERROR(H39/G39,)</f>
        <v>0</v>
      </c>
      <c r="J39" s="437">
        <f ca="1">IFERROR(SUMIF('Fixture 총 발주수량'!B:AG,'클린룸 생산계획'!B39,'Fixture 총 발주수량'!Y:Y),)</f>
        <v>0</v>
      </c>
      <c r="K39" s="437">
        <f ca="1">IFERROR(SUMIF('Fixture 총 발주수량'!B:AG,'클린룸 생산계획'!B39,'Fixture 총 발주수량'!W:W),)</f>
        <v>0</v>
      </c>
      <c r="L39" s="438">
        <f>ROUNDUP(E39/2000,)</f>
        <v>1</v>
      </c>
      <c r="M39" s="438">
        <f>M37+L39</f>
        <v>19</v>
      </c>
      <c r="N39" s="438">
        <f>M39+L39</f>
        <v>20</v>
      </c>
      <c r="O39" s="438">
        <f>O37+L39</f>
        <v>19</v>
      </c>
      <c r="P39" s="306" t="s">
        <v>264</v>
      </c>
      <c r="Q39" s="325"/>
      <c r="R39" s="312"/>
      <c r="S39" s="312"/>
      <c r="T39" s="312"/>
      <c r="U39" s="312"/>
      <c r="V39" s="312"/>
      <c r="W39" s="312"/>
      <c r="X39" s="312"/>
      <c r="Y39" s="312"/>
      <c r="Z39" s="312"/>
      <c r="AA39" s="312"/>
      <c r="AB39" s="312"/>
      <c r="AC39" s="312"/>
      <c r="AD39" s="312"/>
      <c r="AE39" s="312"/>
      <c r="AF39" s="312"/>
      <c r="AG39" s="312"/>
      <c r="AH39" s="312"/>
      <c r="AI39" s="312"/>
      <c r="AJ39" s="312"/>
      <c r="AK39" s="312"/>
      <c r="AL39" s="312"/>
      <c r="AM39" s="312"/>
      <c r="AN39" s="312"/>
      <c r="AO39" s="312"/>
      <c r="AP39" s="312"/>
      <c r="AQ39" s="312"/>
      <c r="AR39" s="312"/>
      <c r="AS39" s="312"/>
      <c r="AT39" s="312"/>
      <c r="AU39" s="313"/>
    </row>
    <row r="40" spans="2:47" ht="32.1" customHeight="1" thickBot="1" x14ac:dyDescent="0.35">
      <c r="B40" s="454"/>
      <c r="C40" s="454"/>
      <c r="D40" s="454"/>
      <c r="E40" s="450"/>
      <c r="F40" s="452"/>
      <c r="G40" s="452"/>
      <c r="H40" s="452"/>
      <c r="I40" s="453"/>
      <c r="J40" s="452"/>
      <c r="K40" s="452"/>
      <c r="L40" s="450"/>
      <c r="M40" s="450"/>
      <c r="N40" s="450"/>
      <c r="O40" s="450"/>
      <c r="P40" s="305" t="s">
        <v>266</v>
      </c>
      <c r="Q40" s="323" cm="1">
        <f t="array" ref="Q40">INDEX('생산수량Back-Data'!$B$5:$AAA$10041,
       MATCH($B39,'생산수량Back-Data'!$B$5:$B$10041,0)+3,
       MATCH(Q$3,'생산수량Back-Data'!$B$3:$AAA$3,0))</f>
        <v>0</v>
      </c>
      <c r="R40" s="310" cm="1">
        <f t="array" ref="R40">INDEX('생산수량Back-Data'!$B$5:$AAA$10041,
       MATCH($B39,'생산수량Back-Data'!$B$5:$B$10041,0)+3,
       MATCH(R$3,'생산수량Back-Data'!$B$3:$AAA$3,0))</f>
        <v>0</v>
      </c>
      <c r="S40" s="310" cm="1">
        <f t="array" ref="S40">INDEX('생산수량Back-Data'!$B$5:$AAA$10041,
       MATCH($B39,'생산수량Back-Data'!$B$5:$B$10041,0)+3,
       MATCH(S$3,'생산수량Back-Data'!$B$3:$AAA$3,0))</f>
        <v>0</v>
      </c>
      <c r="T40" s="310" cm="1">
        <f t="array" ref="T40">INDEX('생산수량Back-Data'!$B$5:$AAA$10041,
       MATCH($B39,'생산수량Back-Data'!$B$5:$B$10041,0)+3,
       MATCH(T$3,'생산수량Back-Data'!$B$3:$AAA$3,0))</f>
        <v>0</v>
      </c>
      <c r="U40" s="310" cm="1">
        <f t="array" ref="U40">INDEX('생산수량Back-Data'!$B$5:$AAA$10041,
       MATCH($B39,'생산수량Back-Data'!$B$5:$B$10041,0)+3,
       MATCH(U$3,'생산수량Back-Data'!$B$3:$AAA$3,0))</f>
        <v>0</v>
      </c>
      <c r="V40" s="310" cm="1">
        <f t="array" ref="V40">INDEX('생산수량Back-Data'!$B$5:$AAA$10041,
       MATCH($B39,'생산수량Back-Data'!$B$5:$B$10041,0)+3,
       MATCH(V$3,'생산수량Back-Data'!$B$3:$AAA$3,0))</f>
        <v>0</v>
      </c>
      <c r="W40" s="310" cm="1">
        <f t="array" ref="W40">INDEX('생산수량Back-Data'!$B$5:$AAA$10041,
       MATCH($B39,'생산수량Back-Data'!$B$5:$B$10041,0)+3,
       MATCH(W$3,'생산수량Back-Data'!$B$3:$AAA$3,0))</f>
        <v>0</v>
      </c>
      <c r="X40" s="310" cm="1">
        <f t="array" ref="X40">INDEX('생산수량Back-Data'!$B$5:$AAA$10041,
       MATCH($B39,'생산수량Back-Data'!$B$5:$B$10041,0)+3,
       MATCH(X$3,'생산수량Back-Data'!$B$3:$AAA$3,0))</f>
        <v>0</v>
      </c>
      <c r="Y40" s="310" cm="1">
        <f t="array" ref="Y40">INDEX('생산수량Back-Data'!$B$5:$AAA$10041,
       MATCH($B39,'생산수량Back-Data'!$B$5:$B$10041,0)+3,
       MATCH(Y$3,'생산수량Back-Data'!$B$3:$AAA$3,0))</f>
        <v>0</v>
      </c>
      <c r="Z40" s="310" cm="1">
        <f t="array" ref="Z40">INDEX('생산수량Back-Data'!$B$5:$AAA$10041,
       MATCH($B39,'생산수량Back-Data'!$B$5:$B$10041,0)+3,
       MATCH(Z$3,'생산수량Back-Data'!$B$3:$AAA$3,0))</f>
        <v>0</v>
      </c>
      <c r="AA40" s="310" cm="1">
        <f t="array" ref="AA40">INDEX('생산수량Back-Data'!$B$5:$AAA$10041,
       MATCH($B39,'생산수량Back-Data'!$B$5:$B$10041,0)+3,
       MATCH(AA$3,'생산수량Back-Data'!$B$3:$AAA$3,0))</f>
        <v>0</v>
      </c>
      <c r="AB40" s="310" cm="1">
        <f t="array" ref="AB40">INDEX('생산수량Back-Data'!$B$5:$AAA$10041,
       MATCH($B39,'생산수량Back-Data'!$B$5:$B$10041,0)+3,
       MATCH(AB$3,'생산수량Back-Data'!$B$3:$AAA$3,0))</f>
        <v>0</v>
      </c>
      <c r="AC40" s="310" cm="1">
        <f t="array" ref="AC40">INDEX('생산수량Back-Data'!$B$5:$AAA$10041,
       MATCH($B39,'생산수량Back-Data'!$B$5:$B$10041,0)+3,
       MATCH(AC$3,'생산수량Back-Data'!$B$3:$AAA$3,0))</f>
        <v>0</v>
      </c>
      <c r="AD40" s="310" cm="1">
        <f t="array" ref="AD40">INDEX('생산수량Back-Data'!$B$5:$AAA$10041,
       MATCH($B39,'생산수량Back-Data'!$B$5:$B$10041,0)+3,
       MATCH(AD$3,'생산수량Back-Data'!$B$3:$AAA$3,0))</f>
        <v>0</v>
      </c>
      <c r="AE40" s="310" cm="1">
        <f t="array" ref="AE40">INDEX('생산수량Back-Data'!$B$5:$AAA$10041,
       MATCH($B39,'생산수량Back-Data'!$B$5:$B$10041,0)+3,
       MATCH(AE$3,'생산수량Back-Data'!$B$3:$AAA$3,0))</f>
        <v>0</v>
      </c>
      <c r="AF40" s="310" cm="1">
        <f t="array" ref="AF40">INDEX('생산수량Back-Data'!$B$5:$AAA$10041,
       MATCH($B39,'생산수량Back-Data'!$B$5:$B$10041,0)+3,
       MATCH(AF$3,'생산수량Back-Data'!$B$3:$AAA$3,0))</f>
        <v>0</v>
      </c>
      <c r="AG40" s="310" cm="1">
        <f t="array" ref="AG40">INDEX('생산수량Back-Data'!$B$5:$AAA$10041,
       MATCH($B39,'생산수량Back-Data'!$B$5:$B$10041,0)+3,
       MATCH(AG$3,'생산수량Back-Data'!$B$3:$AAA$3,0))</f>
        <v>0</v>
      </c>
      <c r="AH40" s="310" cm="1">
        <f t="array" ref="AH40">INDEX('생산수량Back-Data'!$B$5:$AAA$10041,
       MATCH($B39,'생산수량Back-Data'!$B$5:$B$10041,0)+3,
       MATCH(AH$3,'생산수량Back-Data'!$B$3:$AAA$3,0))</f>
        <v>0</v>
      </c>
      <c r="AI40" s="310" cm="1">
        <f t="array" ref="AI40">INDEX('생산수량Back-Data'!$B$5:$AAA$10041,
       MATCH($B39,'생산수량Back-Data'!$B$5:$B$10041,0)+3,
       MATCH(AI$3,'생산수량Back-Data'!$B$3:$AAA$3,0))</f>
        <v>0</v>
      </c>
      <c r="AJ40" s="310" cm="1">
        <f t="array" ref="AJ40">INDEX('생산수량Back-Data'!$B$5:$AAA$10041,
       MATCH($B39,'생산수량Back-Data'!$B$5:$B$10041,0)+3,
       MATCH(AJ$3,'생산수량Back-Data'!$B$3:$AAA$3,0))</f>
        <v>0</v>
      </c>
      <c r="AK40" s="310" cm="1">
        <f t="array" ref="AK40">INDEX('생산수량Back-Data'!$B$5:$AAA$10041,
       MATCH($B39,'생산수량Back-Data'!$B$5:$B$10041,0)+3,
       MATCH(AK$3,'생산수량Back-Data'!$B$3:$AAA$3,0))</f>
        <v>0</v>
      </c>
      <c r="AL40" s="310" cm="1">
        <f t="array" ref="AL40">INDEX('생산수량Back-Data'!$B$5:$AAA$10041,
       MATCH($B39,'생산수량Back-Data'!$B$5:$B$10041,0)+3,
       MATCH(AL$3,'생산수량Back-Data'!$B$3:$AAA$3,0))</f>
        <v>0</v>
      </c>
      <c r="AM40" s="310" cm="1">
        <f t="array" ref="AM40">INDEX('생산수량Back-Data'!$B$5:$AAA$10041,
       MATCH($B39,'생산수량Back-Data'!$B$5:$B$10041,0)+3,
       MATCH(AM$3,'생산수량Back-Data'!$B$3:$AAA$3,0))</f>
        <v>0</v>
      </c>
      <c r="AN40" s="310" cm="1">
        <f t="array" ref="AN40">INDEX('생산수량Back-Data'!$B$5:$AAA$10041,
       MATCH($B39,'생산수량Back-Data'!$B$5:$B$10041,0)+3,
       MATCH(AN$3,'생산수량Back-Data'!$B$3:$AAA$3,0))</f>
        <v>0</v>
      </c>
      <c r="AO40" s="310" cm="1">
        <f t="array" ref="AO40">INDEX('생산수량Back-Data'!$B$5:$AAA$10041,
       MATCH($B39,'생산수량Back-Data'!$B$5:$B$10041,0)+3,
       MATCH(AO$3,'생산수량Back-Data'!$B$3:$AAA$3,0))</f>
        <v>0</v>
      </c>
      <c r="AP40" s="310" cm="1">
        <f t="array" ref="AP40">INDEX('생산수량Back-Data'!$B$5:$AAA$10041,
       MATCH($B39,'생산수량Back-Data'!$B$5:$B$10041,0)+3,
       MATCH(AP$3,'생산수량Back-Data'!$B$3:$AAA$3,0))</f>
        <v>0</v>
      </c>
      <c r="AQ40" s="310" cm="1">
        <f t="array" ref="AQ40">INDEX('생산수량Back-Data'!$B$5:$AAA$10041,
       MATCH($B39,'생산수량Back-Data'!$B$5:$B$10041,0)+3,
       MATCH(AQ$3,'생산수량Back-Data'!$B$3:$AAA$3,0))</f>
        <v>0</v>
      </c>
      <c r="AR40" s="310" cm="1">
        <f t="array" ref="AR40">INDEX('생산수량Back-Data'!$B$5:$AAA$10041,
       MATCH($B39,'생산수량Back-Data'!$B$5:$B$10041,0)+3,
       MATCH(AR$3,'생산수량Back-Data'!$B$3:$AAA$3,0))</f>
        <v>0</v>
      </c>
      <c r="AS40" s="310" cm="1">
        <f t="array" ref="AS40">INDEX('생산수량Back-Data'!$B$5:$AAA$10041,
       MATCH($B39,'생산수량Back-Data'!$B$5:$B$10041,0)+3,
       MATCH(AS$3,'생산수량Back-Data'!$B$3:$AAA$3,0))</f>
        <v>0</v>
      </c>
      <c r="AT40" s="310" cm="1">
        <f t="array" ref="AT40">INDEX('생산수량Back-Data'!$B$5:$AAA$10041,
       MATCH($B39,'생산수량Back-Data'!$B$5:$B$10041,0)+3,
       MATCH(AT$3,'생산수량Back-Data'!$B$3:$AAA$3,0))</f>
        <v>0</v>
      </c>
      <c r="AU40" s="324" cm="1">
        <f t="array" ref="AU40">INDEX('생산수량Back-Data'!$B$5:$AAA$10041,
       MATCH($B39,'생산수량Back-Data'!$B$5:$B$10041,0)+3,
       MATCH(AU$3,'생산수량Back-Data'!$B$3:$AAA$3,0))</f>
        <v>0</v>
      </c>
    </row>
    <row r="41" spans="2:47" ht="32.1" customHeight="1" x14ac:dyDescent="0.3">
      <c r="B41" s="449" t="s">
        <v>68</v>
      </c>
      <c r="C41" s="449" t="s">
        <v>214</v>
      </c>
      <c r="D41" s="449" t="s">
        <v>215</v>
      </c>
      <c r="E41" s="446">
        <f>ABS(SUMIFS('Fixture 총 발주수량'!V:V,'Fixture 총 발주수량'!B:B,'클린룸 생산계획'!B41,'Fixture 총 발주수량'!V:V,"&lt;0"))</f>
        <v>410</v>
      </c>
      <c r="F41" s="435">
        <f>G41-E41</f>
        <v>-410</v>
      </c>
      <c r="G41" s="435">
        <f>SUMIF(Q41:AU41, "&gt;0")</f>
        <v>0</v>
      </c>
      <c r="H41" s="435">
        <f>SUMIF(Q42:AU42, "&gt;0")</f>
        <v>0</v>
      </c>
      <c r="I41" s="448">
        <f>IFERROR(H41/G41,)</f>
        <v>0</v>
      </c>
      <c r="J41" s="435">
        <f ca="1">IFERROR(SUMIF('Fixture 총 발주수량'!B:AG,'클린룸 생산계획'!B41,'Fixture 총 발주수량'!Y:Y),)</f>
        <v>0</v>
      </c>
      <c r="K41" s="435">
        <f ca="1">IFERROR(SUMIF('Fixture 총 발주수량'!B:AG,'클린룸 생산계획'!B41,'Fixture 총 발주수량'!W:W),)</f>
        <v>0</v>
      </c>
      <c r="L41" s="446">
        <f>ROUNDUP(E41/2000,)</f>
        <v>1</v>
      </c>
      <c r="M41" s="446">
        <f>M39+L41</f>
        <v>20</v>
      </c>
      <c r="N41" s="446">
        <f>M41+L41</f>
        <v>21</v>
      </c>
      <c r="O41" s="446">
        <f>O39+L41</f>
        <v>20</v>
      </c>
      <c r="P41" s="336" t="s">
        <v>264</v>
      </c>
      <c r="Q41" s="419"/>
      <c r="R41" s="417"/>
      <c r="S41" s="417"/>
      <c r="T41" s="417"/>
      <c r="U41" s="417"/>
      <c r="V41" s="417"/>
      <c r="W41" s="417"/>
      <c r="X41" s="417"/>
      <c r="Y41" s="417"/>
      <c r="Z41" s="417"/>
      <c r="AA41" s="417"/>
      <c r="AB41" s="417"/>
      <c r="AC41" s="417"/>
      <c r="AD41" s="417"/>
      <c r="AE41" s="417"/>
      <c r="AF41" s="417"/>
      <c r="AG41" s="417"/>
      <c r="AH41" s="417"/>
      <c r="AI41" s="417"/>
      <c r="AJ41" s="417"/>
      <c r="AK41" s="417"/>
      <c r="AL41" s="417"/>
      <c r="AM41" s="417"/>
      <c r="AN41" s="417"/>
      <c r="AO41" s="417"/>
      <c r="AP41" s="417"/>
      <c r="AQ41" s="417"/>
      <c r="AR41" s="417"/>
      <c r="AS41" s="417"/>
      <c r="AT41" s="417"/>
      <c r="AU41" s="313"/>
    </row>
    <row r="42" spans="2:47" ht="32.1" customHeight="1" x14ac:dyDescent="0.3">
      <c r="B42" s="445"/>
      <c r="C42" s="445"/>
      <c r="D42" s="445"/>
      <c r="E42" s="439"/>
      <c r="F42" s="436"/>
      <c r="G42" s="436"/>
      <c r="H42" s="436"/>
      <c r="I42" s="443"/>
      <c r="J42" s="436"/>
      <c r="K42" s="436"/>
      <c r="L42" s="439"/>
      <c r="M42" s="439"/>
      <c r="N42" s="439"/>
      <c r="O42" s="439"/>
      <c r="P42" s="306" t="s">
        <v>266</v>
      </c>
      <c r="Q42" s="327" cm="1">
        <f t="array" ref="Q42">INDEX('생산수량Back-Data'!$B$5:$AAA$10041,
       MATCH($B41,'생산수량Back-Data'!$B$5:$B$10041,0)+3,
       MATCH(Q$3,'생산수량Back-Data'!$B$3:$AAA$3,0))</f>
        <v>0</v>
      </c>
      <c r="R42" s="328" cm="1">
        <f t="array" ref="R42">INDEX('생산수량Back-Data'!$B$5:$AAA$10041,
       MATCH($B41,'생산수량Back-Data'!$B$5:$B$10041,0)+3,
       MATCH(R$3,'생산수량Back-Data'!$B$3:$AAA$3,0))</f>
        <v>0</v>
      </c>
      <c r="S42" s="328" cm="1">
        <f t="array" ref="S42">INDEX('생산수량Back-Data'!$B$5:$AAA$10041,
       MATCH($B41,'생산수량Back-Data'!$B$5:$B$10041,0)+3,
       MATCH(S$3,'생산수량Back-Data'!$B$3:$AAA$3,0))</f>
        <v>0</v>
      </c>
      <c r="T42" s="328" cm="1">
        <f t="array" ref="T42">INDEX('생산수량Back-Data'!$B$5:$AAA$10041,
       MATCH($B41,'생산수량Back-Data'!$B$5:$B$10041,0)+3,
       MATCH(T$3,'생산수량Back-Data'!$B$3:$AAA$3,0))</f>
        <v>0</v>
      </c>
      <c r="U42" s="328" cm="1">
        <f t="array" ref="U42">INDEX('생산수량Back-Data'!$B$5:$AAA$10041,
       MATCH($B41,'생산수량Back-Data'!$B$5:$B$10041,0)+3,
       MATCH(U$3,'생산수량Back-Data'!$B$3:$AAA$3,0))</f>
        <v>0</v>
      </c>
      <c r="V42" s="328" cm="1">
        <f t="array" ref="V42">INDEX('생산수량Back-Data'!$B$5:$AAA$10041,
       MATCH($B41,'생산수량Back-Data'!$B$5:$B$10041,0)+3,
       MATCH(V$3,'생산수량Back-Data'!$B$3:$AAA$3,0))</f>
        <v>0</v>
      </c>
      <c r="W42" s="328" cm="1">
        <f t="array" ref="W42">INDEX('생산수량Back-Data'!$B$5:$AAA$10041,
       MATCH($B41,'생산수량Back-Data'!$B$5:$B$10041,0)+3,
       MATCH(W$3,'생산수량Back-Data'!$B$3:$AAA$3,0))</f>
        <v>0</v>
      </c>
      <c r="X42" s="328" cm="1">
        <f t="array" ref="X42">INDEX('생산수량Back-Data'!$B$5:$AAA$10041,
       MATCH($B41,'생산수량Back-Data'!$B$5:$B$10041,0)+3,
       MATCH(X$3,'생산수량Back-Data'!$B$3:$AAA$3,0))</f>
        <v>0</v>
      </c>
      <c r="Y42" s="328" cm="1">
        <f t="array" ref="Y42">INDEX('생산수량Back-Data'!$B$5:$AAA$10041,
       MATCH($B41,'생산수량Back-Data'!$B$5:$B$10041,0)+3,
       MATCH(Y$3,'생산수량Back-Data'!$B$3:$AAA$3,0))</f>
        <v>0</v>
      </c>
      <c r="Z42" s="328" cm="1">
        <f t="array" ref="Z42">INDEX('생산수량Back-Data'!$B$5:$AAA$10041,
       MATCH($B41,'생산수량Back-Data'!$B$5:$B$10041,0)+3,
       MATCH(Z$3,'생산수량Back-Data'!$B$3:$AAA$3,0))</f>
        <v>0</v>
      </c>
      <c r="AA42" s="328" cm="1">
        <f t="array" ref="AA42">INDEX('생산수량Back-Data'!$B$5:$AAA$10041,
       MATCH($B41,'생산수량Back-Data'!$B$5:$B$10041,0)+3,
       MATCH(AA$3,'생산수량Back-Data'!$B$3:$AAA$3,0))</f>
        <v>0</v>
      </c>
      <c r="AB42" s="328" cm="1">
        <f t="array" ref="AB42">INDEX('생산수량Back-Data'!$B$5:$AAA$10041,
       MATCH($B41,'생산수량Back-Data'!$B$5:$B$10041,0)+3,
       MATCH(AB$3,'생산수량Back-Data'!$B$3:$AAA$3,0))</f>
        <v>0</v>
      </c>
      <c r="AC42" s="328" cm="1">
        <f t="array" ref="AC42">INDEX('생산수량Back-Data'!$B$5:$AAA$10041,
       MATCH($B41,'생산수량Back-Data'!$B$5:$B$10041,0)+3,
       MATCH(AC$3,'생산수량Back-Data'!$B$3:$AAA$3,0))</f>
        <v>0</v>
      </c>
      <c r="AD42" s="328" cm="1">
        <f t="array" ref="AD42">INDEX('생산수량Back-Data'!$B$5:$AAA$10041,
       MATCH($B41,'생산수량Back-Data'!$B$5:$B$10041,0)+3,
       MATCH(AD$3,'생산수량Back-Data'!$B$3:$AAA$3,0))</f>
        <v>0</v>
      </c>
      <c r="AE42" s="328" cm="1">
        <f t="array" ref="AE42">INDEX('생산수량Back-Data'!$B$5:$AAA$10041,
       MATCH($B41,'생산수량Back-Data'!$B$5:$B$10041,0)+3,
       MATCH(AE$3,'생산수량Back-Data'!$B$3:$AAA$3,0))</f>
        <v>0</v>
      </c>
      <c r="AF42" s="328" cm="1">
        <f t="array" ref="AF42">INDEX('생산수량Back-Data'!$B$5:$AAA$10041,
       MATCH($B41,'생산수량Back-Data'!$B$5:$B$10041,0)+3,
       MATCH(AF$3,'생산수량Back-Data'!$B$3:$AAA$3,0))</f>
        <v>0</v>
      </c>
      <c r="AG42" s="328" cm="1">
        <f t="array" ref="AG42">INDEX('생산수량Back-Data'!$B$5:$AAA$10041,
       MATCH($B41,'생산수량Back-Data'!$B$5:$B$10041,0)+3,
       MATCH(AG$3,'생산수량Back-Data'!$B$3:$AAA$3,0))</f>
        <v>0</v>
      </c>
      <c r="AH42" s="328" cm="1">
        <f t="array" ref="AH42">INDEX('생산수량Back-Data'!$B$5:$AAA$10041,
       MATCH($B41,'생산수량Back-Data'!$B$5:$B$10041,0)+3,
       MATCH(AH$3,'생산수량Back-Data'!$B$3:$AAA$3,0))</f>
        <v>0</v>
      </c>
      <c r="AI42" s="328" cm="1">
        <f t="array" ref="AI42">INDEX('생산수량Back-Data'!$B$5:$AAA$10041,
       MATCH($B41,'생산수량Back-Data'!$B$5:$B$10041,0)+3,
       MATCH(AI$3,'생산수량Back-Data'!$B$3:$AAA$3,0))</f>
        <v>0</v>
      </c>
      <c r="AJ42" s="328" cm="1">
        <f t="array" ref="AJ42">INDEX('생산수량Back-Data'!$B$5:$AAA$10041,
       MATCH($B41,'생산수량Back-Data'!$B$5:$B$10041,0)+3,
       MATCH(AJ$3,'생산수량Back-Data'!$B$3:$AAA$3,0))</f>
        <v>0</v>
      </c>
      <c r="AK42" s="328" cm="1">
        <f t="array" ref="AK42">INDEX('생산수량Back-Data'!$B$5:$AAA$10041,
       MATCH($B41,'생산수량Back-Data'!$B$5:$B$10041,0)+3,
       MATCH(AK$3,'생산수량Back-Data'!$B$3:$AAA$3,0))</f>
        <v>0</v>
      </c>
      <c r="AL42" s="328" cm="1">
        <f t="array" ref="AL42">INDEX('생산수량Back-Data'!$B$5:$AAA$10041,
       MATCH($B41,'생산수량Back-Data'!$B$5:$B$10041,0)+3,
       MATCH(AL$3,'생산수량Back-Data'!$B$3:$AAA$3,0))</f>
        <v>0</v>
      </c>
      <c r="AM42" s="328" cm="1">
        <f t="array" ref="AM42">INDEX('생산수량Back-Data'!$B$5:$AAA$10041,
       MATCH($B41,'생산수량Back-Data'!$B$5:$B$10041,0)+3,
       MATCH(AM$3,'생산수량Back-Data'!$B$3:$AAA$3,0))</f>
        <v>0</v>
      </c>
      <c r="AN42" s="328" cm="1">
        <f t="array" ref="AN42">INDEX('생산수량Back-Data'!$B$5:$AAA$10041,
       MATCH($B41,'생산수량Back-Data'!$B$5:$B$10041,0)+3,
       MATCH(AN$3,'생산수량Back-Data'!$B$3:$AAA$3,0))</f>
        <v>0</v>
      </c>
      <c r="AO42" s="328" cm="1">
        <f t="array" ref="AO42">INDEX('생산수량Back-Data'!$B$5:$AAA$10041,
       MATCH($B41,'생산수량Back-Data'!$B$5:$B$10041,0)+3,
       MATCH(AO$3,'생산수량Back-Data'!$B$3:$AAA$3,0))</f>
        <v>0</v>
      </c>
      <c r="AP42" s="328" cm="1">
        <f t="array" ref="AP42">INDEX('생산수량Back-Data'!$B$5:$AAA$10041,
       MATCH($B41,'생산수량Back-Data'!$B$5:$B$10041,0)+3,
       MATCH(AP$3,'생산수량Back-Data'!$B$3:$AAA$3,0))</f>
        <v>0</v>
      </c>
      <c r="AQ42" s="328" cm="1">
        <f t="array" ref="AQ42">INDEX('생산수량Back-Data'!$B$5:$AAA$10041,
       MATCH($B41,'생산수량Back-Data'!$B$5:$B$10041,0)+3,
       MATCH(AQ$3,'생산수량Back-Data'!$B$3:$AAA$3,0))</f>
        <v>0</v>
      </c>
      <c r="AR42" s="328" cm="1">
        <f t="array" ref="AR42">INDEX('생산수량Back-Data'!$B$5:$AAA$10041,
       MATCH($B41,'생산수량Back-Data'!$B$5:$B$10041,0)+3,
       MATCH(AR$3,'생산수량Back-Data'!$B$3:$AAA$3,0))</f>
        <v>0</v>
      </c>
      <c r="AS42" s="328" cm="1">
        <f t="array" ref="AS42">INDEX('생산수량Back-Data'!$B$5:$AAA$10041,
       MATCH($B41,'생산수량Back-Data'!$B$5:$B$10041,0)+3,
       MATCH(AS$3,'생산수량Back-Data'!$B$3:$AAA$3,0))</f>
        <v>0</v>
      </c>
      <c r="AT42" s="328" cm="1">
        <f t="array" ref="AT42">INDEX('생산수량Back-Data'!$B$5:$AAA$10041,
       MATCH($B41,'생산수량Back-Data'!$B$5:$B$10041,0)+3,
       MATCH(AT$3,'생산수량Back-Data'!$B$3:$AAA$3,0))</f>
        <v>0</v>
      </c>
      <c r="AU42" s="324" cm="1">
        <f t="array" ref="AU42">INDEX('생산수량Back-Data'!$B$5:$AAA$10041,
       MATCH($B41,'생산수량Back-Data'!$B$5:$B$10041,0)+3,
       MATCH(AU$3,'생산수량Back-Data'!$B$3:$AAA$3,0))</f>
        <v>0</v>
      </c>
    </row>
    <row r="43" spans="2:47" ht="32.1" customHeight="1" x14ac:dyDescent="0.3">
      <c r="B43" s="444" t="s">
        <v>69</v>
      </c>
      <c r="C43" s="444" t="s">
        <v>214</v>
      </c>
      <c r="D43" s="444" t="s">
        <v>216</v>
      </c>
      <c r="E43" s="438">
        <f>ABS(SUMIFS('Fixture 총 발주수량'!V:V,'Fixture 총 발주수량'!B:B,'클린룸 생산계획'!B43,'Fixture 총 발주수량'!V:V,"&lt;0"))</f>
        <v>375</v>
      </c>
      <c r="F43" s="437">
        <f>G43-E43</f>
        <v>-375</v>
      </c>
      <c r="G43" s="437">
        <f>SUMIF(Q43:AU43, "&gt;0")</f>
        <v>0</v>
      </c>
      <c r="H43" s="437">
        <f>SUMIF(Q44:AU44, "&gt;0")</f>
        <v>0</v>
      </c>
      <c r="I43" s="442">
        <f>IFERROR(H43/G43,)</f>
        <v>0</v>
      </c>
      <c r="J43" s="437">
        <f ca="1">IFERROR(SUMIF('Fixture 총 발주수량'!B:AG,'클린룸 생산계획'!B43,'Fixture 총 발주수량'!Y:Y),)</f>
        <v>0</v>
      </c>
      <c r="K43" s="437">
        <f ca="1">IFERROR(SUMIF('Fixture 총 발주수량'!B:AG,'클린룸 생산계획'!B43,'Fixture 총 발주수량'!W:W),)</f>
        <v>0</v>
      </c>
      <c r="L43" s="438">
        <f>ROUNDUP(E43/2000,)</f>
        <v>1</v>
      </c>
      <c r="M43" s="438">
        <f>M41+L43</f>
        <v>21</v>
      </c>
      <c r="N43" s="438">
        <f>M43+L43</f>
        <v>22</v>
      </c>
      <c r="O43" s="438">
        <f>O41+L43</f>
        <v>21</v>
      </c>
      <c r="P43" s="306" t="s">
        <v>264</v>
      </c>
      <c r="Q43" s="325"/>
      <c r="R43" s="312"/>
      <c r="S43" s="312"/>
      <c r="T43" s="312"/>
      <c r="U43" s="312"/>
      <c r="V43" s="312"/>
      <c r="W43" s="312"/>
      <c r="X43" s="312"/>
      <c r="Y43" s="312"/>
      <c r="Z43" s="312"/>
      <c r="AA43" s="312"/>
      <c r="AB43" s="312"/>
      <c r="AC43" s="312"/>
      <c r="AD43" s="312"/>
      <c r="AE43" s="312"/>
      <c r="AF43" s="312"/>
      <c r="AG43" s="312"/>
      <c r="AH43" s="312"/>
      <c r="AI43" s="312"/>
      <c r="AJ43" s="312"/>
      <c r="AK43" s="312"/>
      <c r="AL43" s="312"/>
      <c r="AM43" s="312"/>
      <c r="AN43" s="312"/>
      <c r="AO43" s="312"/>
      <c r="AP43" s="312"/>
      <c r="AQ43" s="312"/>
      <c r="AR43" s="312"/>
      <c r="AS43" s="312"/>
      <c r="AT43" s="312"/>
      <c r="AU43" s="313"/>
    </row>
    <row r="44" spans="2:47" ht="32.1" customHeight="1" x14ac:dyDescent="0.3">
      <c r="B44" s="445"/>
      <c r="C44" s="445"/>
      <c r="D44" s="445"/>
      <c r="E44" s="439"/>
      <c r="F44" s="436"/>
      <c r="G44" s="436"/>
      <c r="H44" s="436"/>
      <c r="I44" s="443"/>
      <c r="J44" s="436"/>
      <c r="K44" s="436"/>
      <c r="L44" s="439"/>
      <c r="M44" s="439"/>
      <c r="N44" s="439"/>
      <c r="O44" s="439"/>
      <c r="P44" s="306" t="s">
        <v>266</v>
      </c>
      <c r="Q44" s="323" cm="1">
        <f t="array" ref="Q44">INDEX('생산수량Back-Data'!$B$5:$AAA$10041,
       MATCH($B43,'생산수량Back-Data'!$B$5:$B$10041,0)+3,
       MATCH(Q$3,'생산수량Back-Data'!$B$3:$AAA$3,0))</f>
        <v>0</v>
      </c>
      <c r="R44" s="310" cm="1">
        <f t="array" ref="R44">INDEX('생산수량Back-Data'!$B$5:$AAA$10041,
       MATCH($B43,'생산수량Back-Data'!$B$5:$B$10041,0)+3,
       MATCH(R$3,'생산수량Back-Data'!$B$3:$AAA$3,0))</f>
        <v>0</v>
      </c>
      <c r="S44" s="310" cm="1">
        <f t="array" ref="S44">INDEX('생산수량Back-Data'!$B$5:$AAA$10041,
       MATCH($B43,'생산수량Back-Data'!$B$5:$B$10041,0)+3,
       MATCH(S$3,'생산수량Back-Data'!$B$3:$AAA$3,0))</f>
        <v>0</v>
      </c>
      <c r="T44" s="310" cm="1">
        <f t="array" ref="T44">INDEX('생산수량Back-Data'!$B$5:$AAA$10041,
       MATCH($B43,'생산수량Back-Data'!$B$5:$B$10041,0)+3,
       MATCH(T$3,'생산수량Back-Data'!$B$3:$AAA$3,0))</f>
        <v>0</v>
      </c>
      <c r="U44" s="310" cm="1">
        <f t="array" ref="U44">INDEX('생산수량Back-Data'!$B$5:$AAA$10041,
       MATCH($B43,'생산수량Back-Data'!$B$5:$B$10041,0)+3,
       MATCH(U$3,'생산수량Back-Data'!$B$3:$AAA$3,0))</f>
        <v>0</v>
      </c>
      <c r="V44" s="310" cm="1">
        <f t="array" ref="V44">INDEX('생산수량Back-Data'!$B$5:$AAA$10041,
       MATCH($B43,'생산수량Back-Data'!$B$5:$B$10041,0)+3,
       MATCH(V$3,'생산수량Back-Data'!$B$3:$AAA$3,0))</f>
        <v>0</v>
      </c>
      <c r="W44" s="310" cm="1">
        <f t="array" ref="W44">INDEX('생산수량Back-Data'!$B$5:$AAA$10041,
       MATCH($B43,'생산수량Back-Data'!$B$5:$B$10041,0)+3,
       MATCH(W$3,'생산수량Back-Data'!$B$3:$AAA$3,0))</f>
        <v>0</v>
      </c>
      <c r="X44" s="310" cm="1">
        <f t="array" ref="X44">INDEX('생산수량Back-Data'!$B$5:$AAA$10041,
       MATCH($B43,'생산수량Back-Data'!$B$5:$B$10041,0)+3,
       MATCH(X$3,'생산수량Back-Data'!$B$3:$AAA$3,0))</f>
        <v>0</v>
      </c>
      <c r="Y44" s="310" cm="1">
        <f t="array" ref="Y44">INDEX('생산수량Back-Data'!$B$5:$AAA$10041,
       MATCH($B43,'생산수량Back-Data'!$B$5:$B$10041,0)+3,
       MATCH(Y$3,'생산수량Back-Data'!$B$3:$AAA$3,0))</f>
        <v>0</v>
      </c>
      <c r="Z44" s="310" cm="1">
        <f t="array" ref="Z44">INDEX('생산수량Back-Data'!$B$5:$AAA$10041,
       MATCH($B43,'생산수량Back-Data'!$B$5:$B$10041,0)+3,
       MATCH(Z$3,'생산수량Back-Data'!$B$3:$AAA$3,0))</f>
        <v>0</v>
      </c>
      <c r="AA44" s="310" cm="1">
        <f t="array" ref="AA44">INDEX('생산수량Back-Data'!$B$5:$AAA$10041,
       MATCH($B43,'생산수량Back-Data'!$B$5:$B$10041,0)+3,
       MATCH(AA$3,'생산수량Back-Data'!$B$3:$AAA$3,0))</f>
        <v>0</v>
      </c>
      <c r="AB44" s="310" cm="1">
        <f t="array" ref="AB44">INDEX('생산수량Back-Data'!$B$5:$AAA$10041,
       MATCH($B43,'생산수량Back-Data'!$B$5:$B$10041,0)+3,
       MATCH(AB$3,'생산수량Back-Data'!$B$3:$AAA$3,0))</f>
        <v>0</v>
      </c>
      <c r="AC44" s="310" cm="1">
        <f t="array" ref="AC44">INDEX('생산수량Back-Data'!$B$5:$AAA$10041,
       MATCH($B43,'생산수량Back-Data'!$B$5:$B$10041,0)+3,
       MATCH(AC$3,'생산수량Back-Data'!$B$3:$AAA$3,0))</f>
        <v>0</v>
      </c>
      <c r="AD44" s="310" cm="1">
        <f t="array" ref="AD44">INDEX('생산수량Back-Data'!$B$5:$AAA$10041,
       MATCH($B43,'생산수량Back-Data'!$B$5:$B$10041,0)+3,
       MATCH(AD$3,'생산수량Back-Data'!$B$3:$AAA$3,0))</f>
        <v>0</v>
      </c>
      <c r="AE44" s="310" cm="1">
        <f t="array" ref="AE44">INDEX('생산수량Back-Data'!$B$5:$AAA$10041,
       MATCH($B43,'생산수량Back-Data'!$B$5:$B$10041,0)+3,
       MATCH(AE$3,'생산수량Back-Data'!$B$3:$AAA$3,0))</f>
        <v>0</v>
      </c>
      <c r="AF44" s="310" cm="1">
        <f t="array" ref="AF44">INDEX('생산수량Back-Data'!$B$5:$AAA$10041,
       MATCH($B43,'생산수량Back-Data'!$B$5:$B$10041,0)+3,
       MATCH(AF$3,'생산수량Back-Data'!$B$3:$AAA$3,0))</f>
        <v>0</v>
      </c>
      <c r="AG44" s="310" cm="1">
        <f t="array" ref="AG44">INDEX('생산수량Back-Data'!$B$5:$AAA$10041,
       MATCH($B43,'생산수량Back-Data'!$B$5:$B$10041,0)+3,
       MATCH(AG$3,'생산수량Back-Data'!$B$3:$AAA$3,0))</f>
        <v>0</v>
      </c>
      <c r="AH44" s="310" cm="1">
        <f t="array" ref="AH44">INDEX('생산수량Back-Data'!$B$5:$AAA$10041,
       MATCH($B43,'생산수량Back-Data'!$B$5:$B$10041,0)+3,
       MATCH(AH$3,'생산수량Back-Data'!$B$3:$AAA$3,0))</f>
        <v>0</v>
      </c>
      <c r="AI44" s="310" cm="1">
        <f t="array" ref="AI44">INDEX('생산수량Back-Data'!$B$5:$AAA$10041,
       MATCH($B43,'생산수량Back-Data'!$B$5:$B$10041,0)+3,
       MATCH(AI$3,'생산수량Back-Data'!$B$3:$AAA$3,0))</f>
        <v>0</v>
      </c>
      <c r="AJ44" s="310" cm="1">
        <f t="array" ref="AJ44">INDEX('생산수량Back-Data'!$B$5:$AAA$10041,
       MATCH($B43,'생산수량Back-Data'!$B$5:$B$10041,0)+3,
       MATCH(AJ$3,'생산수량Back-Data'!$B$3:$AAA$3,0))</f>
        <v>0</v>
      </c>
      <c r="AK44" s="310" cm="1">
        <f t="array" ref="AK44">INDEX('생산수량Back-Data'!$B$5:$AAA$10041,
       MATCH($B43,'생산수량Back-Data'!$B$5:$B$10041,0)+3,
       MATCH(AK$3,'생산수량Back-Data'!$B$3:$AAA$3,0))</f>
        <v>0</v>
      </c>
      <c r="AL44" s="310" cm="1">
        <f t="array" ref="AL44">INDEX('생산수량Back-Data'!$B$5:$AAA$10041,
       MATCH($B43,'생산수량Back-Data'!$B$5:$B$10041,0)+3,
       MATCH(AL$3,'생산수량Back-Data'!$B$3:$AAA$3,0))</f>
        <v>0</v>
      </c>
      <c r="AM44" s="310" cm="1">
        <f t="array" ref="AM44">INDEX('생산수량Back-Data'!$B$5:$AAA$10041,
       MATCH($B43,'생산수량Back-Data'!$B$5:$B$10041,0)+3,
       MATCH(AM$3,'생산수량Back-Data'!$B$3:$AAA$3,0))</f>
        <v>0</v>
      </c>
      <c r="AN44" s="310" cm="1">
        <f t="array" ref="AN44">INDEX('생산수량Back-Data'!$B$5:$AAA$10041,
       MATCH($B43,'생산수량Back-Data'!$B$5:$B$10041,0)+3,
       MATCH(AN$3,'생산수량Back-Data'!$B$3:$AAA$3,0))</f>
        <v>0</v>
      </c>
      <c r="AO44" s="310" cm="1">
        <f t="array" ref="AO44">INDEX('생산수량Back-Data'!$B$5:$AAA$10041,
       MATCH($B43,'생산수량Back-Data'!$B$5:$B$10041,0)+3,
       MATCH(AO$3,'생산수량Back-Data'!$B$3:$AAA$3,0))</f>
        <v>0</v>
      </c>
      <c r="AP44" s="310" cm="1">
        <f t="array" ref="AP44">INDEX('생산수량Back-Data'!$B$5:$AAA$10041,
       MATCH($B43,'생산수량Back-Data'!$B$5:$B$10041,0)+3,
       MATCH(AP$3,'생산수량Back-Data'!$B$3:$AAA$3,0))</f>
        <v>0</v>
      </c>
      <c r="AQ44" s="310" cm="1">
        <f t="array" ref="AQ44">INDEX('생산수량Back-Data'!$B$5:$AAA$10041,
       MATCH($B43,'생산수량Back-Data'!$B$5:$B$10041,0)+3,
       MATCH(AQ$3,'생산수량Back-Data'!$B$3:$AAA$3,0))</f>
        <v>0</v>
      </c>
      <c r="AR44" s="310" cm="1">
        <f t="array" ref="AR44">INDEX('생산수량Back-Data'!$B$5:$AAA$10041,
       MATCH($B43,'생산수량Back-Data'!$B$5:$B$10041,0)+3,
       MATCH(AR$3,'생산수량Back-Data'!$B$3:$AAA$3,0))</f>
        <v>0</v>
      </c>
      <c r="AS44" s="310" cm="1">
        <f t="array" ref="AS44">INDEX('생산수량Back-Data'!$B$5:$AAA$10041,
       MATCH($B43,'생산수량Back-Data'!$B$5:$B$10041,0)+3,
       MATCH(AS$3,'생산수량Back-Data'!$B$3:$AAA$3,0))</f>
        <v>0</v>
      </c>
      <c r="AT44" s="310" cm="1">
        <f t="array" ref="AT44">INDEX('생산수량Back-Data'!$B$5:$AAA$10041,
       MATCH($B43,'생산수량Back-Data'!$B$5:$B$10041,0)+3,
       MATCH(AT$3,'생산수량Back-Data'!$B$3:$AAA$3,0))</f>
        <v>0</v>
      </c>
      <c r="AU44" s="324" cm="1">
        <f t="array" ref="AU44">INDEX('생산수량Back-Data'!$B$5:$AAA$10041,
       MATCH($B43,'생산수량Back-Data'!$B$5:$B$10041,0)+3,
       MATCH(AU$3,'생산수량Back-Data'!$B$3:$AAA$3,0))</f>
        <v>0</v>
      </c>
    </row>
    <row r="45" spans="2:47" ht="32.1" customHeight="1" x14ac:dyDescent="0.3">
      <c r="B45" s="444" t="s">
        <v>70</v>
      </c>
      <c r="C45" s="444" t="s">
        <v>214</v>
      </c>
      <c r="D45" s="444" t="s">
        <v>217</v>
      </c>
      <c r="E45" s="438">
        <f>ABS(SUMIFS('Fixture 총 발주수량'!V:V,'Fixture 총 발주수량'!B:B,'클린룸 생산계획'!B45,'Fixture 총 발주수량'!V:V,"&lt;0"))</f>
        <v>379</v>
      </c>
      <c r="F45" s="431">
        <f>G45-E45</f>
        <v>-379</v>
      </c>
      <c r="G45" s="437">
        <f>SUMIF(Q45:AU45, "&gt;0")</f>
        <v>0</v>
      </c>
      <c r="H45" s="437">
        <f>SUMIF(Q46:AU46, "&gt;0")</f>
        <v>0</v>
      </c>
      <c r="I45" s="442">
        <f>IFERROR(H45/G45,)</f>
        <v>0</v>
      </c>
      <c r="J45" s="437">
        <f ca="1">IFERROR(SUMIF('Fixture 총 발주수량'!B:AG,'클린룸 생산계획'!B45,'Fixture 총 발주수량'!Y:Y),)</f>
        <v>0</v>
      </c>
      <c r="K45" s="437">
        <f ca="1">IFERROR(SUMIF('Fixture 총 발주수량'!B:AG,'클린룸 생산계획'!B45,'Fixture 총 발주수량'!W:W),)</f>
        <v>0</v>
      </c>
      <c r="L45" s="438">
        <f>ROUNDUP(E45/2000,)</f>
        <v>1</v>
      </c>
      <c r="M45" s="438">
        <f>M43+L45</f>
        <v>22</v>
      </c>
      <c r="N45" s="438">
        <f>M45+L45</f>
        <v>23</v>
      </c>
      <c r="O45" s="438">
        <f>O43+L45</f>
        <v>22</v>
      </c>
      <c r="P45" s="306" t="s">
        <v>264</v>
      </c>
      <c r="Q45" s="325"/>
      <c r="R45" s="312"/>
      <c r="S45" s="312"/>
      <c r="T45" s="312"/>
      <c r="U45" s="312"/>
      <c r="V45" s="312"/>
      <c r="W45" s="312"/>
      <c r="X45" s="312"/>
      <c r="Y45" s="312"/>
      <c r="Z45" s="312"/>
      <c r="AA45" s="312"/>
      <c r="AB45" s="312"/>
      <c r="AC45" s="312"/>
      <c r="AD45" s="312"/>
      <c r="AE45" s="312"/>
      <c r="AF45" s="312"/>
      <c r="AG45" s="312"/>
      <c r="AH45" s="312"/>
      <c r="AI45" s="312"/>
      <c r="AJ45" s="312"/>
      <c r="AK45" s="312"/>
      <c r="AL45" s="312"/>
      <c r="AM45" s="312"/>
      <c r="AN45" s="312"/>
      <c r="AO45" s="312"/>
      <c r="AP45" s="312"/>
      <c r="AQ45" s="312"/>
      <c r="AR45" s="312"/>
      <c r="AS45" s="312"/>
      <c r="AT45" s="312"/>
      <c r="AU45" s="313"/>
    </row>
    <row r="46" spans="2:47" ht="32.1" customHeight="1" thickBot="1" x14ac:dyDescent="0.35">
      <c r="B46" s="454"/>
      <c r="C46" s="454"/>
      <c r="D46" s="454"/>
      <c r="E46" s="450"/>
      <c r="F46" s="461"/>
      <c r="G46" s="452"/>
      <c r="H46" s="452"/>
      <c r="I46" s="453"/>
      <c r="J46" s="452"/>
      <c r="K46" s="452"/>
      <c r="L46" s="450"/>
      <c r="M46" s="450"/>
      <c r="N46" s="450"/>
      <c r="O46" s="450"/>
      <c r="P46" s="305" t="s">
        <v>266</v>
      </c>
      <c r="Q46" s="323" cm="1">
        <f t="array" ref="Q46">INDEX('생산수량Back-Data'!$B$5:$AAA$10041,
       MATCH($B45,'생산수량Back-Data'!$B$5:$B$10041,0)+3,
       MATCH(Q$3,'생산수량Back-Data'!$B$3:$AAA$3,0))</f>
        <v>0</v>
      </c>
      <c r="R46" s="310" cm="1">
        <f t="array" ref="R46">INDEX('생산수량Back-Data'!$B$5:$AAA$10041,
       MATCH($B45,'생산수량Back-Data'!$B$5:$B$10041,0)+3,
       MATCH(R$3,'생산수량Back-Data'!$B$3:$AAA$3,0))</f>
        <v>0</v>
      </c>
      <c r="S46" s="310" cm="1">
        <f t="array" ref="S46">INDEX('생산수량Back-Data'!$B$5:$AAA$10041,
       MATCH($B45,'생산수량Back-Data'!$B$5:$B$10041,0)+3,
       MATCH(S$3,'생산수량Back-Data'!$B$3:$AAA$3,0))</f>
        <v>0</v>
      </c>
      <c r="T46" s="310" cm="1">
        <f t="array" ref="T46">INDEX('생산수량Back-Data'!$B$5:$AAA$10041,
       MATCH($B45,'생산수량Back-Data'!$B$5:$B$10041,0)+3,
       MATCH(T$3,'생산수량Back-Data'!$B$3:$AAA$3,0))</f>
        <v>0</v>
      </c>
      <c r="U46" s="310" cm="1">
        <f t="array" ref="U46">INDEX('생산수량Back-Data'!$B$5:$AAA$10041,
       MATCH($B45,'생산수량Back-Data'!$B$5:$B$10041,0)+3,
       MATCH(U$3,'생산수량Back-Data'!$B$3:$AAA$3,0))</f>
        <v>0</v>
      </c>
      <c r="V46" s="310" cm="1">
        <f t="array" ref="V46">INDEX('생산수량Back-Data'!$B$5:$AAA$10041,
       MATCH($B45,'생산수량Back-Data'!$B$5:$B$10041,0)+3,
       MATCH(V$3,'생산수량Back-Data'!$B$3:$AAA$3,0))</f>
        <v>0</v>
      </c>
      <c r="W46" s="310" cm="1">
        <f t="array" ref="W46">INDEX('생산수량Back-Data'!$B$5:$AAA$10041,
       MATCH($B45,'생산수량Back-Data'!$B$5:$B$10041,0)+3,
       MATCH(W$3,'생산수량Back-Data'!$B$3:$AAA$3,0))</f>
        <v>0</v>
      </c>
      <c r="X46" s="310" cm="1">
        <f t="array" ref="X46">INDEX('생산수량Back-Data'!$B$5:$AAA$10041,
       MATCH($B45,'생산수량Back-Data'!$B$5:$B$10041,0)+3,
       MATCH(X$3,'생산수량Back-Data'!$B$3:$AAA$3,0))</f>
        <v>0</v>
      </c>
      <c r="Y46" s="310" cm="1">
        <f t="array" ref="Y46">INDEX('생산수량Back-Data'!$B$5:$AAA$10041,
       MATCH($B45,'생산수량Back-Data'!$B$5:$B$10041,0)+3,
       MATCH(Y$3,'생산수량Back-Data'!$B$3:$AAA$3,0))</f>
        <v>0</v>
      </c>
      <c r="Z46" s="310" cm="1">
        <f t="array" ref="Z46">INDEX('생산수량Back-Data'!$B$5:$AAA$10041,
       MATCH($B45,'생산수량Back-Data'!$B$5:$B$10041,0)+3,
       MATCH(Z$3,'생산수량Back-Data'!$B$3:$AAA$3,0))</f>
        <v>0</v>
      </c>
      <c r="AA46" s="310" cm="1">
        <f t="array" ref="AA46">INDEX('생산수량Back-Data'!$B$5:$AAA$10041,
       MATCH($B45,'생산수량Back-Data'!$B$5:$B$10041,0)+3,
       MATCH(AA$3,'생산수량Back-Data'!$B$3:$AAA$3,0))</f>
        <v>0</v>
      </c>
      <c r="AB46" s="310" cm="1">
        <f t="array" ref="AB46">INDEX('생산수량Back-Data'!$B$5:$AAA$10041,
       MATCH($B45,'생산수량Back-Data'!$B$5:$B$10041,0)+3,
       MATCH(AB$3,'생산수량Back-Data'!$B$3:$AAA$3,0))</f>
        <v>0</v>
      </c>
      <c r="AC46" s="310" cm="1">
        <f t="array" ref="AC46">INDEX('생산수량Back-Data'!$B$5:$AAA$10041,
       MATCH($B45,'생산수량Back-Data'!$B$5:$B$10041,0)+3,
       MATCH(AC$3,'생산수량Back-Data'!$B$3:$AAA$3,0))</f>
        <v>0</v>
      </c>
      <c r="AD46" s="310" cm="1">
        <f t="array" ref="AD46">INDEX('생산수량Back-Data'!$B$5:$AAA$10041,
       MATCH($B45,'생산수량Back-Data'!$B$5:$B$10041,0)+3,
       MATCH(AD$3,'생산수량Back-Data'!$B$3:$AAA$3,0))</f>
        <v>0</v>
      </c>
      <c r="AE46" s="310" cm="1">
        <f t="array" ref="AE46">INDEX('생산수량Back-Data'!$B$5:$AAA$10041,
       MATCH($B45,'생산수량Back-Data'!$B$5:$B$10041,0)+3,
       MATCH(AE$3,'생산수량Back-Data'!$B$3:$AAA$3,0))</f>
        <v>0</v>
      </c>
      <c r="AF46" s="310" cm="1">
        <f t="array" ref="AF46">INDEX('생산수량Back-Data'!$B$5:$AAA$10041,
       MATCH($B45,'생산수량Back-Data'!$B$5:$B$10041,0)+3,
       MATCH(AF$3,'생산수량Back-Data'!$B$3:$AAA$3,0))</f>
        <v>0</v>
      </c>
      <c r="AG46" s="310" cm="1">
        <f t="array" ref="AG46">INDEX('생산수량Back-Data'!$B$5:$AAA$10041,
       MATCH($B45,'생산수량Back-Data'!$B$5:$B$10041,0)+3,
       MATCH(AG$3,'생산수량Back-Data'!$B$3:$AAA$3,0))</f>
        <v>0</v>
      </c>
      <c r="AH46" s="310" cm="1">
        <f t="array" ref="AH46">INDEX('생산수량Back-Data'!$B$5:$AAA$10041,
       MATCH($B45,'생산수량Back-Data'!$B$5:$B$10041,0)+3,
       MATCH(AH$3,'생산수량Back-Data'!$B$3:$AAA$3,0))</f>
        <v>0</v>
      </c>
      <c r="AI46" s="310" cm="1">
        <f t="array" ref="AI46">INDEX('생산수량Back-Data'!$B$5:$AAA$10041,
       MATCH($B45,'생산수량Back-Data'!$B$5:$B$10041,0)+3,
       MATCH(AI$3,'생산수량Back-Data'!$B$3:$AAA$3,0))</f>
        <v>0</v>
      </c>
      <c r="AJ46" s="310" cm="1">
        <f t="array" ref="AJ46">INDEX('생산수량Back-Data'!$B$5:$AAA$10041,
       MATCH($B45,'생산수량Back-Data'!$B$5:$B$10041,0)+3,
       MATCH(AJ$3,'생산수량Back-Data'!$B$3:$AAA$3,0))</f>
        <v>0</v>
      </c>
      <c r="AK46" s="310" cm="1">
        <f t="array" ref="AK46">INDEX('생산수량Back-Data'!$B$5:$AAA$10041,
       MATCH($B45,'생산수량Back-Data'!$B$5:$B$10041,0)+3,
       MATCH(AK$3,'생산수량Back-Data'!$B$3:$AAA$3,0))</f>
        <v>0</v>
      </c>
      <c r="AL46" s="310" cm="1">
        <f t="array" ref="AL46">INDEX('생산수량Back-Data'!$B$5:$AAA$10041,
       MATCH($B45,'생산수량Back-Data'!$B$5:$B$10041,0)+3,
       MATCH(AL$3,'생산수량Back-Data'!$B$3:$AAA$3,0))</f>
        <v>0</v>
      </c>
      <c r="AM46" s="310" cm="1">
        <f t="array" ref="AM46">INDEX('생산수량Back-Data'!$B$5:$AAA$10041,
       MATCH($B45,'생산수량Back-Data'!$B$5:$B$10041,0)+3,
       MATCH(AM$3,'생산수량Back-Data'!$B$3:$AAA$3,0))</f>
        <v>0</v>
      </c>
      <c r="AN46" s="310" cm="1">
        <f t="array" ref="AN46">INDEX('생산수량Back-Data'!$B$5:$AAA$10041,
       MATCH($B45,'생산수량Back-Data'!$B$5:$B$10041,0)+3,
       MATCH(AN$3,'생산수량Back-Data'!$B$3:$AAA$3,0))</f>
        <v>0</v>
      </c>
      <c r="AO46" s="310" cm="1">
        <f t="array" ref="AO46">INDEX('생산수량Back-Data'!$B$5:$AAA$10041,
       MATCH($B45,'생산수량Back-Data'!$B$5:$B$10041,0)+3,
       MATCH(AO$3,'생산수량Back-Data'!$B$3:$AAA$3,0))</f>
        <v>0</v>
      </c>
      <c r="AP46" s="310" cm="1">
        <f t="array" ref="AP46">INDEX('생산수량Back-Data'!$B$5:$AAA$10041,
       MATCH($B45,'생산수량Back-Data'!$B$5:$B$10041,0)+3,
       MATCH(AP$3,'생산수량Back-Data'!$B$3:$AAA$3,0))</f>
        <v>0</v>
      </c>
      <c r="AQ46" s="310" cm="1">
        <f t="array" ref="AQ46">INDEX('생산수량Back-Data'!$B$5:$AAA$10041,
       MATCH($B45,'생산수량Back-Data'!$B$5:$B$10041,0)+3,
       MATCH(AQ$3,'생산수량Back-Data'!$B$3:$AAA$3,0))</f>
        <v>0</v>
      </c>
      <c r="AR46" s="310" cm="1">
        <f t="array" ref="AR46">INDEX('생산수량Back-Data'!$B$5:$AAA$10041,
       MATCH($B45,'생산수량Back-Data'!$B$5:$B$10041,0)+3,
       MATCH(AR$3,'생산수량Back-Data'!$B$3:$AAA$3,0))</f>
        <v>0</v>
      </c>
      <c r="AS46" s="310" cm="1">
        <f t="array" ref="AS46">INDEX('생산수량Back-Data'!$B$5:$AAA$10041,
       MATCH($B45,'생산수량Back-Data'!$B$5:$B$10041,0)+3,
       MATCH(AS$3,'생산수량Back-Data'!$B$3:$AAA$3,0))</f>
        <v>0</v>
      </c>
      <c r="AT46" s="310" cm="1">
        <f t="array" ref="AT46">INDEX('생산수량Back-Data'!$B$5:$AAA$10041,
       MATCH($B45,'생산수량Back-Data'!$B$5:$B$10041,0)+3,
       MATCH(AT$3,'생산수량Back-Data'!$B$3:$AAA$3,0))</f>
        <v>0</v>
      </c>
      <c r="AU46" s="324" cm="1">
        <f t="array" ref="AU46">INDEX('생산수량Back-Data'!$B$5:$AAA$10041,
       MATCH($B45,'생산수량Back-Data'!$B$5:$B$10041,0)+3,
       MATCH(AU$3,'생산수량Back-Data'!$B$3:$AAA$3,0))</f>
        <v>0</v>
      </c>
    </row>
    <row r="47" spans="2:47" ht="32.1" customHeight="1" x14ac:dyDescent="0.3">
      <c r="B47" s="449" t="s">
        <v>48</v>
      </c>
      <c r="C47" s="449" t="s">
        <v>185</v>
      </c>
      <c r="D47" s="449" t="s">
        <v>193</v>
      </c>
      <c r="E47" s="446">
        <f>ABS(SUMIFS('Fixture 총 발주수량'!V:V,'Fixture 총 발주수량'!B:B,'클린룸 생산계획'!B47,'Fixture 총 발주수량'!V:V,"&lt;0"))</f>
        <v>1286</v>
      </c>
      <c r="F47" s="434">
        <f>G47-E47</f>
        <v>-1286</v>
      </c>
      <c r="G47" s="435">
        <f>SUMIF(Q47:AU47, "&gt;0")</f>
        <v>0</v>
      </c>
      <c r="H47" s="435">
        <f>SUMIF(Q48:AU48, "&gt;0")</f>
        <v>0</v>
      </c>
      <c r="I47" s="462">
        <f>IFERROR(H47/G47,)</f>
        <v>0</v>
      </c>
      <c r="J47" s="435">
        <f ca="1">IFERROR(SUMIF('Fixture 총 발주수량'!B:AG,'클린룸 생산계획'!B47,'Fixture 총 발주수량'!Y:Y),)</f>
        <v>0</v>
      </c>
      <c r="K47" s="435">
        <f ca="1">IFERROR(SUMIF('Fixture 총 발주수량'!B:AG,'클린룸 생산계획'!B47,'Fixture 총 발주수량'!W:W),)</f>
        <v>0</v>
      </c>
      <c r="L47" s="446">
        <f>ROUNDUP(E47/2000,)</f>
        <v>1</v>
      </c>
      <c r="M47" s="446">
        <f>M45+L47</f>
        <v>23</v>
      </c>
      <c r="N47" s="446">
        <f>M47+L47</f>
        <v>24</v>
      </c>
      <c r="O47" s="446">
        <f>O45+L47</f>
        <v>23</v>
      </c>
      <c r="P47" s="336" t="s">
        <v>264</v>
      </c>
      <c r="Q47" s="420"/>
      <c r="R47" s="338"/>
      <c r="S47" s="338"/>
      <c r="T47" s="338"/>
      <c r="U47" s="338"/>
      <c r="V47" s="338"/>
      <c r="W47" s="338"/>
      <c r="X47" s="338"/>
      <c r="Y47" s="338"/>
      <c r="Z47" s="338"/>
      <c r="AA47" s="338"/>
      <c r="AB47" s="338"/>
      <c r="AC47" s="338"/>
      <c r="AD47" s="338"/>
      <c r="AE47" s="338"/>
      <c r="AF47" s="338"/>
      <c r="AG47" s="338"/>
      <c r="AH47" s="338"/>
      <c r="AI47" s="338"/>
      <c r="AJ47" s="338"/>
      <c r="AK47" s="338"/>
      <c r="AL47" s="338"/>
      <c r="AM47" s="338"/>
      <c r="AN47" s="338"/>
      <c r="AO47" s="338"/>
      <c r="AP47" s="338"/>
      <c r="AQ47" s="338"/>
      <c r="AR47" s="338"/>
      <c r="AS47" s="338"/>
      <c r="AT47" s="338"/>
      <c r="AU47" s="316"/>
    </row>
    <row r="48" spans="2:47" ht="32.1" customHeight="1" x14ac:dyDescent="0.3">
      <c r="B48" s="445"/>
      <c r="C48" s="445"/>
      <c r="D48" s="445"/>
      <c r="E48" s="439"/>
      <c r="F48" s="459"/>
      <c r="G48" s="436"/>
      <c r="H48" s="436"/>
      <c r="I48" s="463"/>
      <c r="J48" s="436"/>
      <c r="K48" s="436"/>
      <c r="L48" s="439"/>
      <c r="M48" s="439"/>
      <c r="N48" s="439"/>
      <c r="O48" s="439"/>
      <c r="P48" s="306" t="s">
        <v>266</v>
      </c>
      <c r="Q48" s="327" cm="1">
        <f t="array" ref="Q48">INDEX('생산수량Back-Data'!$B$5:$AAA$10041,
       MATCH($B47,'생산수량Back-Data'!$B$5:$B$10041,0)+3,
       MATCH(Q$3,'생산수량Back-Data'!$B$3:$AAA$3,0))</f>
        <v>0</v>
      </c>
      <c r="R48" s="328" cm="1">
        <f t="array" ref="R48">INDEX('생산수량Back-Data'!$B$5:$AAA$10041,
       MATCH($B47,'생산수량Back-Data'!$B$5:$B$10041,0)+3,
       MATCH(R$3,'생산수량Back-Data'!$B$3:$AAA$3,0))</f>
        <v>0</v>
      </c>
      <c r="S48" s="328" cm="1">
        <f t="array" ref="S48">INDEX('생산수량Back-Data'!$B$5:$AAA$10041,
       MATCH($B47,'생산수량Back-Data'!$B$5:$B$10041,0)+3,
       MATCH(S$3,'생산수량Back-Data'!$B$3:$AAA$3,0))</f>
        <v>0</v>
      </c>
      <c r="T48" s="328" cm="1">
        <f t="array" ref="T48">INDEX('생산수량Back-Data'!$B$5:$AAA$10041,
       MATCH($B47,'생산수량Back-Data'!$B$5:$B$10041,0)+3,
       MATCH(T$3,'생산수량Back-Data'!$B$3:$AAA$3,0))</f>
        <v>0</v>
      </c>
      <c r="U48" s="328" cm="1">
        <f t="array" ref="U48">INDEX('생산수량Back-Data'!$B$5:$AAA$10041,
       MATCH($B47,'생산수량Back-Data'!$B$5:$B$10041,0)+3,
       MATCH(U$3,'생산수량Back-Data'!$B$3:$AAA$3,0))</f>
        <v>0</v>
      </c>
      <c r="V48" s="328" cm="1">
        <f t="array" ref="V48">INDEX('생산수량Back-Data'!$B$5:$AAA$10041,
       MATCH($B47,'생산수량Back-Data'!$B$5:$B$10041,0)+3,
       MATCH(V$3,'생산수량Back-Data'!$B$3:$AAA$3,0))</f>
        <v>0</v>
      </c>
      <c r="W48" s="328" cm="1">
        <f t="array" ref="W48">INDEX('생산수량Back-Data'!$B$5:$AAA$10041,
       MATCH($B47,'생산수량Back-Data'!$B$5:$B$10041,0)+3,
       MATCH(W$3,'생산수량Back-Data'!$B$3:$AAA$3,0))</f>
        <v>0</v>
      </c>
      <c r="X48" s="328" cm="1">
        <f t="array" ref="X48">INDEX('생산수량Back-Data'!$B$5:$AAA$10041,
       MATCH($B47,'생산수량Back-Data'!$B$5:$B$10041,0)+3,
       MATCH(X$3,'생산수량Back-Data'!$B$3:$AAA$3,0))</f>
        <v>0</v>
      </c>
      <c r="Y48" s="328" cm="1">
        <f t="array" ref="Y48">INDEX('생산수량Back-Data'!$B$5:$AAA$10041,
       MATCH($B47,'생산수량Back-Data'!$B$5:$B$10041,0)+3,
       MATCH(Y$3,'생산수량Back-Data'!$B$3:$AAA$3,0))</f>
        <v>0</v>
      </c>
      <c r="Z48" s="328" cm="1">
        <f t="array" ref="Z48">INDEX('생산수량Back-Data'!$B$5:$AAA$10041,
       MATCH($B47,'생산수량Back-Data'!$B$5:$B$10041,0)+3,
       MATCH(Z$3,'생산수량Back-Data'!$B$3:$AAA$3,0))</f>
        <v>0</v>
      </c>
      <c r="AA48" s="328" cm="1">
        <f t="array" ref="AA48">INDEX('생산수량Back-Data'!$B$5:$AAA$10041,
       MATCH($B47,'생산수량Back-Data'!$B$5:$B$10041,0)+3,
       MATCH(AA$3,'생산수량Back-Data'!$B$3:$AAA$3,0))</f>
        <v>0</v>
      </c>
      <c r="AB48" s="328" cm="1">
        <f t="array" ref="AB48">INDEX('생산수량Back-Data'!$B$5:$AAA$10041,
       MATCH($B47,'생산수량Back-Data'!$B$5:$B$10041,0)+3,
       MATCH(AB$3,'생산수량Back-Data'!$B$3:$AAA$3,0))</f>
        <v>0</v>
      </c>
      <c r="AC48" s="328" cm="1">
        <f t="array" ref="AC48">INDEX('생산수량Back-Data'!$B$5:$AAA$10041,
       MATCH($B47,'생산수량Back-Data'!$B$5:$B$10041,0)+3,
       MATCH(AC$3,'생산수량Back-Data'!$B$3:$AAA$3,0))</f>
        <v>0</v>
      </c>
      <c r="AD48" s="328" cm="1">
        <f t="array" ref="AD48">INDEX('생산수량Back-Data'!$B$5:$AAA$10041,
       MATCH($B47,'생산수량Back-Data'!$B$5:$B$10041,0)+3,
       MATCH(AD$3,'생산수량Back-Data'!$B$3:$AAA$3,0))</f>
        <v>0</v>
      </c>
      <c r="AE48" s="328" cm="1">
        <f t="array" ref="AE48">INDEX('생산수량Back-Data'!$B$5:$AAA$10041,
       MATCH($B47,'생산수량Back-Data'!$B$5:$B$10041,0)+3,
       MATCH(AE$3,'생산수량Back-Data'!$B$3:$AAA$3,0))</f>
        <v>0</v>
      </c>
      <c r="AF48" s="328" cm="1">
        <f t="array" ref="AF48">INDEX('생산수량Back-Data'!$B$5:$AAA$10041,
       MATCH($B47,'생산수량Back-Data'!$B$5:$B$10041,0)+3,
       MATCH(AF$3,'생산수량Back-Data'!$B$3:$AAA$3,0))</f>
        <v>0</v>
      </c>
      <c r="AG48" s="328" cm="1">
        <f t="array" ref="AG48">INDEX('생산수량Back-Data'!$B$5:$AAA$10041,
       MATCH($B47,'생산수량Back-Data'!$B$5:$B$10041,0)+3,
       MATCH(AG$3,'생산수량Back-Data'!$B$3:$AAA$3,0))</f>
        <v>0</v>
      </c>
      <c r="AH48" s="328" cm="1">
        <f t="array" ref="AH48">INDEX('생산수량Back-Data'!$B$5:$AAA$10041,
       MATCH($B47,'생산수량Back-Data'!$B$5:$B$10041,0)+3,
       MATCH(AH$3,'생산수량Back-Data'!$B$3:$AAA$3,0))</f>
        <v>0</v>
      </c>
      <c r="AI48" s="328" cm="1">
        <f t="array" ref="AI48">INDEX('생산수량Back-Data'!$B$5:$AAA$10041,
       MATCH($B47,'생산수량Back-Data'!$B$5:$B$10041,0)+3,
       MATCH(AI$3,'생산수량Back-Data'!$B$3:$AAA$3,0))</f>
        <v>0</v>
      </c>
      <c r="AJ48" s="328" cm="1">
        <f t="array" ref="AJ48">INDEX('생산수량Back-Data'!$B$5:$AAA$10041,
       MATCH($B47,'생산수량Back-Data'!$B$5:$B$10041,0)+3,
       MATCH(AJ$3,'생산수량Back-Data'!$B$3:$AAA$3,0))</f>
        <v>0</v>
      </c>
      <c r="AK48" s="328" cm="1">
        <f t="array" ref="AK48">INDEX('생산수량Back-Data'!$B$5:$AAA$10041,
       MATCH($B47,'생산수량Back-Data'!$B$5:$B$10041,0)+3,
       MATCH(AK$3,'생산수량Back-Data'!$B$3:$AAA$3,0))</f>
        <v>0</v>
      </c>
      <c r="AL48" s="328" cm="1">
        <f t="array" ref="AL48">INDEX('생산수량Back-Data'!$B$5:$AAA$10041,
       MATCH($B47,'생산수량Back-Data'!$B$5:$B$10041,0)+3,
       MATCH(AL$3,'생산수량Back-Data'!$B$3:$AAA$3,0))</f>
        <v>0</v>
      </c>
      <c r="AM48" s="328" cm="1">
        <f t="array" ref="AM48">INDEX('생산수량Back-Data'!$B$5:$AAA$10041,
       MATCH($B47,'생산수량Back-Data'!$B$5:$B$10041,0)+3,
       MATCH(AM$3,'생산수량Back-Data'!$B$3:$AAA$3,0))</f>
        <v>0</v>
      </c>
      <c r="AN48" s="328" cm="1">
        <f t="array" ref="AN48">INDEX('생산수량Back-Data'!$B$5:$AAA$10041,
       MATCH($B47,'생산수량Back-Data'!$B$5:$B$10041,0)+3,
       MATCH(AN$3,'생산수량Back-Data'!$B$3:$AAA$3,0))</f>
        <v>0</v>
      </c>
      <c r="AO48" s="328" cm="1">
        <f t="array" ref="AO48">INDEX('생산수량Back-Data'!$B$5:$AAA$10041,
       MATCH($B47,'생산수량Back-Data'!$B$5:$B$10041,0)+3,
       MATCH(AO$3,'생산수량Back-Data'!$B$3:$AAA$3,0))</f>
        <v>0</v>
      </c>
      <c r="AP48" s="328" cm="1">
        <f t="array" ref="AP48">INDEX('생산수량Back-Data'!$B$5:$AAA$10041,
       MATCH($B47,'생산수량Back-Data'!$B$5:$B$10041,0)+3,
       MATCH(AP$3,'생산수량Back-Data'!$B$3:$AAA$3,0))</f>
        <v>0</v>
      </c>
      <c r="AQ48" s="328" cm="1">
        <f t="array" ref="AQ48">INDEX('생산수량Back-Data'!$B$5:$AAA$10041,
       MATCH($B47,'생산수량Back-Data'!$B$5:$B$10041,0)+3,
       MATCH(AQ$3,'생산수량Back-Data'!$B$3:$AAA$3,0))</f>
        <v>0</v>
      </c>
      <c r="AR48" s="328" cm="1">
        <f t="array" ref="AR48">INDEX('생산수량Back-Data'!$B$5:$AAA$10041,
       MATCH($B47,'생산수량Back-Data'!$B$5:$B$10041,0)+3,
       MATCH(AR$3,'생산수량Back-Data'!$B$3:$AAA$3,0))</f>
        <v>0</v>
      </c>
      <c r="AS48" s="328" cm="1">
        <f t="array" ref="AS48">INDEX('생산수량Back-Data'!$B$5:$AAA$10041,
       MATCH($B47,'생산수량Back-Data'!$B$5:$B$10041,0)+3,
       MATCH(AS$3,'생산수량Back-Data'!$B$3:$AAA$3,0))</f>
        <v>0</v>
      </c>
      <c r="AT48" s="328" cm="1">
        <f t="array" ref="AT48">INDEX('생산수량Back-Data'!$B$5:$AAA$10041,
       MATCH($B47,'생산수량Back-Data'!$B$5:$B$10041,0)+3,
       MATCH(AT$3,'생산수량Back-Data'!$B$3:$AAA$3,0))</f>
        <v>0</v>
      </c>
      <c r="AU48" s="324" cm="1">
        <f t="array" ref="AU48">INDEX('생산수량Back-Data'!$B$5:$AAA$10041,
       MATCH($B47,'생산수량Back-Data'!$B$5:$B$10041,0)+3,
       MATCH(AU$3,'생산수량Back-Data'!$B$3:$AAA$3,0))</f>
        <v>0</v>
      </c>
    </row>
    <row r="49" spans="2:47" ht="32.1" customHeight="1" x14ac:dyDescent="0.3">
      <c r="B49" s="444" t="s">
        <v>53</v>
      </c>
      <c r="C49" s="444" t="s">
        <v>185</v>
      </c>
      <c r="D49" s="444" t="s">
        <v>193</v>
      </c>
      <c r="E49" s="438">
        <f>ABS(SUMIFS('Fixture 총 발주수량'!V:V,'Fixture 총 발주수량'!B:B,'클린룸 생산계획'!B49,'Fixture 총 발주수량'!V:V,"&lt;0"))</f>
        <v>2937</v>
      </c>
      <c r="F49" s="431">
        <f>G49-E49</f>
        <v>-2937</v>
      </c>
      <c r="G49" s="437">
        <f>SUMIF(Q49:AU49, "&gt;0")</f>
        <v>0</v>
      </c>
      <c r="H49" s="437">
        <f>SUMIF(Q50:AU50, "&gt;0")</f>
        <v>0</v>
      </c>
      <c r="I49" s="442">
        <f>IFERROR(H49/G49,)</f>
        <v>0</v>
      </c>
      <c r="J49" s="437">
        <f ca="1">IFERROR(SUMIF('Fixture 총 발주수량'!B:AG,'클린룸 생산계획'!B49,'Fixture 총 발주수량'!Y:Y),)</f>
        <v>0</v>
      </c>
      <c r="K49" s="437">
        <f ca="1">IFERROR(SUMIF('Fixture 총 발주수량'!B:AG,'클린룸 생산계획'!B49,'Fixture 총 발주수량'!W:W),)</f>
        <v>0</v>
      </c>
      <c r="L49" s="458">
        <f>ROUNDUP(E49/2000,)</f>
        <v>2</v>
      </c>
      <c r="M49" s="458">
        <f>M47+L49</f>
        <v>25</v>
      </c>
      <c r="N49" s="458">
        <f>M49+L49</f>
        <v>27</v>
      </c>
      <c r="O49" s="438">
        <f>O47+L49</f>
        <v>25</v>
      </c>
      <c r="P49" s="306" t="s">
        <v>264</v>
      </c>
      <c r="Q49" s="325"/>
      <c r="R49" s="312"/>
      <c r="S49" s="312"/>
      <c r="T49" s="312"/>
      <c r="U49" s="312"/>
      <c r="V49" s="312"/>
      <c r="W49" s="312"/>
      <c r="X49" s="312"/>
      <c r="Y49" s="312"/>
      <c r="Z49" s="312"/>
      <c r="AA49" s="312"/>
      <c r="AB49" s="312"/>
      <c r="AC49" s="312"/>
      <c r="AD49" s="312"/>
      <c r="AE49" s="312"/>
      <c r="AF49" s="312"/>
      <c r="AG49" s="312"/>
      <c r="AH49" s="312"/>
      <c r="AI49" s="312"/>
      <c r="AJ49" s="312"/>
      <c r="AK49" s="312"/>
      <c r="AL49" s="312"/>
      <c r="AM49" s="312"/>
      <c r="AN49" s="312"/>
      <c r="AO49" s="312"/>
      <c r="AP49" s="312"/>
      <c r="AQ49" s="312"/>
      <c r="AR49" s="312"/>
      <c r="AS49" s="312"/>
      <c r="AT49" s="312"/>
      <c r="AU49" s="313"/>
    </row>
    <row r="50" spans="2:47" ht="32.1" customHeight="1" x14ac:dyDescent="0.3">
      <c r="B50" s="445"/>
      <c r="C50" s="445"/>
      <c r="D50" s="445"/>
      <c r="E50" s="439"/>
      <c r="F50" s="459"/>
      <c r="G50" s="436"/>
      <c r="H50" s="436"/>
      <c r="I50" s="443"/>
      <c r="J50" s="436"/>
      <c r="K50" s="436"/>
      <c r="L50" s="458"/>
      <c r="M50" s="458"/>
      <c r="N50" s="458"/>
      <c r="O50" s="439"/>
      <c r="P50" s="306" t="s">
        <v>266</v>
      </c>
      <c r="Q50" s="323" cm="1">
        <f t="array" ref="Q50">INDEX('생산수량Back-Data'!$B$5:$AAA$10041,
       MATCH($B49,'생산수량Back-Data'!$B$5:$B$10041,0)+3,
       MATCH(Q$3,'생산수량Back-Data'!$B$3:$AAA$3,0))</f>
        <v>0</v>
      </c>
      <c r="R50" s="310" cm="1">
        <f t="array" ref="R50">INDEX('생산수량Back-Data'!$B$5:$AAA$10041,
       MATCH($B49,'생산수량Back-Data'!$B$5:$B$10041,0)+3,
       MATCH(R$3,'생산수량Back-Data'!$B$3:$AAA$3,0))</f>
        <v>0</v>
      </c>
      <c r="S50" s="310" cm="1">
        <f t="array" ref="S50">INDEX('생산수량Back-Data'!$B$5:$AAA$10041,
       MATCH($B49,'생산수량Back-Data'!$B$5:$B$10041,0)+3,
       MATCH(S$3,'생산수량Back-Data'!$B$3:$AAA$3,0))</f>
        <v>0</v>
      </c>
      <c r="T50" s="310" cm="1">
        <f t="array" ref="T50">INDEX('생산수량Back-Data'!$B$5:$AAA$10041,
       MATCH($B49,'생산수량Back-Data'!$B$5:$B$10041,0)+3,
       MATCH(T$3,'생산수량Back-Data'!$B$3:$AAA$3,0))</f>
        <v>0</v>
      </c>
      <c r="U50" s="310" cm="1">
        <f t="array" ref="U50">INDEX('생산수량Back-Data'!$B$5:$AAA$10041,
       MATCH($B49,'생산수량Back-Data'!$B$5:$B$10041,0)+3,
       MATCH(U$3,'생산수량Back-Data'!$B$3:$AAA$3,0))</f>
        <v>0</v>
      </c>
      <c r="V50" s="310" cm="1">
        <f t="array" ref="V50">INDEX('생산수량Back-Data'!$B$5:$AAA$10041,
       MATCH($B49,'생산수량Back-Data'!$B$5:$B$10041,0)+3,
       MATCH(V$3,'생산수량Back-Data'!$B$3:$AAA$3,0))</f>
        <v>0</v>
      </c>
      <c r="W50" s="310" cm="1">
        <f t="array" ref="W50">INDEX('생산수량Back-Data'!$B$5:$AAA$10041,
       MATCH($B49,'생산수량Back-Data'!$B$5:$B$10041,0)+3,
       MATCH(W$3,'생산수량Back-Data'!$B$3:$AAA$3,0))</f>
        <v>0</v>
      </c>
      <c r="X50" s="310" cm="1">
        <f t="array" ref="X50">INDEX('생산수량Back-Data'!$B$5:$AAA$10041,
       MATCH($B49,'생산수량Back-Data'!$B$5:$B$10041,0)+3,
       MATCH(X$3,'생산수량Back-Data'!$B$3:$AAA$3,0))</f>
        <v>0</v>
      </c>
      <c r="Y50" s="310" cm="1">
        <f t="array" ref="Y50">INDEX('생산수량Back-Data'!$B$5:$AAA$10041,
       MATCH($B49,'생산수량Back-Data'!$B$5:$B$10041,0)+3,
       MATCH(Y$3,'생산수량Back-Data'!$B$3:$AAA$3,0))</f>
        <v>0</v>
      </c>
      <c r="Z50" s="310" cm="1">
        <f t="array" ref="Z50">INDEX('생산수량Back-Data'!$B$5:$AAA$10041,
       MATCH($B49,'생산수량Back-Data'!$B$5:$B$10041,0)+3,
       MATCH(Z$3,'생산수량Back-Data'!$B$3:$AAA$3,0))</f>
        <v>0</v>
      </c>
      <c r="AA50" s="310" cm="1">
        <f t="array" ref="AA50">INDEX('생산수량Back-Data'!$B$5:$AAA$10041,
       MATCH($B49,'생산수량Back-Data'!$B$5:$B$10041,0)+3,
       MATCH(AA$3,'생산수량Back-Data'!$B$3:$AAA$3,0))</f>
        <v>0</v>
      </c>
      <c r="AB50" s="310" cm="1">
        <f t="array" ref="AB50">INDEX('생산수량Back-Data'!$B$5:$AAA$10041,
       MATCH($B49,'생산수량Back-Data'!$B$5:$B$10041,0)+3,
       MATCH(AB$3,'생산수량Back-Data'!$B$3:$AAA$3,0))</f>
        <v>0</v>
      </c>
      <c r="AC50" s="310" cm="1">
        <f t="array" ref="AC50">INDEX('생산수량Back-Data'!$B$5:$AAA$10041,
       MATCH($B49,'생산수량Back-Data'!$B$5:$B$10041,0)+3,
       MATCH(AC$3,'생산수량Back-Data'!$B$3:$AAA$3,0))</f>
        <v>0</v>
      </c>
      <c r="AD50" s="310" cm="1">
        <f t="array" ref="AD50">INDEX('생산수량Back-Data'!$B$5:$AAA$10041,
       MATCH($B49,'생산수량Back-Data'!$B$5:$B$10041,0)+3,
       MATCH(AD$3,'생산수량Back-Data'!$B$3:$AAA$3,0))</f>
        <v>0</v>
      </c>
      <c r="AE50" s="310" cm="1">
        <f t="array" ref="AE50">INDEX('생산수량Back-Data'!$B$5:$AAA$10041,
       MATCH($B49,'생산수량Back-Data'!$B$5:$B$10041,0)+3,
       MATCH(AE$3,'생산수량Back-Data'!$B$3:$AAA$3,0))</f>
        <v>0</v>
      </c>
      <c r="AF50" s="310" cm="1">
        <f t="array" ref="AF50">INDEX('생산수량Back-Data'!$B$5:$AAA$10041,
       MATCH($B49,'생산수량Back-Data'!$B$5:$B$10041,0)+3,
       MATCH(AF$3,'생산수량Back-Data'!$B$3:$AAA$3,0))</f>
        <v>0</v>
      </c>
      <c r="AG50" s="310" cm="1">
        <f t="array" ref="AG50">INDEX('생산수량Back-Data'!$B$5:$AAA$10041,
       MATCH($B49,'생산수량Back-Data'!$B$5:$B$10041,0)+3,
       MATCH(AG$3,'생산수량Back-Data'!$B$3:$AAA$3,0))</f>
        <v>0</v>
      </c>
      <c r="AH50" s="310" cm="1">
        <f t="array" ref="AH50">INDEX('생산수량Back-Data'!$B$5:$AAA$10041,
       MATCH($B49,'생산수량Back-Data'!$B$5:$B$10041,0)+3,
       MATCH(AH$3,'생산수량Back-Data'!$B$3:$AAA$3,0))</f>
        <v>0</v>
      </c>
      <c r="AI50" s="310" cm="1">
        <f t="array" ref="AI50">INDEX('생산수량Back-Data'!$B$5:$AAA$10041,
       MATCH($B49,'생산수량Back-Data'!$B$5:$B$10041,0)+3,
       MATCH(AI$3,'생산수량Back-Data'!$B$3:$AAA$3,0))</f>
        <v>0</v>
      </c>
      <c r="AJ50" s="310" cm="1">
        <f t="array" ref="AJ50">INDEX('생산수량Back-Data'!$B$5:$AAA$10041,
       MATCH($B49,'생산수량Back-Data'!$B$5:$B$10041,0)+3,
       MATCH(AJ$3,'생산수량Back-Data'!$B$3:$AAA$3,0))</f>
        <v>0</v>
      </c>
      <c r="AK50" s="310" cm="1">
        <f t="array" ref="AK50">INDEX('생산수량Back-Data'!$B$5:$AAA$10041,
       MATCH($B49,'생산수량Back-Data'!$B$5:$B$10041,0)+3,
       MATCH(AK$3,'생산수량Back-Data'!$B$3:$AAA$3,0))</f>
        <v>0</v>
      </c>
      <c r="AL50" s="310" cm="1">
        <f t="array" ref="AL50">INDEX('생산수량Back-Data'!$B$5:$AAA$10041,
       MATCH($B49,'생산수량Back-Data'!$B$5:$B$10041,0)+3,
       MATCH(AL$3,'생산수량Back-Data'!$B$3:$AAA$3,0))</f>
        <v>0</v>
      </c>
      <c r="AM50" s="310" cm="1">
        <f t="array" ref="AM50">INDEX('생산수량Back-Data'!$B$5:$AAA$10041,
       MATCH($B49,'생산수량Back-Data'!$B$5:$B$10041,0)+3,
       MATCH(AM$3,'생산수량Back-Data'!$B$3:$AAA$3,0))</f>
        <v>0</v>
      </c>
      <c r="AN50" s="310" cm="1">
        <f t="array" ref="AN50">INDEX('생산수량Back-Data'!$B$5:$AAA$10041,
       MATCH($B49,'생산수량Back-Data'!$B$5:$B$10041,0)+3,
       MATCH(AN$3,'생산수량Back-Data'!$B$3:$AAA$3,0))</f>
        <v>0</v>
      </c>
      <c r="AO50" s="310" cm="1">
        <f t="array" ref="AO50">INDEX('생산수량Back-Data'!$B$5:$AAA$10041,
       MATCH($B49,'생산수량Back-Data'!$B$5:$B$10041,0)+3,
       MATCH(AO$3,'생산수량Back-Data'!$B$3:$AAA$3,0))</f>
        <v>0</v>
      </c>
      <c r="AP50" s="310" cm="1">
        <f t="array" ref="AP50">INDEX('생산수량Back-Data'!$B$5:$AAA$10041,
       MATCH($B49,'생산수량Back-Data'!$B$5:$B$10041,0)+3,
       MATCH(AP$3,'생산수량Back-Data'!$B$3:$AAA$3,0))</f>
        <v>0</v>
      </c>
      <c r="AQ50" s="310" cm="1">
        <f t="array" ref="AQ50">INDEX('생산수량Back-Data'!$B$5:$AAA$10041,
       MATCH($B49,'생산수량Back-Data'!$B$5:$B$10041,0)+3,
       MATCH(AQ$3,'생산수량Back-Data'!$B$3:$AAA$3,0))</f>
        <v>0</v>
      </c>
      <c r="AR50" s="310" cm="1">
        <f t="array" ref="AR50">INDEX('생산수량Back-Data'!$B$5:$AAA$10041,
       MATCH($B49,'생산수량Back-Data'!$B$5:$B$10041,0)+3,
       MATCH(AR$3,'생산수량Back-Data'!$B$3:$AAA$3,0))</f>
        <v>0</v>
      </c>
      <c r="AS50" s="310" cm="1">
        <f t="array" ref="AS50">INDEX('생산수량Back-Data'!$B$5:$AAA$10041,
       MATCH($B49,'생산수량Back-Data'!$B$5:$B$10041,0)+3,
       MATCH(AS$3,'생산수량Back-Data'!$B$3:$AAA$3,0))</f>
        <v>0</v>
      </c>
      <c r="AT50" s="310" cm="1">
        <f t="array" ref="AT50">INDEX('생산수량Back-Data'!$B$5:$AAA$10041,
       MATCH($B49,'생산수량Back-Data'!$B$5:$B$10041,0)+3,
       MATCH(AT$3,'생산수량Back-Data'!$B$3:$AAA$3,0))</f>
        <v>0</v>
      </c>
      <c r="AU50" s="324" cm="1">
        <f t="array" ref="AU50">INDEX('생산수량Back-Data'!$B$5:$AAA$10041,
       MATCH($B49,'생산수량Back-Data'!$B$5:$B$10041,0)+3,
       MATCH(AU$3,'생산수량Back-Data'!$B$3:$AAA$3,0))</f>
        <v>0</v>
      </c>
    </row>
    <row r="51" spans="2:47" ht="32.1" customHeight="1" x14ac:dyDescent="0.3">
      <c r="B51" s="444" t="s">
        <v>60</v>
      </c>
      <c r="C51" s="444" t="s">
        <v>185</v>
      </c>
      <c r="D51" s="444" t="s">
        <v>200</v>
      </c>
      <c r="E51" s="438">
        <f>ABS(SUMIFS('Fixture 총 발주수량'!V:V,'Fixture 총 발주수량'!B:B,'클린룸 생산계획'!B51,'Fixture 총 발주수량'!V:V,"&lt;0"))</f>
        <v>13921</v>
      </c>
      <c r="F51" s="431">
        <f>G51-E51</f>
        <v>-13921</v>
      </c>
      <c r="G51" s="437">
        <f>SUMIF(Q51:AU51, "&gt;0")</f>
        <v>0</v>
      </c>
      <c r="H51" s="437">
        <f>SUMIF(Q52:AU52, "&gt;0")</f>
        <v>0</v>
      </c>
      <c r="I51" s="442">
        <f>IFERROR(H51/G51,)</f>
        <v>0</v>
      </c>
      <c r="J51" s="437">
        <f ca="1">IFERROR(SUMIF('Fixture 총 발주수량'!B:AG,'클린룸 생산계획'!B51,'Fixture 총 발주수량'!Y:Y),)</f>
        <v>1670</v>
      </c>
      <c r="K51" s="437">
        <f ca="1">IFERROR(SUMIF('Fixture 총 발주수량'!B:AG,'클린룸 생산계획'!B51,'Fixture 총 발주수량'!W:W),)</f>
        <v>420</v>
      </c>
      <c r="L51" s="458">
        <f>ROUNDUP(E51/2000,)</f>
        <v>7</v>
      </c>
      <c r="M51" s="458">
        <f>M49+L51</f>
        <v>32</v>
      </c>
      <c r="N51" s="458">
        <f>M51+L51</f>
        <v>39</v>
      </c>
      <c r="O51" s="438">
        <f>O49+L51</f>
        <v>32</v>
      </c>
      <c r="P51" s="306" t="s">
        <v>264</v>
      </c>
      <c r="Q51" s="325"/>
      <c r="R51" s="312"/>
      <c r="S51" s="312"/>
      <c r="T51" s="312"/>
      <c r="U51" s="312"/>
      <c r="V51" s="312"/>
      <c r="W51" s="312"/>
      <c r="X51" s="312"/>
      <c r="Y51" s="312"/>
      <c r="Z51" s="312"/>
      <c r="AA51" s="312"/>
      <c r="AB51" s="312"/>
      <c r="AC51" s="312"/>
      <c r="AD51" s="312"/>
      <c r="AE51" s="312"/>
      <c r="AF51" s="312"/>
      <c r="AG51" s="312"/>
      <c r="AH51" s="312"/>
      <c r="AI51" s="312"/>
      <c r="AJ51" s="312"/>
      <c r="AK51" s="312"/>
      <c r="AL51" s="312"/>
      <c r="AM51" s="312"/>
      <c r="AN51" s="312"/>
      <c r="AO51" s="312"/>
      <c r="AP51" s="312"/>
      <c r="AQ51" s="312"/>
      <c r="AR51" s="312"/>
      <c r="AS51" s="312"/>
      <c r="AT51" s="312"/>
      <c r="AU51" s="313"/>
    </row>
    <row r="52" spans="2:47" ht="32.1" customHeight="1" x14ac:dyDescent="0.3">
      <c r="B52" s="445"/>
      <c r="C52" s="445"/>
      <c r="D52" s="445"/>
      <c r="E52" s="439"/>
      <c r="F52" s="459"/>
      <c r="G52" s="436"/>
      <c r="H52" s="436"/>
      <c r="I52" s="443"/>
      <c r="J52" s="436"/>
      <c r="K52" s="436"/>
      <c r="L52" s="458"/>
      <c r="M52" s="458"/>
      <c r="N52" s="458"/>
      <c r="O52" s="439"/>
      <c r="P52" s="306" t="s">
        <v>266</v>
      </c>
      <c r="Q52" s="323" cm="1">
        <f t="array" ref="Q52">INDEX('생산수량Back-Data'!$B$5:$AAA$10041,
       MATCH($B51,'생산수량Back-Data'!$B$5:$B$10041,0)+3,
       MATCH(Q$3,'생산수량Back-Data'!$B$3:$AAA$3,0))</f>
        <v>0</v>
      </c>
      <c r="R52" s="310" cm="1">
        <f t="array" ref="R52">INDEX('생산수량Back-Data'!$B$5:$AAA$10041,
       MATCH($B51,'생산수량Back-Data'!$B$5:$B$10041,0)+3,
       MATCH(R$3,'생산수량Back-Data'!$B$3:$AAA$3,0))</f>
        <v>0</v>
      </c>
      <c r="S52" s="310" cm="1">
        <f t="array" ref="S52">INDEX('생산수량Back-Data'!$B$5:$AAA$10041,
       MATCH($B51,'생산수량Back-Data'!$B$5:$B$10041,0)+3,
       MATCH(S$3,'생산수량Back-Data'!$B$3:$AAA$3,0))</f>
        <v>0</v>
      </c>
      <c r="T52" s="310" cm="1">
        <f t="array" ref="T52">INDEX('생산수량Back-Data'!$B$5:$AAA$10041,
       MATCH($B51,'생산수량Back-Data'!$B$5:$B$10041,0)+3,
       MATCH(T$3,'생산수량Back-Data'!$B$3:$AAA$3,0))</f>
        <v>0</v>
      </c>
      <c r="U52" s="310" cm="1">
        <f t="array" ref="U52">INDEX('생산수량Back-Data'!$B$5:$AAA$10041,
       MATCH($B51,'생산수량Back-Data'!$B$5:$B$10041,0)+3,
       MATCH(U$3,'생산수량Back-Data'!$B$3:$AAA$3,0))</f>
        <v>0</v>
      </c>
      <c r="V52" s="310" cm="1">
        <f t="array" ref="V52">INDEX('생산수량Back-Data'!$B$5:$AAA$10041,
       MATCH($B51,'생산수량Back-Data'!$B$5:$B$10041,0)+3,
       MATCH(V$3,'생산수량Back-Data'!$B$3:$AAA$3,0))</f>
        <v>0</v>
      </c>
      <c r="W52" s="310" cm="1">
        <f t="array" ref="W52">INDEX('생산수량Back-Data'!$B$5:$AAA$10041,
       MATCH($B51,'생산수량Back-Data'!$B$5:$B$10041,0)+3,
       MATCH(W$3,'생산수량Back-Data'!$B$3:$AAA$3,0))</f>
        <v>0</v>
      </c>
      <c r="X52" s="310" cm="1">
        <f t="array" ref="X52">INDEX('생산수량Back-Data'!$B$5:$AAA$10041,
       MATCH($B51,'생산수량Back-Data'!$B$5:$B$10041,0)+3,
       MATCH(X$3,'생산수량Back-Data'!$B$3:$AAA$3,0))</f>
        <v>0</v>
      </c>
      <c r="Y52" s="310" cm="1">
        <f t="array" ref="Y52">INDEX('생산수량Back-Data'!$B$5:$AAA$10041,
       MATCH($B51,'생산수량Back-Data'!$B$5:$B$10041,0)+3,
       MATCH(Y$3,'생산수량Back-Data'!$B$3:$AAA$3,0))</f>
        <v>0</v>
      </c>
      <c r="Z52" s="310" cm="1">
        <f t="array" ref="Z52">INDEX('생산수량Back-Data'!$B$5:$AAA$10041,
       MATCH($B51,'생산수량Back-Data'!$B$5:$B$10041,0)+3,
       MATCH(Z$3,'생산수량Back-Data'!$B$3:$AAA$3,0))</f>
        <v>0</v>
      </c>
      <c r="AA52" s="310" cm="1">
        <f t="array" ref="AA52">INDEX('생산수량Back-Data'!$B$5:$AAA$10041,
       MATCH($B51,'생산수량Back-Data'!$B$5:$B$10041,0)+3,
       MATCH(AA$3,'생산수량Back-Data'!$B$3:$AAA$3,0))</f>
        <v>0</v>
      </c>
      <c r="AB52" s="310" cm="1">
        <f t="array" ref="AB52">INDEX('생산수량Back-Data'!$B$5:$AAA$10041,
       MATCH($B51,'생산수량Back-Data'!$B$5:$B$10041,0)+3,
       MATCH(AB$3,'생산수량Back-Data'!$B$3:$AAA$3,0))</f>
        <v>0</v>
      </c>
      <c r="AC52" s="310" cm="1">
        <f t="array" ref="AC52">INDEX('생산수량Back-Data'!$B$5:$AAA$10041,
       MATCH($B51,'생산수량Back-Data'!$B$5:$B$10041,0)+3,
       MATCH(AC$3,'생산수량Back-Data'!$B$3:$AAA$3,0))</f>
        <v>0</v>
      </c>
      <c r="AD52" s="310" cm="1">
        <f t="array" ref="AD52">INDEX('생산수량Back-Data'!$B$5:$AAA$10041,
       MATCH($B51,'생산수량Back-Data'!$B$5:$B$10041,0)+3,
       MATCH(AD$3,'생산수량Back-Data'!$B$3:$AAA$3,0))</f>
        <v>0</v>
      </c>
      <c r="AE52" s="310" cm="1">
        <f t="array" ref="AE52">INDEX('생산수량Back-Data'!$B$5:$AAA$10041,
       MATCH($B51,'생산수량Back-Data'!$B$5:$B$10041,0)+3,
       MATCH(AE$3,'생산수량Back-Data'!$B$3:$AAA$3,0))</f>
        <v>0</v>
      </c>
      <c r="AF52" s="310" cm="1">
        <f t="array" ref="AF52">INDEX('생산수량Back-Data'!$B$5:$AAA$10041,
       MATCH($B51,'생산수량Back-Data'!$B$5:$B$10041,0)+3,
       MATCH(AF$3,'생산수량Back-Data'!$B$3:$AAA$3,0))</f>
        <v>0</v>
      </c>
      <c r="AG52" s="310" cm="1">
        <f t="array" ref="AG52">INDEX('생산수량Back-Data'!$B$5:$AAA$10041,
       MATCH($B51,'생산수량Back-Data'!$B$5:$B$10041,0)+3,
       MATCH(AG$3,'생산수량Back-Data'!$B$3:$AAA$3,0))</f>
        <v>0</v>
      </c>
      <c r="AH52" s="310" cm="1">
        <f t="array" ref="AH52">INDEX('생산수량Back-Data'!$B$5:$AAA$10041,
       MATCH($B51,'생산수량Back-Data'!$B$5:$B$10041,0)+3,
       MATCH(AH$3,'생산수량Back-Data'!$B$3:$AAA$3,0))</f>
        <v>0</v>
      </c>
      <c r="AI52" s="310" cm="1">
        <f t="array" ref="AI52">INDEX('생산수량Back-Data'!$B$5:$AAA$10041,
       MATCH($B51,'생산수량Back-Data'!$B$5:$B$10041,0)+3,
       MATCH(AI$3,'생산수량Back-Data'!$B$3:$AAA$3,0))</f>
        <v>0</v>
      </c>
      <c r="AJ52" s="310" cm="1">
        <f t="array" ref="AJ52">INDEX('생산수량Back-Data'!$B$5:$AAA$10041,
       MATCH($B51,'생산수량Back-Data'!$B$5:$B$10041,0)+3,
       MATCH(AJ$3,'생산수량Back-Data'!$B$3:$AAA$3,0))</f>
        <v>0</v>
      </c>
      <c r="AK52" s="310" cm="1">
        <f t="array" ref="AK52">INDEX('생산수량Back-Data'!$B$5:$AAA$10041,
       MATCH($B51,'생산수량Back-Data'!$B$5:$B$10041,0)+3,
       MATCH(AK$3,'생산수량Back-Data'!$B$3:$AAA$3,0))</f>
        <v>0</v>
      </c>
      <c r="AL52" s="310" cm="1">
        <f t="array" ref="AL52">INDEX('생산수량Back-Data'!$B$5:$AAA$10041,
       MATCH($B51,'생산수량Back-Data'!$B$5:$B$10041,0)+3,
       MATCH(AL$3,'생산수량Back-Data'!$B$3:$AAA$3,0))</f>
        <v>0</v>
      </c>
      <c r="AM52" s="310" cm="1">
        <f t="array" ref="AM52">INDEX('생산수량Back-Data'!$B$5:$AAA$10041,
       MATCH($B51,'생산수량Back-Data'!$B$5:$B$10041,0)+3,
       MATCH(AM$3,'생산수량Back-Data'!$B$3:$AAA$3,0))</f>
        <v>0</v>
      </c>
      <c r="AN52" s="310" cm="1">
        <f t="array" ref="AN52">INDEX('생산수량Back-Data'!$B$5:$AAA$10041,
       MATCH($B51,'생산수량Back-Data'!$B$5:$B$10041,0)+3,
       MATCH(AN$3,'생산수량Back-Data'!$B$3:$AAA$3,0))</f>
        <v>0</v>
      </c>
      <c r="AO52" s="310" cm="1">
        <f t="array" ref="AO52">INDEX('생산수량Back-Data'!$B$5:$AAA$10041,
       MATCH($B51,'생산수량Back-Data'!$B$5:$B$10041,0)+3,
       MATCH(AO$3,'생산수량Back-Data'!$B$3:$AAA$3,0))</f>
        <v>0</v>
      </c>
      <c r="AP52" s="310" cm="1">
        <f t="array" ref="AP52">INDEX('생산수량Back-Data'!$B$5:$AAA$10041,
       MATCH($B51,'생산수량Back-Data'!$B$5:$B$10041,0)+3,
       MATCH(AP$3,'생산수량Back-Data'!$B$3:$AAA$3,0))</f>
        <v>0</v>
      </c>
      <c r="AQ52" s="310" cm="1">
        <f t="array" ref="AQ52">INDEX('생산수량Back-Data'!$B$5:$AAA$10041,
       MATCH($B51,'생산수량Back-Data'!$B$5:$B$10041,0)+3,
       MATCH(AQ$3,'생산수량Back-Data'!$B$3:$AAA$3,0))</f>
        <v>0</v>
      </c>
      <c r="AR52" s="310" cm="1">
        <f t="array" ref="AR52">INDEX('생산수량Back-Data'!$B$5:$AAA$10041,
       MATCH($B51,'생산수량Back-Data'!$B$5:$B$10041,0)+3,
       MATCH(AR$3,'생산수량Back-Data'!$B$3:$AAA$3,0))</f>
        <v>0</v>
      </c>
      <c r="AS52" s="310" cm="1">
        <f t="array" ref="AS52">INDEX('생산수량Back-Data'!$B$5:$AAA$10041,
       MATCH($B51,'생산수량Back-Data'!$B$5:$B$10041,0)+3,
       MATCH(AS$3,'생산수량Back-Data'!$B$3:$AAA$3,0))</f>
        <v>0</v>
      </c>
      <c r="AT52" s="310" cm="1">
        <f t="array" ref="AT52">INDEX('생산수량Back-Data'!$B$5:$AAA$10041,
       MATCH($B51,'생산수량Back-Data'!$B$5:$B$10041,0)+3,
       MATCH(AT$3,'생산수량Back-Data'!$B$3:$AAA$3,0))</f>
        <v>0</v>
      </c>
      <c r="AU52" s="324" cm="1">
        <f t="array" ref="AU52">INDEX('생산수량Back-Data'!$B$5:$AAA$10041,
       MATCH($B51,'생산수량Back-Data'!$B$5:$B$10041,0)+3,
       MATCH(AU$3,'생산수량Back-Data'!$B$3:$AAA$3,0))</f>
        <v>0</v>
      </c>
    </row>
    <row r="53" spans="2:47" ht="32.1" customHeight="1" x14ac:dyDescent="0.3">
      <c r="B53" s="444" t="s">
        <v>50</v>
      </c>
      <c r="C53" s="444" t="s">
        <v>185</v>
      </c>
      <c r="D53" s="444" t="s">
        <v>195</v>
      </c>
      <c r="E53" s="438">
        <f>ABS(SUMIFS('Fixture 총 발주수량'!V:V,'Fixture 총 발주수량'!B:B,'클린룸 생산계획'!B53,'Fixture 총 발주수량'!V:V,"&lt;0"))</f>
        <v>17884</v>
      </c>
      <c r="F53" s="431">
        <f>G53-E53</f>
        <v>-17884</v>
      </c>
      <c r="G53" s="437">
        <f>SUMIF(Q53:AU53, "&gt;0")</f>
        <v>0</v>
      </c>
      <c r="H53" s="437">
        <f>SUMIF(Q54:AU54, "&gt;0")</f>
        <v>0</v>
      </c>
      <c r="I53" s="442">
        <f>IFERROR(H53/G53,)</f>
        <v>0</v>
      </c>
      <c r="J53" s="437">
        <f ca="1">IFERROR(SUMIF('Fixture 총 발주수량'!B:AG,'클린룸 생산계획'!B53,'Fixture 총 발주수량'!Y:Y),)</f>
        <v>867</v>
      </c>
      <c r="K53" s="437">
        <f ca="1">IFERROR(SUMIF('Fixture 총 발주수량'!B:AG,'클린룸 생산계획'!B53,'Fixture 총 발주수량'!W:W),)</f>
        <v>3186</v>
      </c>
      <c r="L53" s="458">
        <f>ROUNDUP(E53/2000,)</f>
        <v>9</v>
      </c>
      <c r="M53" s="458">
        <f>M51+L53</f>
        <v>41</v>
      </c>
      <c r="N53" s="458">
        <f>M53+L53</f>
        <v>50</v>
      </c>
      <c r="O53" s="438">
        <f>O51+L53</f>
        <v>41</v>
      </c>
      <c r="P53" s="306" t="s">
        <v>264</v>
      </c>
      <c r="Q53" s="325"/>
      <c r="R53" s="312"/>
      <c r="S53" s="312"/>
      <c r="T53" s="312"/>
      <c r="U53" s="312"/>
      <c r="V53" s="312"/>
      <c r="W53" s="312"/>
      <c r="X53" s="312"/>
      <c r="Y53" s="312"/>
      <c r="Z53" s="312"/>
      <c r="AA53" s="312"/>
      <c r="AB53" s="312"/>
      <c r="AC53" s="312"/>
      <c r="AD53" s="312"/>
      <c r="AE53" s="312"/>
      <c r="AF53" s="312"/>
      <c r="AG53" s="312"/>
      <c r="AH53" s="312"/>
      <c r="AI53" s="312"/>
      <c r="AJ53" s="312"/>
      <c r="AK53" s="312"/>
      <c r="AL53" s="312"/>
      <c r="AM53" s="312"/>
      <c r="AN53" s="312"/>
      <c r="AO53" s="312"/>
      <c r="AP53" s="312"/>
      <c r="AQ53" s="312"/>
      <c r="AR53" s="312"/>
      <c r="AS53" s="312"/>
      <c r="AT53" s="312"/>
      <c r="AU53" s="313"/>
    </row>
    <row r="54" spans="2:47" ht="32.1" customHeight="1" x14ac:dyDescent="0.3">
      <c r="B54" s="445"/>
      <c r="C54" s="445"/>
      <c r="D54" s="445"/>
      <c r="E54" s="439"/>
      <c r="F54" s="459"/>
      <c r="G54" s="436"/>
      <c r="H54" s="436"/>
      <c r="I54" s="443"/>
      <c r="J54" s="436"/>
      <c r="K54" s="436"/>
      <c r="L54" s="458"/>
      <c r="M54" s="458"/>
      <c r="N54" s="458"/>
      <c r="O54" s="439"/>
      <c r="P54" s="306" t="s">
        <v>266</v>
      </c>
      <c r="Q54" s="323" cm="1">
        <f t="array" ref="Q54">INDEX('생산수량Back-Data'!$B$5:$AAA$10041,
       MATCH($B53,'생산수량Back-Data'!$B$5:$B$10041,0)+3,
       MATCH(Q$3,'생산수량Back-Data'!$B$3:$AAA$3,0))</f>
        <v>0</v>
      </c>
      <c r="R54" s="310" cm="1">
        <f t="array" ref="R54">INDEX('생산수량Back-Data'!$B$5:$AAA$10041,
       MATCH($B53,'생산수량Back-Data'!$B$5:$B$10041,0)+3,
       MATCH(R$3,'생산수량Back-Data'!$B$3:$AAA$3,0))</f>
        <v>0</v>
      </c>
      <c r="S54" s="310" cm="1">
        <f t="array" ref="S54">INDEX('생산수량Back-Data'!$B$5:$AAA$10041,
       MATCH($B53,'생산수량Back-Data'!$B$5:$B$10041,0)+3,
       MATCH(S$3,'생산수량Back-Data'!$B$3:$AAA$3,0))</f>
        <v>0</v>
      </c>
      <c r="T54" s="310" cm="1">
        <f t="array" ref="T54">INDEX('생산수량Back-Data'!$B$5:$AAA$10041,
       MATCH($B53,'생산수량Back-Data'!$B$5:$B$10041,0)+3,
       MATCH(T$3,'생산수량Back-Data'!$B$3:$AAA$3,0))</f>
        <v>0</v>
      </c>
      <c r="U54" s="310" cm="1">
        <f t="array" ref="U54">INDEX('생산수량Back-Data'!$B$5:$AAA$10041,
       MATCH($B53,'생산수량Back-Data'!$B$5:$B$10041,0)+3,
       MATCH(U$3,'생산수량Back-Data'!$B$3:$AAA$3,0))</f>
        <v>0</v>
      </c>
      <c r="V54" s="310" cm="1">
        <f t="array" ref="V54">INDEX('생산수량Back-Data'!$B$5:$AAA$10041,
       MATCH($B53,'생산수량Back-Data'!$B$5:$B$10041,0)+3,
       MATCH(V$3,'생산수량Back-Data'!$B$3:$AAA$3,0))</f>
        <v>0</v>
      </c>
      <c r="W54" s="310" cm="1">
        <f t="array" ref="W54">INDEX('생산수량Back-Data'!$B$5:$AAA$10041,
       MATCH($B53,'생산수량Back-Data'!$B$5:$B$10041,0)+3,
       MATCH(W$3,'생산수량Back-Data'!$B$3:$AAA$3,0))</f>
        <v>0</v>
      </c>
      <c r="X54" s="310" cm="1">
        <f t="array" ref="X54">INDEX('생산수량Back-Data'!$B$5:$AAA$10041,
       MATCH($B53,'생산수량Back-Data'!$B$5:$B$10041,0)+3,
       MATCH(X$3,'생산수량Back-Data'!$B$3:$AAA$3,0))</f>
        <v>0</v>
      </c>
      <c r="Y54" s="310" cm="1">
        <f t="array" ref="Y54">INDEX('생산수량Back-Data'!$B$5:$AAA$10041,
       MATCH($B53,'생산수량Back-Data'!$B$5:$B$10041,0)+3,
       MATCH(Y$3,'생산수량Back-Data'!$B$3:$AAA$3,0))</f>
        <v>0</v>
      </c>
      <c r="Z54" s="310" cm="1">
        <f t="array" ref="Z54">INDEX('생산수량Back-Data'!$B$5:$AAA$10041,
       MATCH($B53,'생산수량Back-Data'!$B$5:$B$10041,0)+3,
       MATCH(Z$3,'생산수량Back-Data'!$B$3:$AAA$3,0))</f>
        <v>0</v>
      </c>
      <c r="AA54" s="310" cm="1">
        <f t="array" ref="AA54">INDEX('생산수량Back-Data'!$B$5:$AAA$10041,
       MATCH($B53,'생산수량Back-Data'!$B$5:$B$10041,0)+3,
       MATCH(AA$3,'생산수량Back-Data'!$B$3:$AAA$3,0))</f>
        <v>0</v>
      </c>
      <c r="AB54" s="310" cm="1">
        <f t="array" ref="AB54">INDEX('생산수량Back-Data'!$B$5:$AAA$10041,
       MATCH($B53,'생산수량Back-Data'!$B$5:$B$10041,0)+3,
       MATCH(AB$3,'생산수량Back-Data'!$B$3:$AAA$3,0))</f>
        <v>0</v>
      </c>
      <c r="AC54" s="310" cm="1">
        <f t="array" ref="AC54">INDEX('생산수량Back-Data'!$B$5:$AAA$10041,
       MATCH($B53,'생산수량Back-Data'!$B$5:$B$10041,0)+3,
       MATCH(AC$3,'생산수량Back-Data'!$B$3:$AAA$3,0))</f>
        <v>0</v>
      </c>
      <c r="AD54" s="310" cm="1">
        <f t="array" ref="AD54">INDEX('생산수량Back-Data'!$B$5:$AAA$10041,
       MATCH($B53,'생산수량Back-Data'!$B$5:$B$10041,0)+3,
       MATCH(AD$3,'생산수량Back-Data'!$B$3:$AAA$3,0))</f>
        <v>0</v>
      </c>
      <c r="AE54" s="310" cm="1">
        <f t="array" ref="AE54">INDEX('생산수량Back-Data'!$B$5:$AAA$10041,
       MATCH($B53,'생산수량Back-Data'!$B$5:$B$10041,0)+3,
       MATCH(AE$3,'생산수량Back-Data'!$B$3:$AAA$3,0))</f>
        <v>0</v>
      </c>
      <c r="AF54" s="310" cm="1">
        <f t="array" ref="AF54">INDEX('생산수량Back-Data'!$B$5:$AAA$10041,
       MATCH($B53,'생산수량Back-Data'!$B$5:$B$10041,0)+3,
       MATCH(AF$3,'생산수량Back-Data'!$B$3:$AAA$3,0))</f>
        <v>0</v>
      </c>
      <c r="AG54" s="310" cm="1">
        <f t="array" ref="AG54">INDEX('생산수량Back-Data'!$B$5:$AAA$10041,
       MATCH($B53,'생산수량Back-Data'!$B$5:$B$10041,0)+3,
       MATCH(AG$3,'생산수량Back-Data'!$B$3:$AAA$3,0))</f>
        <v>0</v>
      </c>
      <c r="AH54" s="310" cm="1">
        <f t="array" ref="AH54">INDEX('생산수량Back-Data'!$B$5:$AAA$10041,
       MATCH($B53,'생산수량Back-Data'!$B$5:$B$10041,0)+3,
       MATCH(AH$3,'생산수량Back-Data'!$B$3:$AAA$3,0))</f>
        <v>0</v>
      </c>
      <c r="AI54" s="310" cm="1">
        <f t="array" ref="AI54">INDEX('생산수량Back-Data'!$B$5:$AAA$10041,
       MATCH($B53,'생산수량Back-Data'!$B$5:$B$10041,0)+3,
       MATCH(AI$3,'생산수량Back-Data'!$B$3:$AAA$3,0))</f>
        <v>0</v>
      </c>
      <c r="AJ54" s="310" cm="1">
        <f t="array" ref="AJ54">INDEX('생산수량Back-Data'!$B$5:$AAA$10041,
       MATCH($B53,'생산수량Back-Data'!$B$5:$B$10041,0)+3,
       MATCH(AJ$3,'생산수량Back-Data'!$B$3:$AAA$3,0))</f>
        <v>0</v>
      </c>
      <c r="AK54" s="310" cm="1">
        <f t="array" ref="AK54">INDEX('생산수량Back-Data'!$B$5:$AAA$10041,
       MATCH($B53,'생산수량Back-Data'!$B$5:$B$10041,0)+3,
       MATCH(AK$3,'생산수량Back-Data'!$B$3:$AAA$3,0))</f>
        <v>0</v>
      </c>
      <c r="AL54" s="310" cm="1">
        <f t="array" ref="AL54">INDEX('생산수량Back-Data'!$B$5:$AAA$10041,
       MATCH($B53,'생산수량Back-Data'!$B$5:$B$10041,0)+3,
       MATCH(AL$3,'생산수량Back-Data'!$B$3:$AAA$3,0))</f>
        <v>0</v>
      </c>
      <c r="AM54" s="310" cm="1">
        <f t="array" ref="AM54">INDEX('생산수량Back-Data'!$B$5:$AAA$10041,
       MATCH($B53,'생산수량Back-Data'!$B$5:$B$10041,0)+3,
       MATCH(AM$3,'생산수량Back-Data'!$B$3:$AAA$3,0))</f>
        <v>0</v>
      </c>
      <c r="AN54" s="310" cm="1">
        <f t="array" ref="AN54">INDEX('생산수량Back-Data'!$B$5:$AAA$10041,
       MATCH($B53,'생산수량Back-Data'!$B$5:$B$10041,0)+3,
       MATCH(AN$3,'생산수량Back-Data'!$B$3:$AAA$3,0))</f>
        <v>0</v>
      </c>
      <c r="AO54" s="310" cm="1">
        <f t="array" ref="AO54">INDEX('생산수량Back-Data'!$B$5:$AAA$10041,
       MATCH($B53,'생산수량Back-Data'!$B$5:$B$10041,0)+3,
       MATCH(AO$3,'생산수량Back-Data'!$B$3:$AAA$3,0))</f>
        <v>0</v>
      </c>
      <c r="AP54" s="310" cm="1">
        <f t="array" ref="AP54">INDEX('생산수량Back-Data'!$B$5:$AAA$10041,
       MATCH($B53,'생산수량Back-Data'!$B$5:$B$10041,0)+3,
       MATCH(AP$3,'생산수량Back-Data'!$B$3:$AAA$3,0))</f>
        <v>0</v>
      </c>
      <c r="AQ54" s="310" cm="1">
        <f t="array" ref="AQ54">INDEX('생산수량Back-Data'!$B$5:$AAA$10041,
       MATCH($B53,'생산수량Back-Data'!$B$5:$B$10041,0)+3,
       MATCH(AQ$3,'생산수량Back-Data'!$B$3:$AAA$3,0))</f>
        <v>0</v>
      </c>
      <c r="AR54" s="310" cm="1">
        <f t="array" ref="AR54">INDEX('생산수량Back-Data'!$B$5:$AAA$10041,
       MATCH($B53,'생산수량Back-Data'!$B$5:$B$10041,0)+3,
       MATCH(AR$3,'생산수량Back-Data'!$B$3:$AAA$3,0))</f>
        <v>0</v>
      </c>
      <c r="AS54" s="310" cm="1">
        <f t="array" ref="AS54">INDEX('생산수량Back-Data'!$B$5:$AAA$10041,
       MATCH($B53,'생산수량Back-Data'!$B$5:$B$10041,0)+3,
       MATCH(AS$3,'생산수량Back-Data'!$B$3:$AAA$3,0))</f>
        <v>0</v>
      </c>
      <c r="AT54" s="310" cm="1">
        <f t="array" ref="AT54">INDEX('생산수량Back-Data'!$B$5:$AAA$10041,
       MATCH($B53,'생산수량Back-Data'!$B$5:$B$10041,0)+3,
       MATCH(AT$3,'생산수량Back-Data'!$B$3:$AAA$3,0))</f>
        <v>0</v>
      </c>
      <c r="AU54" s="324" cm="1">
        <f t="array" ref="AU54">INDEX('생산수량Back-Data'!$B$5:$AAA$10041,
       MATCH($B53,'생산수량Back-Data'!$B$5:$B$10041,0)+3,
       MATCH(AU$3,'생산수량Back-Data'!$B$3:$AAA$3,0))</f>
        <v>0</v>
      </c>
    </row>
    <row r="55" spans="2:47" ht="32.1" customHeight="1" x14ac:dyDescent="0.3">
      <c r="B55" s="444" t="s">
        <v>49</v>
      </c>
      <c r="C55" s="444" t="s">
        <v>185</v>
      </c>
      <c r="D55" s="444" t="s">
        <v>194</v>
      </c>
      <c r="E55" s="438">
        <f>ABS(SUMIFS('Fixture 총 발주수량'!V:V,'Fixture 총 발주수량'!B:B,'클린룸 생산계획'!B55,'Fixture 총 발주수량'!V:V,"&lt;0"))</f>
        <v>3683</v>
      </c>
      <c r="F55" s="431">
        <f>G55-E55</f>
        <v>-3683</v>
      </c>
      <c r="G55" s="437">
        <f>SUMIF(Q55:AU55, "&gt;0")</f>
        <v>0</v>
      </c>
      <c r="H55" s="437">
        <f>SUMIF(Q56:AU56, "&gt;0")</f>
        <v>0</v>
      </c>
      <c r="I55" s="442">
        <f>IFERROR(H55/G55,)</f>
        <v>0</v>
      </c>
      <c r="J55" s="437">
        <f ca="1">IFERROR(SUMIF('Fixture 총 발주수량'!B:AG,'클린룸 생산계획'!B55,'Fixture 총 발주수량'!Y:Y),)</f>
        <v>0</v>
      </c>
      <c r="K55" s="437">
        <f ca="1">IFERROR(SUMIF('Fixture 총 발주수량'!B:AG,'클린룸 생산계획'!B55,'Fixture 총 발주수량'!W:W),)</f>
        <v>0</v>
      </c>
      <c r="L55" s="458">
        <f>ROUNDUP(E55/2000,)</f>
        <v>2</v>
      </c>
      <c r="M55" s="458">
        <f>M53+L55</f>
        <v>43</v>
      </c>
      <c r="N55" s="458">
        <f>M55+L55</f>
        <v>45</v>
      </c>
      <c r="O55" s="438">
        <f>O53+L55</f>
        <v>43</v>
      </c>
      <c r="P55" s="306" t="s">
        <v>264</v>
      </c>
      <c r="Q55" s="325"/>
      <c r="R55" s="312"/>
      <c r="S55" s="312"/>
      <c r="T55" s="312"/>
      <c r="U55" s="312"/>
      <c r="V55" s="312"/>
      <c r="W55" s="312"/>
      <c r="X55" s="312"/>
      <c r="Y55" s="312"/>
      <c r="Z55" s="312"/>
      <c r="AA55" s="312"/>
      <c r="AB55" s="312"/>
      <c r="AC55" s="312"/>
      <c r="AD55" s="312"/>
      <c r="AE55" s="312"/>
      <c r="AF55" s="312"/>
      <c r="AG55" s="312"/>
      <c r="AH55" s="312"/>
      <c r="AI55" s="312"/>
      <c r="AJ55" s="312"/>
      <c r="AK55" s="312"/>
      <c r="AL55" s="312"/>
      <c r="AM55" s="312"/>
      <c r="AN55" s="312"/>
      <c r="AO55" s="312"/>
      <c r="AP55" s="312"/>
      <c r="AQ55" s="312"/>
      <c r="AR55" s="312"/>
      <c r="AS55" s="312"/>
      <c r="AT55" s="312"/>
      <c r="AU55" s="313"/>
    </row>
    <row r="56" spans="2:47" ht="32.1" customHeight="1" x14ac:dyDescent="0.3">
      <c r="B56" s="445"/>
      <c r="C56" s="445"/>
      <c r="D56" s="445"/>
      <c r="E56" s="439"/>
      <c r="F56" s="459"/>
      <c r="G56" s="436"/>
      <c r="H56" s="436"/>
      <c r="I56" s="443"/>
      <c r="J56" s="436"/>
      <c r="K56" s="436"/>
      <c r="L56" s="458"/>
      <c r="M56" s="458"/>
      <c r="N56" s="458"/>
      <c r="O56" s="439"/>
      <c r="P56" s="306" t="s">
        <v>266</v>
      </c>
      <c r="Q56" s="323" cm="1">
        <f t="array" ref="Q56">INDEX('생산수량Back-Data'!$B$5:$AAA$10041,
       MATCH($B55,'생산수량Back-Data'!$B$5:$B$10041,0)+3,
       MATCH(Q$3,'생산수량Back-Data'!$B$3:$AAA$3,0))</f>
        <v>0</v>
      </c>
      <c r="R56" s="310" cm="1">
        <f t="array" ref="R56">INDEX('생산수량Back-Data'!$B$5:$AAA$10041,
       MATCH($B55,'생산수량Back-Data'!$B$5:$B$10041,0)+3,
       MATCH(R$3,'생산수량Back-Data'!$B$3:$AAA$3,0))</f>
        <v>0</v>
      </c>
      <c r="S56" s="310" cm="1">
        <f t="array" ref="S56">INDEX('생산수량Back-Data'!$B$5:$AAA$10041,
       MATCH($B55,'생산수량Back-Data'!$B$5:$B$10041,0)+3,
       MATCH(S$3,'생산수량Back-Data'!$B$3:$AAA$3,0))</f>
        <v>0</v>
      </c>
      <c r="T56" s="310" cm="1">
        <f t="array" ref="T56">INDEX('생산수량Back-Data'!$B$5:$AAA$10041,
       MATCH($B55,'생산수량Back-Data'!$B$5:$B$10041,0)+3,
       MATCH(T$3,'생산수량Back-Data'!$B$3:$AAA$3,0))</f>
        <v>0</v>
      </c>
      <c r="U56" s="310" cm="1">
        <f t="array" ref="U56">INDEX('생산수량Back-Data'!$B$5:$AAA$10041,
       MATCH($B55,'생산수량Back-Data'!$B$5:$B$10041,0)+3,
       MATCH(U$3,'생산수량Back-Data'!$B$3:$AAA$3,0))</f>
        <v>0</v>
      </c>
      <c r="V56" s="310" cm="1">
        <f t="array" ref="V56">INDEX('생산수량Back-Data'!$B$5:$AAA$10041,
       MATCH($B55,'생산수량Back-Data'!$B$5:$B$10041,0)+3,
       MATCH(V$3,'생산수량Back-Data'!$B$3:$AAA$3,0))</f>
        <v>0</v>
      </c>
      <c r="W56" s="310" cm="1">
        <f t="array" ref="W56">INDEX('생산수량Back-Data'!$B$5:$AAA$10041,
       MATCH($B55,'생산수량Back-Data'!$B$5:$B$10041,0)+3,
       MATCH(W$3,'생산수량Back-Data'!$B$3:$AAA$3,0))</f>
        <v>0</v>
      </c>
      <c r="X56" s="310" cm="1">
        <f t="array" ref="X56">INDEX('생산수량Back-Data'!$B$5:$AAA$10041,
       MATCH($B55,'생산수량Back-Data'!$B$5:$B$10041,0)+3,
       MATCH(X$3,'생산수량Back-Data'!$B$3:$AAA$3,0))</f>
        <v>0</v>
      </c>
      <c r="Y56" s="310" cm="1">
        <f t="array" ref="Y56">INDEX('생산수량Back-Data'!$B$5:$AAA$10041,
       MATCH($B55,'생산수량Back-Data'!$B$5:$B$10041,0)+3,
       MATCH(Y$3,'생산수량Back-Data'!$B$3:$AAA$3,0))</f>
        <v>0</v>
      </c>
      <c r="Z56" s="310" cm="1">
        <f t="array" ref="Z56">INDEX('생산수량Back-Data'!$B$5:$AAA$10041,
       MATCH($B55,'생산수량Back-Data'!$B$5:$B$10041,0)+3,
       MATCH(Z$3,'생산수량Back-Data'!$B$3:$AAA$3,0))</f>
        <v>0</v>
      </c>
      <c r="AA56" s="310" cm="1">
        <f t="array" ref="AA56">INDEX('생산수량Back-Data'!$B$5:$AAA$10041,
       MATCH($B55,'생산수량Back-Data'!$B$5:$B$10041,0)+3,
       MATCH(AA$3,'생산수량Back-Data'!$B$3:$AAA$3,0))</f>
        <v>0</v>
      </c>
      <c r="AB56" s="310" cm="1">
        <f t="array" ref="AB56">INDEX('생산수량Back-Data'!$B$5:$AAA$10041,
       MATCH($B55,'생산수량Back-Data'!$B$5:$B$10041,0)+3,
       MATCH(AB$3,'생산수량Back-Data'!$B$3:$AAA$3,0))</f>
        <v>0</v>
      </c>
      <c r="AC56" s="310" cm="1">
        <f t="array" ref="AC56">INDEX('생산수량Back-Data'!$B$5:$AAA$10041,
       MATCH($B55,'생산수량Back-Data'!$B$5:$B$10041,0)+3,
       MATCH(AC$3,'생산수량Back-Data'!$B$3:$AAA$3,0))</f>
        <v>0</v>
      </c>
      <c r="AD56" s="310" cm="1">
        <f t="array" ref="AD56">INDEX('생산수량Back-Data'!$B$5:$AAA$10041,
       MATCH($B55,'생산수량Back-Data'!$B$5:$B$10041,0)+3,
       MATCH(AD$3,'생산수량Back-Data'!$B$3:$AAA$3,0))</f>
        <v>0</v>
      </c>
      <c r="AE56" s="310" cm="1">
        <f t="array" ref="AE56">INDEX('생산수량Back-Data'!$B$5:$AAA$10041,
       MATCH($B55,'생산수량Back-Data'!$B$5:$B$10041,0)+3,
       MATCH(AE$3,'생산수량Back-Data'!$B$3:$AAA$3,0))</f>
        <v>0</v>
      </c>
      <c r="AF56" s="310" cm="1">
        <f t="array" ref="AF56">INDEX('생산수량Back-Data'!$B$5:$AAA$10041,
       MATCH($B55,'생산수량Back-Data'!$B$5:$B$10041,0)+3,
       MATCH(AF$3,'생산수량Back-Data'!$B$3:$AAA$3,0))</f>
        <v>0</v>
      </c>
      <c r="AG56" s="310" cm="1">
        <f t="array" ref="AG56">INDEX('생산수량Back-Data'!$B$5:$AAA$10041,
       MATCH($B55,'생산수량Back-Data'!$B$5:$B$10041,0)+3,
       MATCH(AG$3,'생산수량Back-Data'!$B$3:$AAA$3,0))</f>
        <v>0</v>
      </c>
      <c r="AH56" s="310" cm="1">
        <f t="array" ref="AH56">INDEX('생산수량Back-Data'!$B$5:$AAA$10041,
       MATCH($B55,'생산수량Back-Data'!$B$5:$B$10041,0)+3,
       MATCH(AH$3,'생산수량Back-Data'!$B$3:$AAA$3,0))</f>
        <v>0</v>
      </c>
      <c r="AI56" s="310" cm="1">
        <f t="array" ref="AI56">INDEX('생산수량Back-Data'!$B$5:$AAA$10041,
       MATCH($B55,'생산수량Back-Data'!$B$5:$B$10041,0)+3,
       MATCH(AI$3,'생산수량Back-Data'!$B$3:$AAA$3,0))</f>
        <v>0</v>
      </c>
      <c r="AJ56" s="310" cm="1">
        <f t="array" ref="AJ56">INDEX('생산수량Back-Data'!$B$5:$AAA$10041,
       MATCH($B55,'생산수량Back-Data'!$B$5:$B$10041,0)+3,
       MATCH(AJ$3,'생산수량Back-Data'!$B$3:$AAA$3,0))</f>
        <v>0</v>
      </c>
      <c r="AK56" s="310" cm="1">
        <f t="array" ref="AK56">INDEX('생산수량Back-Data'!$B$5:$AAA$10041,
       MATCH($B55,'생산수량Back-Data'!$B$5:$B$10041,0)+3,
       MATCH(AK$3,'생산수량Back-Data'!$B$3:$AAA$3,0))</f>
        <v>0</v>
      </c>
      <c r="AL56" s="310" cm="1">
        <f t="array" ref="AL56">INDEX('생산수량Back-Data'!$B$5:$AAA$10041,
       MATCH($B55,'생산수량Back-Data'!$B$5:$B$10041,0)+3,
       MATCH(AL$3,'생산수량Back-Data'!$B$3:$AAA$3,0))</f>
        <v>0</v>
      </c>
      <c r="AM56" s="310" cm="1">
        <f t="array" ref="AM56">INDEX('생산수량Back-Data'!$B$5:$AAA$10041,
       MATCH($B55,'생산수량Back-Data'!$B$5:$B$10041,0)+3,
       MATCH(AM$3,'생산수량Back-Data'!$B$3:$AAA$3,0))</f>
        <v>0</v>
      </c>
      <c r="AN56" s="310" cm="1">
        <f t="array" ref="AN56">INDEX('생산수량Back-Data'!$B$5:$AAA$10041,
       MATCH($B55,'생산수량Back-Data'!$B$5:$B$10041,0)+3,
       MATCH(AN$3,'생산수량Back-Data'!$B$3:$AAA$3,0))</f>
        <v>0</v>
      </c>
      <c r="AO56" s="310" cm="1">
        <f t="array" ref="AO56">INDEX('생산수량Back-Data'!$B$5:$AAA$10041,
       MATCH($B55,'생산수량Back-Data'!$B$5:$B$10041,0)+3,
       MATCH(AO$3,'생산수량Back-Data'!$B$3:$AAA$3,0))</f>
        <v>0</v>
      </c>
      <c r="AP56" s="310" cm="1">
        <f t="array" ref="AP56">INDEX('생산수량Back-Data'!$B$5:$AAA$10041,
       MATCH($B55,'생산수량Back-Data'!$B$5:$B$10041,0)+3,
       MATCH(AP$3,'생산수량Back-Data'!$B$3:$AAA$3,0))</f>
        <v>0</v>
      </c>
      <c r="AQ56" s="310" cm="1">
        <f t="array" ref="AQ56">INDEX('생산수량Back-Data'!$B$5:$AAA$10041,
       MATCH($B55,'생산수량Back-Data'!$B$5:$B$10041,0)+3,
       MATCH(AQ$3,'생산수량Back-Data'!$B$3:$AAA$3,0))</f>
        <v>0</v>
      </c>
      <c r="AR56" s="310" cm="1">
        <f t="array" ref="AR56">INDEX('생산수량Back-Data'!$B$5:$AAA$10041,
       MATCH($B55,'생산수량Back-Data'!$B$5:$B$10041,0)+3,
       MATCH(AR$3,'생산수량Back-Data'!$B$3:$AAA$3,0))</f>
        <v>0</v>
      </c>
      <c r="AS56" s="310" cm="1">
        <f t="array" ref="AS56">INDEX('생산수량Back-Data'!$B$5:$AAA$10041,
       MATCH($B55,'생산수량Back-Data'!$B$5:$B$10041,0)+3,
       MATCH(AS$3,'생산수량Back-Data'!$B$3:$AAA$3,0))</f>
        <v>0</v>
      </c>
      <c r="AT56" s="310" cm="1">
        <f t="array" ref="AT56">INDEX('생산수량Back-Data'!$B$5:$AAA$10041,
       MATCH($B55,'생산수량Back-Data'!$B$5:$B$10041,0)+3,
       MATCH(AT$3,'생산수량Back-Data'!$B$3:$AAA$3,0))</f>
        <v>0</v>
      </c>
      <c r="AU56" s="324" cm="1">
        <f t="array" ref="AU56">INDEX('생산수량Back-Data'!$B$5:$AAA$10041,
       MATCH($B55,'생산수량Back-Data'!$B$5:$B$10041,0)+3,
       MATCH(AU$3,'생산수량Back-Data'!$B$3:$AAA$3,0))</f>
        <v>0</v>
      </c>
    </row>
    <row r="57" spans="2:47" ht="32.1" customHeight="1" x14ac:dyDescent="0.3">
      <c r="B57" s="444" t="s">
        <v>54</v>
      </c>
      <c r="C57" s="444" t="s">
        <v>185</v>
      </c>
      <c r="D57" s="444" t="s">
        <v>194</v>
      </c>
      <c r="E57" s="438">
        <f>ABS(SUMIFS('Fixture 총 발주수량'!V:V,'Fixture 총 발주수량'!B:B,'클린룸 생산계획'!B57,'Fixture 총 발주수량'!V:V,"&lt;0"))</f>
        <v>4251</v>
      </c>
      <c r="F57" s="431">
        <f>G57-E57</f>
        <v>-4251</v>
      </c>
      <c r="G57" s="437">
        <f>SUMIF(Q57:AU57, "&gt;0")</f>
        <v>0</v>
      </c>
      <c r="H57" s="437">
        <f>SUMIF(Q58:AU58, "&gt;0")</f>
        <v>0</v>
      </c>
      <c r="I57" s="442">
        <f>IFERROR(H57/G57,)</f>
        <v>0</v>
      </c>
      <c r="J57" s="437">
        <f ca="1">IFERROR(SUMIF('Fixture 총 발주수량'!B:AG,'클린룸 생산계획'!B57,'Fixture 총 발주수량'!Y:Y),)</f>
        <v>0</v>
      </c>
      <c r="K57" s="437">
        <f ca="1">IFERROR(SUMIF('Fixture 총 발주수량'!B:AG,'클린룸 생산계획'!B57,'Fixture 총 발주수량'!W:W),)</f>
        <v>0</v>
      </c>
      <c r="L57" s="458">
        <f>ROUNDUP(E57/2000,)</f>
        <v>3</v>
      </c>
      <c r="M57" s="458">
        <f>M55+L57</f>
        <v>46</v>
      </c>
      <c r="N57" s="458">
        <f>M57+L57</f>
        <v>49</v>
      </c>
      <c r="O57" s="438">
        <f>O55+L57</f>
        <v>46</v>
      </c>
      <c r="P57" s="306" t="s">
        <v>264</v>
      </c>
      <c r="Q57" s="325"/>
      <c r="R57" s="312"/>
      <c r="S57" s="312"/>
      <c r="T57" s="312"/>
      <c r="U57" s="312"/>
      <c r="V57" s="312"/>
      <c r="W57" s="312"/>
      <c r="X57" s="312"/>
      <c r="Y57" s="312"/>
      <c r="Z57" s="312"/>
      <c r="AA57" s="312"/>
      <c r="AB57" s="312"/>
      <c r="AC57" s="312"/>
      <c r="AD57" s="312"/>
      <c r="AE57" s="312"/>
      <c r="AF57" s="312"/>
      <c r="AG57" s="312"/>
      <c r="AH57" s="312"/>
      <c r="AI57" s="312"/>
      <c r="AJ57" s="312"/>
      <c r="AK57" s="312"/>
      <c r="AL57" s="312"/>
      <c r="AM57" s="312"/>
      <c r="AN57" s="312"/>
      <c r="AO57" s="312"/>
      <c r="AP57" s="312"/>
      <c r="AQ57" s="312"/>
      <c r="AR57" s="312"/>
      <c r="AS57" s="312"/>
      <c r="AT57" s="312"/>
      <c r="AU57" s="313"/>
    </row>
    <row r="58" spans="2:47" ht="32.1" customHeight="1" x14ac:dyDescent="0.3">
      <c r="B58" s="445"/>
      <c r="C58" s="445"/>
      <c r="D58" s="445"/>
      <c r="E58" s="439"/>
      <c r="F58" s="459"/>
      <c r="G58" s="436"/>
      <c r="H58" s="436"/>
      <c r="I58" s="443"/>
      <c r="J58" s="436"/>
      <c r="K58" s="436"/>
      <c r="L58" s="458"/>
      <c r="M58" s="458"/>
      <c r="N58" s="458"/>
      <c r="O58" s="439"/>
      <c r="P58" s="306" t="s">
        <v>266</v>
      </c>
      <c r="Q58" s="323" cm="1">
        <f t="array" ref="Q58">INDEX('생산수량Back-Data'!$B$5:$AAA$10041,
       MATCH($B57,'생산수량Back-Data'!$B$5:$B$10041,0)+3,
       MATCH(Q$3,'생산수량Back-Data'!$B$3:$AAA$3,0))</f>
        <v>0</v>
      </c>
      <c r="R58" s="310" cm="1">
        <f t="array" ref="R58">INDEX('생산수량Back-Data'!$B$5:$AAA$10041,
       MATCH($B57,'생산수량Back-Data'!$B$5:$B$10041,0)+3,
       MATCH(R$3,'생산수량Back-Data'!$B$3:$AAA$3,0))</f>
        <v>0</v>
      </c>
      <c r="S58" s="310" cm="1">
        <f t="array" ref="S58">INDEX('생산수량Back-Data'!$B$5:$AAA$10041,
       MATCH($B57,'생산수량Back-Data'!$B$5:$B$10041,0)+3,
       MATCH(S$3,'생산수량Back-Data'!$B$3:$AAA$3,0))</f>
        <v>0</v>
      </c>
      <c r="T58" s="310" cm="1">
        <f t="array" ref="T58">INDEX('생산수량Back-Data'!$B$5:$AAA$10041,
       MATCH($B57,'생산수량Back-Data'!$B$5:$B$10041,0)+3,
       MATCH(T$3,'생산수량Back-Data'!$B$3:$AAA$3,0))</f>
        <v>0</v>
      </c>
      <c r="U58" s="310" cm="1">
        <f t="array" ref="U58">INDEX('생산수량Back-Data'!$B$5:$AAA$10041,
       MATCH($B57,'생산수량Back-Data'!$B$5:$B$10041,0)+3,
       MATCH(U$3,'생산수량Back-Data'!$B$3:$AAA$3,0))</f>
        <v>0</v>
      </c>
      <c r="V58" s="310" cm="1">
        <f t="array" ref="V58">INDEX('생산수량Back-Data'!$B$5:$AAA$10041,
       MATCH($B57,'생산수량Back-Data'!$B$5:$B$10041,0)+3,
       MATCH(V$3,'생산수량Back-Data'!$B$3:$AAA$3,0))</f>
        <v>0</v>
      </c>
      <c r="W58" s="310" cm="1">
        <f t="array" ref="W58">INDEX('생산수량Back-Data'!$B$5:$AAA$10041,
       MATCH($B57,'생산수량Back-Data'!$B$5:$B$10041,0)+3,
       MATCH(W$3,'생산수량Back-Data'!$B$3:$AAA$3,0))</f>
        <v>0</v>
      </c>
      <c r="X58" s="310" cm="1">
        <f t="array" ref="X58">INDEX('생산수량Back-Data'!$B$5:$AAA$10041,
       MATCH($B57,'생산수량Back-Data'!$B$5:$B$10041,0)+3,
       MATCH(X$3,'생산수량Back-Data'!$B$3:$AAA$3,0))</f>
        <v>0</v>
      </c>
      <c r="Y58" s="310" cm="1">
        <f t="array" ref="Y58">INDEX('생산수량Back-Data'!$B$5:$AAA$10041,
       MATCH($B57,'생산수량Back-Data'!$B$5:$B$10041,0)+3,
       MATCH(Y$3,'생산수량Back-Data'!$B$3:$AAA$3,0))</f>
        <v>0</v>
      </c>
      <c r="Z58" s="310" cm="1">
        <f t="array" ref="Z58">INDEX('생산수량Back-Data'!$B$5:$AAA$10041,
       MATCH($B57,'생산수량Back-Data'!$B$5:$B$10041,0)+3,
       MATCH(Z$3,'생산수량Back-Data'!$B$3:$AAA$3,0))</f>
        <v>0</v>
      </c>
      <c r="AA58" s="310" cm="1">
        <f t="array" ref="AA58">INDEX('생산수량Back-Data'!$B$5:$AAA$10041,
       MATCH($B57,'생산수량Back-Data'!$B$5:$B$10041,0)+3,
       MATCH(AA$3,'생산수량Back-Data'!$B$3:$AAA$3,0))</f>
        <v>0</v>
      </c>
      <c r="AB58" s="310" cm="1">
        <f t="array" ref="AB58">INDEX('생산수량Back-Data'!$B$5:$AAA$10041,
       MATCH($B57,'생산수량Back-Data'!$B$5:$B$10041,0)+3,
       MATCH(AB$3,'생산수량Back-Data'!$B$3:$AAA$3,0))</f>
        <v>0</v>
      </c>
      <c r="AC58" s="310" cm="1">
        <f t="array" ref="AC58">INDEX('생산수량Back-Data'!$B$5:$AAA$10041,
       MATCH($B57,'생산수량Back-Data'!$B$5:$B$10041,0)+3,
       MATCH(AC$3,'생산수량Back-Data'!$B$3:$AAA$3,0))</f>
        <v>0</v>
      </c>
      <c r="AD58" s="310" cm="1">
        <f t="array" ref="AD58">INDEX('생산수량Back-Data'!$B$5:$AAA$10041,
       MATCH($B57,'생산수량Back-Data'!$B$5:$B$10041,0)+3,
       MATCH(AD$3,'생산수량Back-Data'!$B$3:$AAA$3,0))</f>
        <v>0</v>
      </c>
      <c r="AE58" s="310" cm="1">
        <f t="array" ref="AE58">INDEX('생산수량Back-Data'!$B$5:$AAA$10041,
       MATCH($B57,'생산수량Back-Data'!$B$5:$B$10041,0)+3,
       MATCH(AE$3,'생산수량Back-Data'!$B$3:$AAA$3,0))</f>
        <v>0</v>
      </c>
      <c r="AF58" s="310" cm="1">
        <f t="array" ref="AF58">INDEX('생산수량Back-Data'!$B$5:$AAA$10041,
       MATCH($B57,'생산수량Back-Data'!$B$5:$B$10041,0)+3,
       MATCH(AF$3,'생산수량Back-Data'!$B$3:$AAA$3,0))</f>
        <v>0</v>
      </c>
      <c r="AG58" s="310" cm="1">
        <f t="array" ref="AG58">INDEX('생산수량Back-Data'!$B$5:$AAA$10041,
       MATCH($B57,'생산수량Back-Data'!$B$5:$B$10041,0)+3,
       MATCH(AG$3,'생산수량Back-Data'!$B$3:$AAA$3,0))</f>
        <v>0</v>
      </c>
      <c r="AH58" s="310" cm="1">
        <f t="array" ref="AH58">INDEX('생산수량Back-Data'!$B$5:$AAA$10041,
       MATCH($B57,'생산수량Back-Data'!$B$5:$B$10041,0)+3,
       MATCH(AH$3,'생산수량Back-Data'!$B$3:$AAA$3,0))</f>
        <v>0</v>
      </c>
      <c r="AI58" s="310" cm="1">
        <f t="array" ref="AI58">INDEX('생산수량Back-Data'!$B$5:$AAA$10041,
       MATCH($B57,'생산수량Back-Data'!$B$5:$B$10041,0)+3,
       MATCH(AI$3,'생산수량Back-Data'!$B$3:$AAA$3,0))</f>
        <v>0</v>
      </c>
      <c r="AJ58" s="310" cm="1">
        <f t="array" ref="AJ58">INDEX('생산수량Back-Data'!$B$5:$AAA$10041,
       MATCH($B57,'생산수량Back-Data'!$B$5:$B$10041,0)+3,
       MATCH(AJ$3,'생산수량Back-Data'!$B$3:$AAA$3,0))</f>
        <v>0</v>
      </c>
      <c r="AK58" s="310" cm="1">
        <f t="array" ref="AK58">INDEX('생산수량Back-Data'!$B$5:$AAA$10041,
       MATCH($B57,'생산수량Back-Data'!$B$5:$B$10041,0)+3,
       MATCH(AK$3,'생산수량Back-Data'!$B$3:$AAA$3,0))</f>
        <v>0</v>
      </c>
      <c r="AL58" s="310" cm="1">
        <f t="array" ref="AL58">INDEX('생산수량Back-Data'!$B$5:$AAA$10041,
       MATCH($B57,'생산수량Back-Data'!$B$5:$B$10041,0)+3,
       MATCH(AL$3,'생산수량Back-Data'!$B$3:$AAA$3,0))</f>
        <v>0</v>
      </c>
      <c r="AM58" s="310" cm="1">
        <f t="array" ref="AM58">INDEX('생산수량Back-Data'!$B$5:$AAA$10041,
       MATCH($B57,'생산수량Back-Data'!$B$5:$B$10041,0)+3,
       MATCH(AM$3,'생산수량Back-Data'!$B$3:$AAA$3,0))</f>
        <v>0</v>
      </c>
      <c r="AN58" s="310" cm="1">
        <f t="array" ref="AN58">INDEX('생산수량Back-Data'!$B$5:$AAA$10041,
       MATCH($B57,'생산수량Back-Data'!$B$5:$B$10041,0)+3,
       MATCH(AN$3,'생산수량Back-Data'!$B$3:$AAA$3,0))</f>
        <v>0</v>
      </c>
      <c r="AO58" s="310" cm="1">
        <f t="array" ref="AO58">INDEX('생산수량Back-Data'!$B$5:$AAA$10041,
       MATCH($B57,'생산수량Back-Data'!$B$5:$B$10041,0)+3,
       MATCH(AO$3,'생산수량Back-Data'!$B$3:$AAA$3,0))</f>
        <v>0</v>
      </c>
      <c r="AP58" s="310" cm="1">
        <f t="array" ref="AP58">INDEX('생산수량Back-Data'!$B$5:$AAA$10041,
       MATCH($B57,'생산수량Back-Data'!$B$5:$B$10041,0)+3,
       MATCH(AP$3,'생산수량Back-Data'!$B$3:$AAA$3,0))</f>
        <v>0</v>
      </c>
      <c r="AQ58" s="310" cm="1">
        <f t="array" ref="AQ58">INDEX('생산수량Back-Data'!$B$5:$AAA$10041,
       MATCH($B57,'생산수량Back-Data'!$B$5:$B$10041,0)+3,
       MATCH(AQ$3,'생산수량Back-Data'!$B$3:$AAA$3,0))</f>
        <v>0</v>
      </c>
      <c r="AR58" s="310" cm="1">
        <f t="array" ref="AR58">INDEX('생산수량Back-Data'!$B$5:$AAA$10041,
       MATCH($B57,'생산수량Back-Data'!$B$5:$B$10041,0)+3,
       MATCH(AR$3,'생산수량Back-Data'!$B$3:$AAA$3,0))</f>
        <v>0</v>
      </c>
      <c r="AS58" s="310" cm="1">
        <f t="array" ref="AS58">INDEX('생산수량Back-Data'!$B$5:$AAA$10041,
       MATCH($B57,'생산수량Back-Data'!$B$5:$B$10041,0)+3,
       MATCH(AS$3,'생산수량Back-Data'!$B$3:$AAA$3,0))</f>
        <v>0</v>
      </c>
      <c r="AT58" s="310" cm="1">
        <f t="array" ref="AT58">INDEX('생산수량Back-Data'!$B$5:$AAA$10041,
       MATCH($B57,'생산수량Back-Data'!$B$5:$B$10041,0)+3,
       MATCH(AT$3,'생산수량Back-Data'!$B$3:$AAA$3,0))</f>
        <v>0</v>
      </c>
      <c r="AU58" s="324" cm="1">
        <f t="array" ref="AU58">INDEX('생산수량Back-Data'!$B$5:$AAA$10041,
       MATCH($B57,'생산수량Back-Data'!$B$5:$B$10041,0)+3,
       MATCH(AU$3,'생산수량Back-Data'!$B$3:$AAA$3,0))</f>
        <v>0</v>
      </c>
    </row>
    <row r="59" spans="2:47" ht="32.1" customHeight="1" x14ac:dyDescent="0.3">
      <c r="B59" s="444" t="s">
        <v>55</v>
      </c>
      <c r="C59" s="444" t="s">
        <v>185</v>
      </c>
      <c r="D59" s="444" t="s">
        <v>195</v>
      </c>
      <c r="E59" s="438">
        <f>ABS(SUMIFS('Fixture 총 발주수량'!V:V,'Fixture 총 발주수량'!B:B,'클린룸 생산계획'!B59,'Fixture 총 발주수량'!V:V,"&lt;0"))</f>
        <v>5123</v>
      </c>
      <c r="F59" s="431">
        <f>G59-E59</f>
        <v>-5123</v>
      </c>
      <c r="G59" s="437">
        <f>SUMIF(Q59:AU59, "&gt;0")</f>
        <v>0</v>
      </c>
      <c r="H59" s="437">
        <f>SUMIF(Q60:AU60, "&gt;0")</f>
        <v>0</v>
      </c>
      <c r="I59" s="442">
        <f>IFERROR(H59/G59,)</f>
        <v>0</v>
      </c>
      <c r="J59" s="437">
        <f ca="1">IFERROR(SUMIF('Fixture 총 발주수량'!B:AG,'클린룸 생산계획'!B59,'Fixture 총 발주수량'!Y:Y),)</f>
        <v>2149</v>
      </c>
      <c r="K59" s="437">
        <f ca="1">IFERROR(SUMIF('Fixture 총 발주수량'!B:AG,'클린룸 생산계획'!B59,'Fixture 총 발주수량'!W:W),)</f>
        <v>634</v>
      </c>
      <c r="L59" s="458">
        <f>ROUNDUP(E59/2000,)</f>
        <v>3</v>
      </c>
      <c r="M59" s="458">
        <f>M57+L59</f>
        <v>49</v>
      </c>
      <c r="N59" s="458">
        <f>M59+L59</f>
        <v>52</v>
      </c>
      <c r="O59" s="438">
        <f>O57+L59</f>
        <v>49</v>
      </c>
      <c r="P59" s="306" t="s">
        <v>264</v>
      </c>
      <c r="Q59" s="325"/>
      <c r="R59" s="312"/>
      <c r="S59" s="312"/>
      <c r="T59" s="312"/>
      <c r="U59" s="312"/>
      <c r="V59" s="312"/>
      <c r="W59" s="312"/>
      <c r="X59" s="312"/>
      <c r="Y59" s="312"/>
      <c r="Z59" s="312"/>
      <c r="AA59" s="312"/>
      <c r="AB59" s="312"/>
      <c r="AC59" s="312"/>
      <c r="AD59" s="312"/>
      <c r="AE59" s="312"/>
      <c r="AF59" s="312"/>
      <c r="AG59" s="312"/>
      <c r="AH59" s="312"/>
      <c r="AI59" s="312"/>
      <c r="AJ59" s="312"/>
      <c r="AK59" s="312"/>
      <c r="AL59" s="312"/>
      <c r="AM59" s="312"/>
      <c r="AN59" s="312"/>
      <c r="AO59" s="312"/>
      <c r="AP59" s="312"/>
      <c r="AQ59" s="312"/>
      <c r="AR59" s="312"/>
      <c r="AS59" s="312"/>
      <c r="AT59" s="312"/>
      <c r="AU59" s="313"/>
    </row>
    <row r="60" spans="2:47" ht="32.1" customHeight="1" x14ac:dyDescent="0.3">
      <c r="B60" s="445"/>
      <c r="C60" s="445"/>
      <c r="D60" s="445"/>
      <c r="E60" s="439"/>
      <c r="F60" s="459"/>
      <c r="G60" s="436"/>
      <c r="H60" s="436"/>
      <c r="I60" s="443"/>
      <c r="J60" s="436"/>
      <c r="K60" s="436"/>
      <c r="L60" s="458"/>
      <c r="M60" s="458"/>
      <c r="N60" s="458"/>
      <c r="O60" s="439"/>
      <c r="P60" s="306" t="s">
        <v>266</v>
      </c>
      <c r="Q60" s="323" cm="1">
        <f t="array" ref="Q60">INDEX('생산수량Back-Data'!$B$5:$AAA$10041,
       MATCH($B59,'생산수량Back-Data'!$B$5:$B$10041,0)+3,
       MATCH(Q$3,'생산수량Back-Data'!$B$3:$AAA$3,0))</f>
        <v>0</v>
      </c>
      <c r="R60" s="310" cm="1">
        <f t="array" ref="R60">INDEX('생산수량Back-Data'!$B$5:$AAA$10041,
       MATCH($B59,'생산수량Back-Data'!$B$5:$B$10041,0)+3,
       MATCH(R$3,'생산수량Back-Data'!$B$3:$AAA$3,0))</f>
        <v>0</v>
      </c>
      <c r="S60" s="310" cm="1">
        <f t="array" ref="S60">INDEX('생산수량Back-Data'!$B$5:$AAA$10041,
       MATCH($B59,'생산수량Back-Data'!$B$5:$B$10041,0)+3,
       MATCH(S$3,'생산수량Back-Data'!$B$3:$AAA$3,0))</f>
        <v>0</v>
      </c>
      <c r="T60" s="310" cm="1">
        <f t="array" ref="T60">INDEX('생산수량Back-Data'!$B$5:$AAA$10041,
       MATCH($B59,'생산수량Back-Data'!$B$5:$B$10041,0)+3,
       MATCH(T$3,'생산수량Back-Data'!$B$3:$AAA$3,0))</f>
        <v>0</v>
      </c>
      <c r="U60" s="310" cm="1">
        <f t="array" ref="U60">INDEX('생산수량Back-Data'!$B$5:$AAA$10041,
       MATCH($B59,'생산수량Back-Data'!$B$5:$B$10041,0)+3,
       MATCH(U$3,'생산수량Back-Data'!$B$3:$AAA$3,0))</f>
        <v>0</v>
      </c>
      <c r="V60" s="310" cm="1">
        <f t="array" ref="V60">INDEX('생산수량Back-Data'!$B$5:$AAA$10041,
       MATCH($B59,'생산수량Back-Data'!$B$5:$B$10041,0)+3,
       MATCH(V$3,'생산수량Back-Data'!$B$3:$AAA$3,0))</f>
        <v>0</v>
      </c>
      <c r="W60" s="310" cm="1">
        <f t="array" ref="W60">INDEX('생산수량Back-Data'!$B$5:$AAA$10041,
       MATCH($B59,'생산수량Back-Data'!$B$5:$B$10041,0)+3,
       MATCH(W$3,'생산수량Back-Data'!$B$3:$AAA$3,0))</f>
        <v>0</v>
      </c>
      <c r="X60" s="310" cm="1">
        <f t="array" ref="X60">INDEX('생산수량Back-Data'!$B$5:$AAA$10041,
       MATCH($B59,'생산수량Back-Data'!$B$5:$B$10041,0)+3,
       MATCH(X$3,'생산수량Back-Data'!$B$3:$AAA$3,0))</f>
        <v>0</v>
      </c>
      <c r="Y60" s="310" cm="1">
        <f t="array" ref="Y60">INDEX('생산수량Back-Data'!$B$5:$AAA$10041,
       MATCH($B59,'생산수량Back-Data'!$B$5:$B$10041,0)+3,
       MATCH(Y$3,'생산수량Back-Data'!$B$3:$AAA$3,0))</f>
        <v>0</v>
      </c>
      <c r="Z60" s="310" cm="1">
        <f t="array" ref="Z60">INDEX('생산수량Back-Data'!$B$5:$AAA$10041,
       MATCH($B59,'생산수량Back-Data'!$B$5:$B$10041,0)+3,
       MATCH(Z$3,'생산수량Back-Data'!$B$3:$AAA$3,0))</f>
        <v>0</v>
      </c>
      <c r="AA60" s="310" cm="1">
        <f t="array" ref="AA60">INDEX('생산수량Back-Data'!$B$5:$AAA$10041,
       MATCH($B59,'생산수량Back-Data'!$B$5:$B$10041,0)+3,
       MATCH(AA$3,'생산수량Back-Data'!$B$3:$AAA$3,0))</f>
        <v>0</v>
      </c>
      <c r="AB60" s="310" cm="1">
        <f t="array" ref="AB60">INDEX('생산수량Back-Data'!$B$5:$AAA$10041,
       MATCH($B59,'생산수량Back-Data'!$B$5:$B$10041,0)+3,
       MATCH(AB$3,'생산수량Back-Data'!$B$3:$AAA$3,0))</f>
        <v>0</v>
      </c>
      <c r="AC60" s="310" cm="1">
        <f t="array" ref="AC60">INDEX('생산수량Back-Data'!$B$5:$AAA$10041,
       MATCH($B59,'생산수량Back-Data'!$B$5:$B$10041,0)+3,
       MATCH(AC$3,'생산수량Back-Data'!$B$3:$AAA$3,0))</f>
        <v>0</v>
      </c>
      <c r="AD60" s="310" cm="1">
        <f t="array" ref="AD60">INDEX('생산수량Back-Data'!$B$5:$AAA$10041,
       MATCH($B59,'생산수량Back-Data'!$B$5:$B$10041,0)+3,
       MATCH(AD$3,'생산수량Back-Data'!$B$3:$AAA$3,0))</f>
        <v>0</v>
      </c>
      <c r="AE60" s="310" cm="1">
        <f t="array" ref="AE60">INDEX('생산수량Back-Data'!$B$5:$AAA$10041,
       MATCH($B59,'생산수량Back-Data'!$B$5:$B$10041,0)+3,
       MATCH(AE$3,'생산수량Back-Data'!$B$3:$AAA$3,0))</f>
        <v>0</v>
      </c>
      <c r="AF60" s="310" cm="1">
        <f t="array" ref="AF60">INDEX('생산수량Back-Data'!$B$5:$AAA$10041,
       MATCH($B59,'생산수량Back-Data'!$B$5:$B$10041,0)+3,
       MATCH(AF$3,'생산수량Back-Data'!$B$3:$AAA$3,0))</f>
        <v>0</v>
      </c>
      <c r="AG60" s="310" cm="1">
        <f t="array" ref="AG60">INDEX('생산수량Back-Data'!$B$5:$AAA$10041,
       MATCH($B59,'생산수량Back-Data'!$B$5:$B$10041,0)+3,
       MATCH(AG$3,'생산수량Back-Data'!$B$3:$AAA$3,0))</f>
        <v>0</v>
      </c>
      <c r="AH60" s="310" cm="1">
        <f t="array" ref="AH60">INDEX('생산수량Back-Data'!$B$5:$AAA$10041,
       MATCH($B59,'생산수량Back-Data'!$B$5:$B$10041,0)+3,
       MATCH(AH$3,'생산수량Back-Data'!$B$3:$AAA$3,0))</f>
        <v>0</v>
      </c>
      <c r="AI60" s="310" cm="1">
        <f t="array" ref="AI60">INDEX('생산수량Back-Data'!$B$5:$AAA$10041,
       MATCH($B59,'생산수량Back-Data'!$B$5:$B$10041,0)+3,
       MATCH(AI$3,'생산수량Back-Data'!$B$3:$AAA$3,0))</f>
        <v>0</v>
      </c>
      <c r="AJ60" s="310" cm="1">
        <f t="array" ref="AJ60">INDEX('생산수량Back-Data'!$B$5:$AAA$10041,
       MATCH($B59,'생산수량Back-Data'!$B$5:$B$10041,0)+3,
       MATCH(AJ$3,'생산수량Back-Data'!$B$3:$AAA$3,0))</f>
        <v>0</v>
      </c>
      <c r="AK60" s="310" cm="1">
        <f t="array" ref="AK60">INDEX('생산수량Back-Data'!$B$5:$AAA$10041,
       MATCH($B59,'생산수량Back-Data'!$B$5:$B$10041,0)+3,
       MATCH(AK$3,'생산수량Back-Data'!$B$3:$AAA$3,0))</f>
        <v>0</v>
      </c>
      <c r="AL60" s="310" cm="1">
        <f t="array" ref="AL60">INDEX('생산수량Back-Data'!$B$5:$AAA$10041,
       MATCH($B59,'생산수량Back-Data'!$B$5:$B$10041,0)+3,
       MATCH(AL$3,'생산수량Back-Data'!$B$3:$AAA$3,0))</f>
        <v>0</v>
      </c>
      <c r="AM60" s="310" cm="1">
        <f t="array" ref="AM60">INDEX('생산수량Back-Data'!$B$5:$AAA$10041,
       MATCH($B59,'생산수량Back-Data'!$B$5:$B$10041,0)+3,
       MATCH(AM$3,'생산수량Back-Data'!$B$3:$AAA$3,0))</f>
        <v>0</v>
      </c>
      <c r="AN60" s="310" cm="1">
        <f t="array" ref="AN60">INDEX('생산수량Back-Data'!$B$5:$AAA$10041,
       MATCH($B59,'생산수량Back-Data'!$B$5:$B$10041,0)+3,
       MATCH(AN$3,'생산수량Back-Data'!$B$3:$AAA$3,0))</f>
        <v>0</v>
      </c>
      <c r="AO60" s="310" cm="1">
        <f t="array" ref="AO60">INDEX('생산수량Back-Data'!$B$5:$AAA$10041,
       MATCH($B59,'생산수량Back-Data'!$B$5:$B$10041,0)+3,
       MATCH(AO$3,'생산수량Back-Data'!$B$3:$AAA$3,0))</f>
        <v>0</v>
      </c>
      <c r="AP60" s="310" cm="1">
        <f t="array" ref="AP60">INDEX('생산수량Back-Data'!$B$5:$AAA$10041,
       MATCH($B59,'생산수량Back-Data'!$B$5:$B$10041,0)+3,
       MATCH(AP$3,'생산수량Back-Data'!$B$3:$AAA$3,0))</f>
        <v>0</v>
      </c>
      <c r="AQ60" s="310" cm="1">
        <f t="array" ref="AQ60">INDEX('생산수량Back-Data'!$B$5:$AAA$10041,
       MATCH($B59,'생산수량Back-Data'!$B$5:$B$10041,0)+3,
       MATCH(AQ$3,'생산수량Back-Data'!$B$3:$AAA$3,0))</f>
        <v>0</v>
      </c>
      <c r="AR60" s="310" cm="1">
        <f t="array" ref="AR60">INDEX('생산수량Back-Data'!$B$5:$AAA$10041,
       MATCH($B59,'생산수량Back-Data'!$B$5:$B$10041,0)+3,
       MATCH(AR$3,'생산수량Back-Data'!$B$3:$AAA$3,0))</f>
        <v>0</v>
      </c>
      <c r="AS60" s="310" cm="1">
        <f t="array" ref="AS60">INDEX('생산수량Back-Data'!$B$5:$AAA$10041,
       MATCH($B59,'생산수량Back-Data'!$B$5:$B$10041,0)+3,
       MATCH(AS$3,'생산수량Back-Data'!$B$3:$AAA$3,0))</f>
        <v>0</v>
      </c>
      <c r="AT60" s="310" cm="1">
        <f t="array" ref="AT60">INDEX('생산수량Back-Data'!$B$5:$AAA$10041,
       MATCH($B59,'생산수량Back-Data'!$B$5:$B$10041,0)+3,
       MATCH(AT$3,'생산수량Back-Data'!$B$3:$AAA$3,0))</f>
        <v>0</v>
      </c>
      <c r="AU60" s="324" cm="1">
        <f t="array" ref="AU60">INDEX('생산수량Back-Data'!$B$5:$AAA$10041,
       MATCH($B59,'생산수량Back-Data'!$B$5:$B$10041,0)+3,
       MATCH(AU$3,'생산수량Back-Data'!$B$3:$AAA$3,0))</f>
        <v>0</v>
      </c>
    </row>
    <row r="61" spans="2:47" ht="32.1" customHeight="1" x14ac:dyDescent="0.3">
      <c r="B61" s="444" t="s">
        <v>51</v>
      </c>
      <c r="C61" s="444" t="s">
        <v>185</v>
      </c>
      <c r="D61" s="444" t="s">
        <v>196</v>
      </c>
      <c r="E61" s="438">
        <f>ABS(SUMIFS('Fixture 총 발주수량'!V:V,'Fixture 총 발주수량'!B:B,'클린룸 생산계획'!B61,'Fixture 총 발주수량'!V:V,"&lt;0"))</f>
        <v>10304</v>
      </c>
      <c r="F61" s="431">
        <f>G61-E61</f>
        <v>-10304</v>
      </c>
      <c r="G61" s="437">
        <f>SUMIF(Q61:AU61, "&gt;0")</f>
        <v>0</v>
      </c>
      <c r="H61" s="437">
        <f>SUMIF(Q62:AU62, "&gt;0")</f>
        <v>0</v>
      </c>
      <c r="I61" s="442">
        <f>IFERROR(H61/G61,)</f>
        <v>0</v>
      </c>
      <c r="J61" s="437">
        <f ca="1">IFERROR(SUMIF('Fixture 총 발주수량'!B:AG,'클린룸 생산계획'!B61,'Fixture 총 발주수량'!Y:Y),)</f>
        <v>0</v>
      </c>
      <c r="K61" s="437">
        <f ca="1">IFERROR(SUMIF('Fixture 총 발주수량'!B:AG,'클린룸 생산계획'!B61,'Fixture 총 발주수량'!W:W),)</f>
        <v>0</v>
      </c>
      <c r="L61" s="458">
        <f>ROUNDUP(E61/2000,)</f>
        <v>6</v>
      </c>
      <c r="M61" s="458">
        <f>M59+L61</f>
        <v>55</v>
      </c>
      <c r="N61" s="458">
        <f>M61+L61</f>
        <v>61</v>
      </c>
      <c r="O61" s="438">
        <f>O59+L61</f>
        <v>55</v>
      </c>
      <c r="P61" s="306" t="s">
        <v>264</v>
      </c>
      <c r="Q61" s="325"/>
      <c r="R61" s="312"/>
      <c r="S61" s="312"/>
      <c r="T61" s="312"/>
      <c r="U61" s="312"/>
      <c r="V61" s="312"/>
      <c r="W61" s="312"/>
      <c r="X61" s="312"/>
      <c r="Y61" s="312"/>
      <c r="Z61" s="312"/>
      <c r="AA61" s="312"/>
      <c r="AB61" s="312"/>
      <c r="AC61" s="312"/>
      <c r="AD61" s="312"/>
      <c r="AE61" s="312"/>
      <c r="AF61" s="312"/>
      <c r="AG61" s="312"/>
      <c r="AH61" s="312"/>
      <c r="AI61" s="312"/>
      <c r="AJ61" s="312"/>
      <c r="AK61" s="312"/>
      <c r="AL61" s="312"/>
      <c r="AM61" s="312"/>
      <c r="AN61" s="312"/>
      <c r="AO61" s="312"/>
      <c r="AP61" s="312"/>
      <c r="AQ61" s="312"/>
      <c r="AR61" s="312"/>
      <c r="AS61" s="312"/>
      <c r="AT61" s="312"/>
      <c r="AU61" s="313"/>
    </row>
    <row r="62" spans="2:47" ht="32.1" customHeight="1" x14ac:dyDescent="0.3">
      <c r="B62" s="445"/>
      <c r="C62" s="445"/>
      <c r="D62" s="445"/>
      <c r="E62" s="439"/>
      <c r="F62" s="459"/>
      <c r="G62" s="436"/>
      <c r="H62" s="436"/>
      <c r="I62" s="443"/>
      <c r="J62" s="436"/>
      <c r="K62" s="436"/>
      <c r="L62" s="458"/>
      <c r="M62" s="458"/>
      <c r="N62" s="458"/>
      <c r="O62" s="439"/>
      <c r="P62" s="306" t="s">
        <v>266</v>
      </c>
      <c r="Q62" s="323" cm="1">
        <f t="array" ref="Q62">INDEX('생산수량Back-Data'!$B$5:$AAA$10041,
       MATCH($B61,'생산수량Back-Data'!$B$5:$B$10041,0)+3,
       MATCH(Q$3,'생산수량Back-Data'!$B$3:$AAA$3,0))</f>
        <v>0</v>
      </c>
      <c r="R62" s="310" cm="1">
        <f t="array" ref="R62">INDEX('생산수량Back-Data'!$B$5:$AAA$10041,
       MATCH($B61,'생산수량Back-Data'!$B$5:$B$10041,0)+3,
       MATCH(R$3,'생산수량Back-Data'!$B$3:$AAA$3,0))</f>
        <v>0</v>
      </c>
      <c r="S62" s="310" cm="1">
        <f t="array" ref="S62">INDEX('생산수량Back-Data'!$B$5:$AAA$10041,
       MATCH($B61,'생산수량Back-Data'!$B$5:$B$10041,0)+3,
       MATCH(S$3,'생산수량Back-Data'!$B$3:$AAA$3,0))</f>
        <v>0</v>
      </c>
      <c r="T62" s="310" cm="1">
        <f t="array" ref="T62">INDEX('생산수량Back-Data'!$B$5:$AAA$10041,
       MATCH($B61,'생산수량Back-Data'!$B$5:$B$10041,0)+3,
       MATCH(T$3,'생산수량Back-Data'!$B$3:$AAA$3,0))</f>
        <v>0</v>
      </c>
      <c r="U62" s="310" cm="1">
        <f t="array" ref="U62">INDEX('생산수량Back-Data'!$B$5:$AAA$10041,
       MATCH($B61,'생산수량Back-Data'!$B$5:$B$10041,0)+3,
       MATCH(U$3,'생산수량Back-Data'!$B$3:$AAA$3,0))</f>
        <v>0</v>
      </c>
      <c r="V62" s="310" cm="1">
        <f t="array" ref="V62">INDEX('생산수량Back-Data'!$B$5:$AAA$10041,
       MATCH($B61,'생산수량Back-Data'!$B$5:$B$10041,0)+3,
       MATCH(V$3,'생산수량Back-Data'!$B$3:$AAA$3,0))</f>
        <v>0</v>
      </c>
      <c r="W62" s="310" cm="1">
        <f t="array" ref="W62">INDEX('생산수량Back-Data'!$B$5:$AAA$10041,
       MATCH($B61,'생산수량Back-Data'!$B$5:$B$10041,0)+3,
       MATCH(W$3,'생산수량Back-Data'!$B$3:$AAA$3,0))</f>
        <v>0</v>
      </c>
      <c r="X62" s="310" cm="1">
        <f t="array" ref="X62">INDEX('생산수량Back-Data'!$B$5:$AAA$10041,
       MATCH($B61,'생산수량Back-Data'!$B$5:$B$10041,0)+3,
       MATCH(X$3,'생산수량Back-Data'!$B$3:$AAA$3,0))</f>
        <v>0</v>
      </c>
      <c r="Y62" s="310" cm="1">
        <f t="array" ref="Y62">INDEX('생산수량Back-Data'!$B$5:$AAA$10041,
       MATCH($B61,'생산수량Back-Data'!$B$5:$B$10041,0)+3,
       MATCH(Y$3,'생산수량Back-Data'!$B$3:$AAA$3,0))</f>
        <v>0</v>
      </c>
      <c r="Z62" s="310" cm="1">
        <f t="array" ref="Z62">INDEX('생산수량Back-Data'!$B$5:$AAA$10041,
       MATCH($B61,'생산수량Back-Data'!$B$5:$B$10041,0)+3,
       MATCH(Z$3,'생산수량Back-Data'!$B$3:$AAA$3,0))</f>
        <v>0</v>
      </c>
      <c r="AA62" s="310" cm="1">
        <f t="array" ref="AA62">INDEX('생산수량Back-Data'!$B$5:$AAA$10041,
       MATCH($B61,'생산수량Back-Data'!$B$5:$B$10041,0)+3,
       MATCH(AA$3,'생산수량Back-Data'!$B$3:$AAA$3,0))</f>
        <v>0</v>
      </c>
      <c r="AB62" s="310" cm="1">
        <f t="array" ref="AB62">INDEX('생산수량Back-Data'!$B$5:$AAA$10041,
       MATCH($B61,'생산수량Back-Data'!$B$5:$B$10041,0)+3,
       MATCH(AB$3,'생산수량Back-Data'!$B$3:$AAA$3,0))</f>
        <v>0</v>
      </c>
      <c r="AC62" s="310" cm="1">
        <f t="array" ref="AC62">INDEX('생산수량Back-Data'!$B$5:$AAA$10041,
       MATCH($B61,'생산수량Back-Data'!$B$5:$B$10041,0)+3,
       MATCH(AC$3,'생산수량Back-Data'!$B$3:$AAA$3,0))</f>
        <v>0</v>
      </c>
      <c r="AD62" s="310" cm="1">
        <f t="array" ref="AD62">INDEX('생산수량Back-Data'!$B$5:$AAA$10041,
       MATCH($B61,'생산수량Back-Data'!$B$5:$B$10041,0)+3,
       MATCH(AD$3,'생산수량Back-Data'!$B$3:$AAA$3,0))</f>
        <v>0</v>
      </c>
      <c r="AE62" s="310" cm="1">
        <f t="array" ref="AE62">INDEX('생산수량Back-Data'!$B$5:$AAA$10041,
       MATCH($B61,'생산수량Back-Data'!$B$5:$B$10041,0)+3,
       MATCH(AE$3,'생산수량Back-Data'!$B$3:$AAA$3,0))</f>
        <v>0</v>
      </c>
      <c r="AF62" s="310" cm="1">
        <f t="array" ref="AF62">INDEX('생산수량Back-Data'!$B$5:$AAA$10041,
       MATCH($B61,'생산수량Back-Data'!$B$5:$B$10041,0)+3,
       MATCH(AF$3,'생산수량Back-Data'!$B$3:$AAA$3,0))</f>
        <v>0</v>
      </c>
      <c r="AG62" s="310" cm="1">
        <f t="array" ref="AG62">INDEX('생산수량Back-Data'!$B$5:$AAA$10041,
       MATCH($B61,'생산수량Back-Data'!$B$5:$B$10041,0)+3,
       MATCH(AG$3,'생산수량Back-Data'!$B$3:$AAA$3,0))</f>
        <v>0</v>
      </c>
      <c r="AH62" s="310" cm="1">
        <f t="array" ref="AH62">INDEX('생산수량Back-Data'!$B$5:$AAA$10041,
       MATCH($B61,'생산수량Back-Data'!$B$5:$B$10041,0)+3,
       MATCH(AH$3,'생산수량Back-Data'!$B$3:$AAA$3,0))</f>
        <v>0</v>
      </c>
      <c r="AI62" s="310" cm="1">
        <f t="array" ref="AI62">INDEX('생산수량Back-Data'!$B$5:$AAA$10041,
       MATCH($B61,'생산수량Back-Data'!$B$5:$B$10041,0)+3,
       MATCH(AI$3,'생산수량Back-Data'!$B$3:$AAA$3,0))</f>
        <v>0</v>
      </c>
      <c r="AJ62" s="310" cm="1">
        <f t="array" ref="AJ62">INDEX('생산수량Back-Data'!$B$5:$AAA$10041,
       MATCH($B61,'생산수량Back-Data'!$B$5:$B$10041,0)+3,
       MATCH(AJ$3,'생산수량Back-Data'!$B$3:$AAA$3,0))</f>
        <v>0</v>
      </c>
      <c r="AK62" s="310" cm="1">
        <f t="array" ref="AK62">INDEX('생산수량Back-Data'!$B$5:$AAA$10041,
       MATCH($B61,'생산수량Back-Data'!$B$5:$B$10041,0)+3,
       MATCH(AK$3,'생산수량Back-Data'!$B$3:$AAA$3,0))</f>
        <v>0</v>
      </c>
      <c r="AL62" s="310" cm="1">
        <f t="array" ref="AL62">INDEX('생산수량Back-Data'!$B$5:$AAA$10041,
       MATCH($B61,'생산수량Back-Data'!$B$5:$B$10041,0)+3,
       MATCH(AL$3,'생산수량Back-Data'!$B$3:$AAA$3,0))</f>
        <v>0</v>
      </c>
      <c r="AM62" s="310" cm="1">
        <f t="array" ref="AM62">INDEX('생산수량Back-Data'!$B$5:$AAA$10041,
       MATCH($B61,'생산수량Back-Data'!$B$5:$B$10041,0)+3,
       MATCH(AM$3,'생산수량Back-Data'!$B$3:$AAA$3,0))</f>
        <v>0</v>
      </c>
      <c r="AN62" s="310" cm="1">
        <f t="array" ref="AN62">INDEX('생산수량Back-Data'!$B$5:$AAA$10041,
       MATCH($B61,'생산수량Back-Data'!$B$5:$B$10041,0)+3,
       MATCH(AN$3,'생산수량Back-Data'!$B$3:$AAA$3,0))</f>
        <v>0</v>
      </c>
      <c r="AO62" s="310" cm="1">
        <f t="array" ref="AO62">INDEX('생산수량Back-Data'!$B$5:$AAA$10041,
       MATCH($B61,'생산수량Back-Data'!$B$5:$B$10041,0)+3,
       MATCH(AO$3,'생산수량Back-Data'!$B$3:$AAA$3,0))</f>
        <v>0</v>
      </c>
      <c r="AP62" s="310" cm="1">
        <f t="array" ref="AP62">INDEX('생산수량Back-Data'!$B$5:$AAA$10041,
       MATCH($B61,'생산수량Back-Data'!$B$5:$B$10041,0)+3,
       MATCH(AP$3,'생산수량Back-Data'!$B$3:$AAA$3,0))</f>
        <v>0</v>
      </c>
      <c r="AQ62" s="310" cm="1">
        <f t="array" ref="AQ62">INDEX('생산수량Back-Data'!$B$5:$AAA$10041,
       MATCH($B61,'생산수량Back-Data'!$B$5:$B$10041,0)+3,
       MATCH(AQ$3,'생산수량Back-Data'!$B$3:$AAA$3,0))</f>
        <v>0</v>
      </c>
      <c r="AR62" s="310" cm="1">
        <f t="array" ref="AR62">INDEX('생산수량Back-Data'!$B$5:$AAA$10041,
       MATCH($B61,'생산수량Back-Data'!$B$5:$B$10041,0)+3,
       MATCH(AR$3,'생산수량Back-Data'!$B$3:$AAA$3,0))</f>
        <v>0</v>
      </c>
      <c r="AS62" s="310" cm="1">
        <f t="array" ref="AS62">INDEX('생산수량Back-Data'!$B$5:$AAA$10041,
       MATCH($B61,'생산수량Back-Data'!$B$5:$B$10041,0)+3,
       MATCH(AS$3,'생산수량Back-Data'!$B$3:$AAA$3,0))</f>
        <v>0</v>
      </c>
      <c r="AT62" s="310" cm="1">
        <f t="array" ref="AT62">INDEX('생산수량Back-Data'!$B$5:$AAA$10041,
       MATCH($B61,'생산수량Back-Data'!$B$5:$B$10041,0)+3,
       MATCH(AT$3,'생산수량Back-Data'!$B$3:$AAA$3,0))</f>
        <v>0</v>
      </c>
      <c r="AU62" s="324" cm="1">
        <f t="array" ref="AU62">INDEX('생산수량Back-Data'!$B$5:$AAA$10041,
       MATCH($B61,'생산수량Back-Data'!$B$5:$B$10041,0)+3,
       MATCH(AU$3,'생산수량Back-Data'!$B$3:$AAA$3,0))</f>
        <v>0</v>
      </c>
    </row>
    <row r="63" spans="2:47" ht="32.1" customHeight="1" x14ac:dyDescent="0.3">
      <c r="B63" s="444" t="s">
        <v>56</v>
      </c>
      <c r="C63" s="444" t="s">
        <v>185</v>
      </c>
      <c r="D63" s="444" t="s">
        <v>196</v>
      </c>
      <c r="E63" s="438">
        <f>ABS(SUMIFS('Fixture 총 발주수량'!V:V,'Fixture 총 발주수량'!B:B,'클린룸 생산계획'!B63,'Fixture 총 발주수량'!V:V,"&lt;0"))</f>
        <v>9083</v>
      </c>
      <c r="F63" s="431">
        <f>G63-E63</f>
        <v>-9083</v>
      </c>
      <c r="G63" s="437">
        <f>SUMIF(Q63:AU63, "&gt;0")</f>
        <v>0</v>
      </c>
      <c r="H63" s="437">
        <f>SUMIF(Q64:AU64, "&gt;0")</f>
        <v>0</v>
      </c>
      <c r="I63" s="442">
        <f>IFERROR(H63/G63,)</f>
        <v>0</v>
      </c>
      <c r="J63" s="437">
        <f ca="1">IFERROR(SUMIF('Fixture 총 발주수량'!B:AG,'클린룸 생산계획'!B63,'Fixture 총 발주수량'!Y:Y),)</f>
        <v>645</v>
      </c>
      <c r="K63" s="437">
        <f ca="1">IFERROR(SUMIF('Fixture 총 발주수량'!B:AG,'클린룸 생산계획'!B63,'Fixture 총 발주수량'!W:W),)</f>
        <v>617</v>
      </c>
      <c r="L63" s="458">
        <f>ROUNDUP(E63/2000,)</f>
        <v>5</v>
      </c>
      <c r="M63" s="458">
        <f>M61+L63</f>
        <v>60</v>
      </c>
      <c r="N63" s="458">
        <f>M63+L63</f>
        <v>65</v>
      </c>
      <c r="O63" s="438">
        <f>O61+L63</f>
        <v>60</v>
      </c>
      <c r="P63" s="306" t="s">
        <v>264</v>
      </c>
      <c r="Q63" s="325"/>
      <c r="R63" s="312"/>
      <c r="S63" s="312"/>
      <c r="T63" s="312"/>
      <c r="U63" s="312"/>
      <c r="V63" s="312"/>
      <c r="W63" s="312"/>
      <c r="X63" s="312"/>
      <c r="Y63" s="312"/>
      <c r="Z63" s="312"/>
      <c r="AA63" s="312"/>
      <c r="AB63" s="312"/>
      <c r="AC63" s="312"/>
      <c r="AD63" s="312"/>
      <c r="AE63" s="312"/>
      <c r="AF63" s="312"/>
      <c r="AG63" s="312"/>
      <c r="AH63" s="312"/>
      <c r="AI63" s="312"/>
      <c r="AJ63" s="312"/>
      <c r="AK63" s="312"/>
      <c r="AL63" s="312"/>
      <c r="AM63" s="312"/>
      <c r="AN63" s="312"/>
      <c r="AO63" s="312"/>
      <c r="AP63" s="312"/>
      <c r="AQ63" s="312"/>
      <c r="AR63" s="312"/>
      <c r="AS63" s="312"/>
      <c r="AT63" s="312"/>
      <c r="AU63" s="313"/>
    </row>
    <row r="64" spans="2:47" ht="32.1" customHeight="1" x14ac:dyDescent="0.3">
      <c r="B64" s="445"/>
      <c r="C64" s="445"/>
      <c r="D64" s="445"/>
      <c r="E64" s="439"/>
      <c r="F64" s="459"/>
      <c r="G64" s="436"/>
      <c r="H64" s="436"/>
      <c r="I64" s="443"/>
      <c r="J64" s="436"/>
      <c r="K64" s="436"/>
      <c r="L64" s="458"/>
      <c r="M64" s="458"/>
      <c r="N64" s="458"/>
      <c r="O64" s="439"/>
      <c r="P64" s="306" t="s">
        <v>266</v>
      </c>
      <c r="Q64" s="323" cm="1">
        <f t="array" ref="Q64">INDEX('생산수량Back-Data'!$B$5:$AAA$10041,
       MATCH($B63,'생산수량Back-Data'!$B$5:$B$10041,0)+3,
       MATCH(Q$3,'생산수량Back-Data'!$B$3:$AAA$3,0))</f>
        <v>0</v>
      </c>
      <c r="R64" s="310" cm="1">
        <f t="array" ref="R64">INDEX('생산수량Back-Data'!$B$5:$AAA$10041,
       MATCH($B63,'생산수량Back-Data'!$B$5:$B$10041,0)+3,
       MATCH(R$3,'생산수량Back-Data'!$B$3:$AAA$3,0))</f>
        <v>0</v>
      </c>
      <c r="S64" s="310" cm="1">
        <f t="array" ref="S64">INDEX('생산수량Back-Data'!$B$5:$AAA$10041,
       MATCH($B63,'생산수량Back-Data'!$B$5:$B$10041,0)+3,
       MATCH(S$3,'생산수량Back-Data'!$B$3:$AAA$3,0))</f>
        <v>0</v>
      </c>
      <c r="T64" s="310" cm="1">
        <f t="array" ref="T64">INDEX('생산수량Back-Data'!$B$5:$AAA$10041,
       MATCH($B63,'생산수량Back-Data'!$B$5:$B$10041,0)+3,
       MATCH(T$3,'생산수량Back-Data'!$B$3:$AAA$3,0))</f>
        <v>0</v>
      </c>
      <c r="U64" s="310" cm="1">
        <f t="array" ref="U64">INDEX('생산수량Back-Data'!$B$5:$AAA$10041,
       MATCH($B63,'생산수량Back-Data'!$B$5:$B$10041,0)+3,
       MATCH(U$3,'생산수량Back-Data'!$B$3:$AAA$3,0))</f>
        <v>0</v>
      </c>
      <c r="V64" s="310" cm="1">
        <f t="array" ref="V64">INDEX('생산수량Back-Data'!$B$5:$AAA$10041,
       MATCH($B63,'생산수량Back-Data'!$B$5:$B$10041,0)+3,
       MATCH(V$3,'생산수량Back-Data'!$B$3:$AAA$3,0))</f>
        <v>0</v>
      </c>
      <c r="W64" s="310" cm="1">
        <f t="array" ref="W64">INDEX('생산수량Back-Data'!$B$5:$AAA$10041,
       MATCH($B63,'생산수량Back-Data'!$B$5:$B$10041,0)+3,
       MATCH(W$3,'생산수량Back-Data'!$B$3:$AAA$3,0))</f>
        <v>0</v>
      </c>
      <c r="X64" s="310" cm="1">
        <f t="array" ref="X64">INDEX('생산수량Back-Data'!$B$5:$AAA$10041,
       MATCH($B63,'생산수량Back-Data'!$B$5:$B$10041,0)+3,
       MATCH(X$3,'생산수량Back-Data'!$B$3:$AAA$3,0))</f>
        <v>0</v>
      </c>
      <c r="Y64" s="310" cm="1">
        <f t="array" ref="Y64">INDEX('생산수량Back-Data'!$B$5:$AAA$10041,
       MATCH($B63,'생산수량Back-Data'!$B$5:$B$10041,0)+3,
       MATCH(Y$3,'생산수량Back-Data'!$B$3:$AAA$3,0))</f>
        <v>0</v>
      </c>
      <c r="Z64" s="310" cm="1">
        <f t="array" ref="Z64">INDEX('생산수량Back-Data'!$B$5:$AAA$10041,
       MATCH($B63,'생산수량Back-Data'!$B$5:$B$10041,0)+3,
       MATCH(Z$3,'생산수량Back-Data'!$B$3:$AAA$3,0))</f>
        <v>0</v>
      </c>
      <c r="AA64" s="310" cm="1">
        <f t="array" ref="AA64">INDEX('생산수량Back-Data'!$B$5:$AAA$10041,
       MATCH($B63,'생산수량Back-Data'!$B$5:$B$10041,0)+3,
       MATCH(AA$3,'생산수량Back-Data'!$B$3:$AAA$3,0))</f>
        <v>0</v>
      </c>
      <c r="AB64" s="310" cm="1">
        <f t="array" ref="AB64">INDEX('생산수량Back-Data'!$B$5:$AAA$10041,
       MATCH($B63,'생산수량Back-Data'!$B$5:$B$10041,0)+3,
       MATCH(AB$3,'생산수량Back-Data'!$B$3:$AAA$3,0))</f>
        <v>0</v>
      </c>
      <c r="AC64" s="310" cm="1">
        <f t="array" ref="AC64">INDEX('생산수량Back-Data'!$B$5:$AAA$10041,
       MATCH($B63,'생산수량Back-Data'!$B$5:$B$10041,0)+3,
       MATCH(AC$3,'생산수량Back-Data'!$B$3:$AAA$3,0))</f>
        <v>0</v>
      </c>
      <c r="AD64" s="310" cm="1">
        <f t="array" ref="AD64">INDEX('생산수량Back-Data'!$B$5:$AAA$10041,
       MATCH($B63,'생산수량Back-Data'!$B$5:$B$10041,0)+3,
       MATCH(AD$3,'생산수량Back-Data'!$B$3:$AAA$3,0))</f>
        <v>0</v>
      </c>
      <c r="AE64" s="310" cm="1">
        <f t="array" ref="AE64">INDEX('생산수량Back-Data'!$B$5:$AAA$10041,
       MATCH($B63,'생산수량Back-Data'!$B$5:$B$10041,0)+3,
       MATCH(AE$3,'생산수량Back-Data'!$B$3:$AAA$3,0))</f>
        <v>0</v>
      </c>
      <c r="AF64" s="310" cm="1">
        <f t="array" ref="AF64">INDEX('생산수량Back-Data'!$B$5:$AAA$10041,
       MATCH($B63,'생산수량Back-Data'!$B$5:$B$10041,0)+3,
       MATCH(AF$3,'생산수량Back-Data'!$B$3:$AAA$3,0))</f>
        <v>0</v>
      </c>
      <c r="AG64" s="310" cm="1">
        <f t="array" ref="AG64">INDEX('생산수량Back-Data'!$B$5:$AAA$10041,
       MATCH($B63,'생산수량Back-Data'!$B$5:$B$10041,0)+3,
       MATCH(AG$3,'생산수량Back-Data'!$B$3:$AAA$3,0))</f>
        <v>0</v>
      </c>
      <c r="AH64" s="310" cm="1">
        <f t="array" ref="AH64">INDEX('생산수량Back-Data'!$B$5:$AAA$10041,
       MATCH($B63,'생산수량Back-Data'!$B$5:$B$10041,0)+3,
       MATCH(AH$3,'생산수량Back-Data'!$B$3:$AAA$3,0))</f>
        <v>0</v>
      </c>
      <c r="AI64" s="310" cm="1">
        <f t="array" ref="AI64">INDEX('생산수량Back-Data'!$B$5:$AAA$10041,
       MATCH($B63,'생산수량Back-Data'!$B$5:$B$10041,0)+3,
       MATCH(AI$3,'생산수량Back-Data'!$B$3:$AAA$3,0))</f>
        <v>0</v>
      </c>
      <c r="AJ64" s="310" cm="1">
        <f t="array" ref="AJ64">INDEX('생산수량Back-Data'!$B$5:$AAA$10041,
       MATCH($B63,'생산수량Back-Data'!$B$5:$B$10041,0)+3,
       MATCH(AJ$3,'생산수량Back-Data'!$B$3:$AAA$3,0))</f>
        <v>0</v>
      </c>
      <c r="AK64" s="310" cm="1">
        <f t="array" ref="AK64">INDEX('생산수량Back-Data'!$B$5:$AAA$10041,
       MATCH($B63,'생산수량Back-Data'!$B$5:$B$10041,0)+3,
       MATCH(AK$3,'생산수량Back-Data'!$B$3:$AAA$3,0))</f>
        <v>0</v>
      </c>
      <c r="AL64" s="310" cm="1">
        <f t="array" ref="AL64">INDEX('생산수량Back-Data'!$B$5:$AAA$10041,
       MATCH($B63,'생산수량Back-Data'!$B$5:$B$10041,0)+3,
       MATCH(AL$3,'생산수량Back-Data'!$B$3:$AAA$3,0))</f>
        <v>0</v>
      </c>
      <c r="AM64" s="310" cm="1">
        <f t="array" ref="AM64">INDEX('생산수량Back-Data'!$B$5:$AAA$10041,
       MATCH($B63,'생산수량Back-Data'!$B$5:$B$10041,0)+3,
       MATCH(AM$3,'생산수량Back-Data'!$B$3:$AAA$3,0))</f>
        <v>0</v>
      </c>
      <c r="AN64" s="310" cm="1">
        <f t="array" ref="AN64">INDEX('생산수량Back-Data'!$B$5:$AAA$10041,
       MATCH($B63,'생산수량Back-Data'!$B$5:$B$10041,0)+3,
       MATCH(AN$3,'생산수량Back-Data'!$B$3:$AAA$3,0))</f>
        <v>0</v>
      </c>
      <c r="AO64" s="310" cm="1">
        <f t="array" ref="AO64">INDEX('생산수량Back-Data'!$B$5:$AAA$10041,
       MATCH($B63,'생산수량Back-Data'!$B$5:$B$10041,0)+3,
       MATCH(AO$3,'생산수량Back-Data'!$B$3:$AAA$3,0))</f>
        <v>0</v>
      </c>
      <c r="AP64" s="310" cm="1">
        <f t="array" ref="AP64">INDEX('생산수량Back-Data'!$B$5:$AAA$10041,
       MATCH($B63,'생산수량Back-Data'!$B$5:$B$10041,0)+3,
       MATCH(AP$3,'생산수량Back-Data'!$B$3:$AAA$3,0))</f>
        <v>0</v>
      </c>
      <c r="AQ64" s="310" cm="1">
        <f t="array" ref="AQ64">INDEX('생산수량Back-Data'!$B$5:$AAA$10041,
       MATCH($B63,'생산수량Back-Data'!$B$5:$B$10041,0)+3,
       MATCH(AQ$3,'생산수량Back-Data'!$B$3:$AAA$3,0))</f>
        <v>0</v>
      </c>
      <c r="AR64" s="310" cm="1">
        <f t="array" ref="AR64">INDEX('생산수량Back-Data'!$B$5:$AAA$10041,
       MATCH($B63,'생산수량Back-Data'!$B$5:$B$10041,0)+3,
       MATCH(AR$3,'생산수량Back-Data'!$B$3:$AAA$3,0))</f>
        <v>0</v>
      </c>
      <c r="AS64" s="310" cm="1">
        <f t="array" ref="AS64">INDEX('생산수량Back-Data'!$B$5:$AAA$10041,
       MATCH($B63,'생산수량Back-Data'!$B$5:$B$10041,0)+3,
       MATCH(AS$3,'생산수량Back-Data'!$B$3:$AAA$3,0))</f>
        <v>0</v>
      </c>
      <c r="AT64" s="310" cm="1">
        <f t="array" ref="AT64">INDEX('생산수량Back-Data'!$B$5:$AAA$10041,
       MATCH($B63,'생산수량Back-Data'!$B$5:$B$10041,0)+3,
       MATCH(AT$3,'생산수량Back-Data'!$B$3:$AAA$3,0))</f>
        <v>0</v>
      </c>
      <c r="AU64" s="324" cm="1">
        <f t="array" ref="AU64">INDEX('생산수량Back-Data'!$B$5:$AAA$10041,
       MATCH($B63,'생산수량Back-Data'!$B$5:$B$10041,0)+3,
       MATCH(AU$3,'생산수량Back-Data'!$B$3:$AAA$3,0))</f>
        <v>0</v>
      </c>
    </row>
    <row r="65" spans="2:47" ht="32.1" customHeight="1" x14ac:dyDescent="0.3">
      <c r="B65" s="444" t="s">
        <v>52</v>
      </c>
      <c r="C65" s="444" t="s">
        <v>185</v>
      </c>
      <c r="D65" s="444" t="s">
        <v>197</v>
      </c>
      <c r="E65" s="438">
        <f>ABS(SUMIFS('Fixture 총 발주수량'!V:V,'Fixture 총 발주수량'!B:B,'클린룸 생산계획'!B65,'Fixture 총 발주수량'!V:V,"&lt;0"))</f>
        <v>1440</v>
      </c>
      <c r="F65" s="431">
        <f>G65-E65</f>
        <v>-1440</v>
      </c>
      <c r="G65" s="437">
        <f>SUMIF(Q65:AU65, "&gt;0")</f>
        <v>0</v>
      </c>
      <c r="H65" s="437">
        <f>SUMIF(Q66:AU66, "&gt;0")</f>
        <v>0</v>
      </c>
      <c r="I65" s="442">
        <f>IFERROR(H65/G65,)</f>
        <v>0</v>
      </c>
      <c r="J65" s="437">
        <f ca="1">IFERROR(SUMIF('Fixture 총 발주수량'!B:AG,'클린룸 생산계획'!B65,'Fixture 총 발주수량'!Y:Y),)</f>
        <v>0</v>
      </c>
      <c r="K65" s="437">
        <f ca="1">IFERROR(SUMIF('Fixture 총 발주수량'!B:AG,'클린룸 생산계획'!B65,'Fixture 총 발주수량'!W:W),)</f>
        <v>0</v>
      </c>
      <c r="L65" s="458">
        <f>ROUNDUP(E65/2000,)</f>
        <v>1</v>
      </c>
      <c r="M65" s="458">
        <f>M63+L65</f>
        <v>61</v>
      </c>
      <c r="N65" s="458">
        <f>M65+L65</f>
        <v>62</v>
      </c>
      <c r="O65" s="438">
        <f>O63+L65</f>
        <v>61</v>
      </c>
      <c r="P65" s="306" t="s">
        <v>264</v>
      </c>
      <c r="Q65" s="325"/>
      <c r="R65" s="312"/>
      <c r="S65" s="312"/>
      <c r="T65" s="312"/>
      <c r="U65" s="312"/>
      <c r="V65" s="312"/>
      <c r="W65" s="312"/>
      <c r="X65" s="312"/>
      <c r="Y65" s="312"/>
      <c r="Z65" s="312"/>
      <c r="AA65" s="312"/>
      <c r="AB65" s="312"/>
      <c r="AC65" s="312"/>
      <c r="AD65" s="312"/>
      <c r="AE65" s="312"/>
      <c r="AF65" s="312"/>
      <c r="AG65" s="312"/>
      <c r="AH65" s="312"/>
      <c r="AI65" s="312"/>
      <c r="AJ65" s="312"/>
      <c r="AK65" s="312"/>
      <c r="AL65" s="312"/>
      <c r="AM65" s="312"/>
      <c r="AN65" s="312"/>
      <c r="AO65" s="312"/>
      <c r="AP65" s="312"/>
      <c r="AQ65" s="312"/>
      <c r="AR65" s="312"/>
      <c r="AS65" s="312"/>
      <c r="AT65" s="312"/>
      <c r="AU65" s="313"/>
    </row>
    <row r="66" spans="2:47" ht="32.1" customHeight="1" x14ac:dyDescent="0.3">
      <c r="B66" s="445"/>
      <c r="C66" s="445"/>
      <c r="D66" s="445"/>
      <c r="E66" s="439"/>
      <c r="F66" s="459"/>
      <c r="G66" s="436"/>
      <c r="H66" s="436"/>
      <c r="I66" s="443"/>
      <c r="J66" s="436"/>
      <c r="K66" s="436"/>
      <c r="L66" s="458"/>
      <c r="M66" s="458"/>
      <c r="N66" s="458"/>
      <c r="O66" s="439"/>
      <c r="P66" s="306" t="s">
        <v>266</v>
      </c>
      <c r="Q66" s="323" cm="1">
        <f t="array" ref="Q66">INDEX('생산수량Back-Data'!$B$5:$AAA$10041,
       MATCH($B65,'생산수량Back-Data'!$B$5:$B$10041,0)+3,
       MATCH(Q$3,'생산수량Back-Data'!$B$3:$AAA$3,0))</f>
        <v>0</v>
      </c>
      <c r="R66" s="310" cm="1">
        <f t="array" ref="R66">INDEX('생산수량Back-Data'!$B$5:$AAA$10041,
       MATCH($B65,'생산수량Back-Data'!$B$5:$B$10041,0)+3,
       MATCH(R$3,'생산수량Back-Data'!$B$3:$AAA$3,0))</f>
        <v>0</v>
      </c>
      <c r="S66" s="310" cm="1">
        <f t="array" ref="S66">INDEX('생산수량Back-Data'!$B$5:$AAA$10041,
       MATCH($B65,'생산수량Back-Data'!$B$5:$B$10041,0)+3,
       MATCH(S$3,'생산수량Back-Data'!$B$3:$AAA$3,0))</f>
        <v>0</v>
      </c>
      <c r="T66" s="310" cm="1">
        <f t="array" ref="T66">INDEX('생산수량Back-Data'!$B$5:$AAA$10041,
       MATCH($B65,'생산수량Back-Data'!$B$5:$B$10041,0)+3,
       MATCH(T$3,'생산수량Back-Data'!$B$3:$AAA$3,0))</f>
        <v>0</v>
      </c>
      <c r="U66" s="310" cm="1">
        <f t="array" ref="U66">INDEX('생산수량Back-Data'!$B$5:$AAA$10041,
       MATCH($B65,'생산수량Back-Data'!$B$5:$B$10041,0)+3,
       MATCH(U$3,'생산수량Back-Data'!$B$3:$AAA$3,0))</f>
        <v>0</v>
      </c>
      <c r="V66" s="310" cm="1">
        <f t="array" ref="V66">INDEX('생산수량Back-Data'!$B$5:$AAA$10041,
       MATCH($B65,'생산수량Back-Data'!$B$5:$B$10041,0)+3,
       MATCH(V$3,'생산수량Back-Data'!$B$3:$AAA$3,0))</f>
        <v>0</v>
      </c>
      <c r="W66" s="310" cm="1">
        <f t="array" ref="W66">INDEX('생산수량Back-Data'!$B$5:$AAA$10041,
       MATCH($B65,'생산수량Back-Data'!$B$5:$B$10041,0)+3,
       MATCH(W$3,'생산수량Back-Data'!$B$3:$AAA$3,0))</f>
        <v>0</v>
      </c>
      <c r="X66" s="310" cm="1">
        <f t="array" ref="X66">INDEX('생산수량Back-Data'!$B$5:$AAA$10041,
       MATCH($B65,'생산수량Back-Data'!$B$5:$B$10041,0)+3,
       MATCH(X$3,'생산수량Back-Data'!$B$3:$AAA$3,0))</f>
        <v>0</v>
      </c>
      <c r="Y66" s="310" cm="1">
        <f t="array" ref="Y66">INDEX('생산수량Back-Data'!$B$5:$AAA$10041,
       MATCH($B65,'생산수량Back-Data'!$B$5:$B$10041,0)+3,
       MATCH(Y$3,'생산수량Back-Data'!$B$3:$AAA$3,0))</f>
        <v>0</v>
      </c>
      <c r="Z66" s="310" cm="1">
        <f t="array" ref="Z66">INDEX('생산수량Back-Data'!$B$5:$AAA$10041,
       MATCH($B65,'생산수량Back-Data'!$B$5:$B$10041,0)+3,
       MATCH(Z$3,'생산수량Back-Data'!$B$3:$AAA$3,0))</f>
        <v>0</v>
      </c>
      <c r="AA66" s="310" cm="1">
        <f t="array" ref="AA66">INDEX('생산수량Back-Data'!$B$5:$AAA$10041,
       MATCH($B65,'생산수량Back-Data'!$B$5:$B$10041,0)+3,
       MATCH(AA$3,'생산수량Back-Data'!$B$3:$AAA$3,0))</f>
        <v>0</v>
      </c>
      <c r="AB66" s="310" cm="1">
        <f t="array" ref="AB66">INDEX('생산수량Back-Data'!$B$5:$AAA$10041,
       MATCH($B65,'생산수량Back-Data'!$B$5:$B$10041,0)+3,
       MATCH(AB$3,'생산수량Back-Data'!$B$3:$AAA$3,0))</f>
        <v>0</v>
      </c>
      <c r="AC66" s="310" cm="1">
        <f t="array" ref="AC66">INDEX('생산수량Back-Data'!$B$5:$AAA$10041,
       MATCH($B65,'생산수량Back-Data'!$B$5:$B$10041,0)+3,
       MATCH(AC$3,'생산수량Back-Data'!$B$3:$AAA$3,0))</f>
        <v>0</v>
      </c>
      <c r="AD66" s="310" cm="1">
        <f t="array" ref="AD66">INDEX('생산수량Back-Data'!$B$5:$AAA$10041,
       MATCH($B65,'생산수량Back-Data'!$B$5:$B$10041,0)+3,
       MATCH(AD$3,'생산수량Back-Data'!$B$3:$AAA$3,0))</f>
        <v>0</v>
      </c>
      <c r="AE66" s="310" cm="1">
        <f t="array" ref="AE66">INDEX('생산수량Back-Data'!$B$5:$AAA$10041,
       MATCH($B65,'생산수량Back-Data'!$B$5:$B$10041,0)+3,
       MATCH(AE$3,'생산수량Back-Data'!$B$3:$AAA$3,0))</f>
        <v>0</v>
      </c>
      <c r="AF66" s="310" cm="1">
        <f t="array" ref="AF66">INDEX('생산수량Back-Data'!$B$5:$AAA$10041,
       MATCH($B65,'생산수량Back-Data'!$B$5:$B$10041,0)+3,
       MATCH(AF$3,'생산수량Back-Data'!$B$3:$AAA$3,0))</f>
        <v>0</v>
      </c>
      <c r="AG66" s="310" cm="1">
        <f t="array" ref="AG66">INDEX('생산수량Back-Data'!$B$5:$AAA$10041,
       MATCH($B65,'생산수량Back-Data'!$B$5:$B$10041,0)+3,
       MATCH(AG$3,'생산수량Back-Data'!$B$3:$AAA$3,0))</f>
        <v>0</v>
      </c>
      <c r="AH66" s="310" cm="1">
        <f t="array" ref="AH66">INDEX('생산수량Back-Data'!$B$5:$AAA$10041,
       MATCH($B65,'생산수량Back-Data'!$B$5:$B$10041,0)+3,
       MATCH(AH$3,'생산수량Back-Data'!$B$3:$AAA$3,0))</f>
        <v>0</v>
      </c>
      <c r="AI66" s="310" cm="1">
        <f t="array" ref="AI66">INDEX('생산수량Back-Data'!$B$5:$AAA$10041,
       MATCH($B65,'생산수량Back-Data'!$B$5:$B$10041,0)+3,
       MATCH(AI$3,'생산수량Back-Data'!$B$3:$AAA$3,0))</f>
        <v>0</v>
      </c>
      <c r="AJ66" s="310" cm="1">
        <f t="array" ref="AJ66">INDEX('생산수량Back-Data'!$B$5:$AAA$10041,
       MATCH($B65,'생산수량Back-Data'!$B$5:$B$10041,0)+3,
       MATCH(AJ$3,'생산수량Back-Data'!$B$3:$AAA$3,0))</f>
        <v>0</v>
      </c>
      <c r="AK66" s="310" cm="1">
        <f t="array" ref="AK66">INDEX('생산수량Back-Data'!$B$5:$AAA$10041,
       MATCH($B65,'생산수량Back-Data'!$B$5:$B$10041,0)+3,
       MATCH(AK$3,'생산수량Back-Data'!$B$3:$AAA$3,0))</f>
        <v>0</v>
      </c>
      <c r="AL66" s="310" cm="1">
        <f t="array" ref="AL66">INDEX('생산수량Back-Data'!$B$5:$AAA$10041,
       MATCH($B65,'생산수량Back-Data'!$B$5:$B$10041,0)+3,
       MATCH(AL$3,'생산수량Back-Data'!$B$3:$AAA$3,0))</f>
        <v>0</v>
      </c>
      <c r="AM66" s="310" cm="1">
        <f t="array" ref="AM66">INDEX('생산수량Back-Data'!$B$5:$AAA$10041,
       MATCH($B65,'생산수량Back-Data'!$B$5:$B$10041,0)+3,
       MATCH(AM$3,'생산수량Back-Data'!$B$3:$AAA$3,0))</f>
        <v>0</v>
      </c>
      <c r="AN66" s="310" cm="1">
        <f t="array" ref="AN66">INDEX('생산수량Back-Data'!$B$5:$AAA$10041,
       MATCH($B65,'생산수량Back-Data'!$B$5:$B$10041,0)+3,
       MATCH(AN$3,'생산수량Back-Data'!$B$3:$AAA$3,0))</f>
        <v>0</v>
      </c>
      <c r="AO66" s="310" cm="1">
        <f t="array" ref="AO66">INDEX('생산수량Back-Data'!$B$5:$AAA$10041,
       MATCH($B65,'생산수량Back-Data'!$B$5:$B$10041,0)+3,
       MATCH(AO$3,'생산수량Back-Data'!$B$3:$AAA$3,0))</f>
        <v>0</v>
      </c>
      <c r="AP66" s="310" cm="1">
        <f t="array" ref="AP66">INDEX('생산수량Back-Data'!$B$5:$AAA$10041,
       MATCH($B65,'생산수량Back-Data'!$B$5:$B$10041,0)+3,
       MATCH(AP$3,'생산수량Back-Data'!$B$3:$AAA$3,0))</f>
        <v>0</v>
      </c>
      <c r="AQ66" s="310" cm="1">
        <f t="array" ref="AQ66">INDEX('생산수량Back-Data'!$B$5:$AAA$10041,
       MATCH($B65,'생산수량Back-Data'!$B$5:$B$10041,0)+3,
       MATCH(AQ$3,'생산수량Back-Data'!$B$3:$AAA$3,0))</f>
        <v>0</v>
      </c>
      <c r="AR66" s="310" cm="1">
        <f t="array" ref="AR66">INDEX('생산수량Back-Data'!$B$5:$AAA$10041,
       MATCH($B65,'생산수량Back-Data'!$B$5:$B$10041,0)+3,
       MATCH(AR$3,'생산수량Back-Data'!$B$3:$AAA$3,0))</f>
        <v>0</v>
      </c>
      <c r="AS66" s="310" cm="1">
        <f t="array" ref="AS66">INDEX('생산수량Back-Data'!$B$5:$AAA$10041,
       MATCH($B65,'생산수량Back-Data'!$B$5:$B$10041,0)+3,
       MATCH(AS$3,'생산수량Back-Data'!$B$3:$AAA$3,0))</f>
        <v>0</v>
      </c>
      <c r="AT66" s="310" cm="1">
        <f t="array" ref="AT66">INDEX('생산수량Back-Data'!$B$5:$AAA$10041,
       MATCH($B65,'생산수량Back-Data'!$B$5:$B$10041,0)+3,
       MATCH(AT$3,'생산수량Back-Data'!$B$3:$AAA$3,0))</f>
        <v>0</v>
      </c>
      <c r="AU66" s="324" cm="1">
        <f t="array" ref="AU66">INDEX('생산수량Back-Data'!$B$5:$AAA$10041,
       MATCH($B65,'생산수량Back-Data'!$B$5:$B$10041,0)+3,
       MATCH(AU$3,'생산수량Back-Data'!$B$3:$AAA$3,0))</f>
        <v>0</v>
      </c>
    </row>
    <row r="67" spans="2:47" ht="32.1" customHeight="1" x14ac:dyDescent="0.3">
      <c r="B67" s="444" t="s">
        <v>57</v>
      </c>
      <c r="C67" s="444" t="s">
        <v>185</v>
      </c>
      <c r="D67" s="444" t="s">
        <v>197</v>
      </c>
      <c r="E67" s="438">
        <f>ABS(SUMIFS('Fixture 총 발주수량'!V:V,'Fixture 총 발주수량'!B:B,'클린룸 생산계획'!B67,'Fixture 총 발주수량'!V:V,"&lt;0"))</f>
        <v>2504</v>
      </c>
      <c r="F67" s="431">
        <f>G67-E67</f>
        <v>-2504</v>
      </c>
      <c r="G67" s="437">
        <f>SUMIF(Q67:AU67, "&gt;0")</f>
        <v>0</v>
      </c>
      <c r="H67" s="437">
        <f>SUMIF(Q68:AU68, "&gt;0")</f>
        <v>0</v>
      </c>
      <c r="I67" s="442">
        <f>IFERROR(H67/G67,)</f>
        <v>0</v>
      </c>
      <c r="J67" s="437">
        <f ca="1">IFERROR(SUMIF('Fixture 총 발주수량'!B:AG,'클린룸 생산계획'!B67,'Fixture 총 발주수량'!Y:Y),)</f>
        <v>0</v>
      </c>
      <c r="K67" s="437">
        <f ca="1">IFERROR(SUMIF('Fixture 총 발주수량'!B:AG,'클린룸 생산계획'!B67,'Fixture 총 발주수량'!W:W),)</f>
        <v>346</v>
      </c>
      <c r="L67" s="458">
        <f>ROUNDUP(E67/2000,)</f>
        <v>2</v>
      </c>
      <c r="M67" s="458">
        <f>M65+L67</f>
        <v>63</v>
      </c>
      <c r="N67" s="458">
        <f>M67+L67</f>
        <v>65</v>
      </c>
      <c r="O67" s="438">
        <f>O65+L67</f>
        <v>63</v>
      </c>
      <c r="P67" s="306" t="s">
        <v>264</v>
      </c>
      <c r="Q67" s="325"/>
      <c r="R67" s="312"/>
      <c r="S67" s="312"/>
      <c r="T67" s="312"/>
      <c r="U67" s="312"/>
      <c r="V67" s="312"/>
      <c r="W67" s="312"/>
      <c r="X67" s="312"/>
      <c r="Y67" s="312"/>
      <c r="Z67" s="312"/>
      <c r="AA67" s="312"/>
      <c r="AB67" s="312"/>
      <c r="AC67" s="312"/>
      <c r="AD67" s="312"/>
      <c r="AE67" s="312"/>
      <c r="AF67" s="312"/>
      <c r="AG67" s="312"/>
      <c r="AH67" s="312"/>
      <c r="AI67" s="312"/>
      <c r="AJ67" s="312"/>
      <c r="AK67" s="312"/>
      <c r="AL67" s="312"/>
      <c r="AM67" s="312"/>
      <c r="AN67" s="312"/>
      <c r="AO67" s="312"/>
      <c r="AP67" s="312"/>
      <c r="AQ67" s="312"/>
      <c r="AR67" s="312"/>
      <c r="AS67" s="312"/>
      <c r="AT67" s="312"/>
      <c r="AU67" s="313"/>
    </row>
    <row r="68" spans="2:47" ht="32.1" customHeight="1" thickBot="1" x14ac:dyDescent="0.35">
      <c r="B68" s="454"/>
      <c r="C68" s="454"/>
      <c r="D68" s="454"/>
      <c r="E68" s="450"/>
      <c r="F68" s="461"/>
      <c r="G68" s="452"/>
      <c r="H68" s="452"/>
      <c r="I68" s="453"/>
      <c r="J68" s="452"/>
      <c r="K68" s="452"/>
      <c r="L68" s="438"/>
      <c r="M68" s="438"/>
      <c r="N68" s="438"/>
      <c r="O68" s="450"/>
      <c r="P68" s="305" t="s">
        <v>266</v>
      </c>
      <c r="Q68" s="323" cm="1">
        <f t="array" ref="Q68">INDEX('생산수량Back-Data'!$B$5:$AAA$10041,
       MATCH($B67,'생산수량Back-Data'!$B$5:$B$10041,0)+3,
       MATCH(Q$3,'생산수량Back-Data'!$B$3:$AAA$3,0))</f>
        <v>0</v>
      </c>
      <c r="R68" s="310" cm="1">
        <f t="array" ref="R68">INDEX('생산수량Back-Data'!$B$5:$AAA$10041,
       MATCH($B67,'생산수량Back-Data'!$B$5:$B$10041,0)+3,
       MATCH(R$3,'생산수량Back-Data'!$B$3:$AAA$3,0))</f>
        <v>0</v>
      </c>
      <c r="S68" s="310" cm="1">
        <f t="array" ref="S68">INDEX('생산수량Back-Data'!$B$5:$AAA$10041,
       MATCH($B67,'생산수량Back-Data'!$B$5:$B$10041,0)+3,
       MATCH(S$3,'생산수량Back-Data'!$B$3:$AAA$3,0))</f>
        <v>0</v>
      </c>
      <c r="T68" s="310" cm="1">
        <f t="array" ref="T68">INDEX('생산수량Back-Data'!$B$5:$AAA$10041,
       MATCH($B67,'생산수량Back-Data'!$B$5:$B$10041,0)+3,
       MATCH(T$3,'생산수량Back-Data'!$B$3:$AAA$3,0))</f>
        <v>0</v>
      </c>
      <c r="U68" s="310" cm="1">
        <f t="array" ref="U68">INDEX('생산수량Back-Data'!$B$5:$AAA$10041,
       MATCH($B67,'생산수량Back-Data'!$B$5:$B$10041,0)+3,
       MATCH(U$3,'생산수량Back-Data'!$B$3:$AAA$3,0))</f>
        <v>0</v>
      </c>
      <c r="V68" s="310" cm="1">
        <f t="array" ref="V68">INDEX('생산수량Back-Data'!$B$5:$AAA$10041,
       MATCH($B67,'생산수량Back-Data'!$B$5:$B$10041,0)+3,
       MATCH(V$3,'생산수량Back-Data'!$B$3:$AAA$3,0))</f>
        <v>0</v>
      </c>
      <c r="W68" s="310" cm="1">
        <f t="array" ref="W68">INDEX('생산수량Back-Data'!$B$5:$AAA$10041,
       MATCH($B67,'생산수량Back-Data'!$B$5:$B$10041,0)+3,
       MATCH(W$3,'생산수량Back-Data'!$B$3:$AAA$3,0))</f>
        <v>0</v>
      </c>
      <c r="X68" s="310" cm="1">
        <f t="array" ref="X68">INDEX('생산수량Back-Data'!$B$5:$AAA$10041,
       MATCH($B67,'생산수량Back-Data'!$B$5:$B$10041,0)+3,
       MATCH(X$3,'생산수량Back-Data'!$B$3:$AAA$3,0))</f>
        <v>0</v>
      </c>
      <c r="Y68" s="310" cm="1">
        <f t="array" ref="Y68">INDEX('생산수량Back-Data'!$B$5:$AAA$10041,
       MATCH($B67,'생산수량Back-Data'!$B$5:$B$10041,0)+3,
       MATCH(Y$3,'생산수량Back-Data'!$B$3:$AAA$3,0))</f>
        <v>0</v>
      </c>
      <c r="Z68" s="310" cm="1">
        <f t="array" ref="Z68">INDEX('생산수량Back-Data'!$B$5:$AAA$10041,
       MATCH($B67,'생산수량Back-Data'!$B$5:$B$10041,0)+3,
       MATCH(Z$3,'생산수량Back-Data'!$B$3:$AAA$3,0))</f>
        <v>0</v>
      </c>
      <c r="AA68" s="310" cm="1">
        <f t="array" ref="AA68">INDEX('생산수량Back-Data'!$B$5:$AAA$10041,
       MATCH($B67,'생산수량Back-Data'!$B$5:$B$10041,0)+3,
       MATCH(AA$3,'생산수량Back-Data'!$B$3:$AAA$3,0))</f>
        <v>0</v>
      </c>
      <c r="AB68" s="310" cm="1">
        <f t="array" ref="AB68">INDEX('생산수량Back-Data'!$B$5:$AAA$10041,
       MATCH($B67,'생산수량Back-Data'!$B$5:$B$10041,0)+3,
       MATCH(AB$3,'생산수량Back-Data'!$B$3:$AAA$3,0))</f>
        <v>0</v>
      </c>
      <c r="AC68" s="310" cm="1">
        <f t="array" ref="AC68">INDEX('생산수량Back-Data'!$B$5:$AAA$10041,
       MATCH($B67,'생산수량Back-Data'!$B$5:$B$10041,0)+3,
       MATCH(AC$3,'생산수량Back-Data'!$B$3:$AAA$3,0))</f>
        <v>0</v>
      </c>
      <c r="AD68" s="310" cm="1">
        <f t="array" ref="AD68">INDEX('생산수량Back-Data'!$B$5:$AAA$10041,
       MATCH($B67,'생산수량Back-Data'!$B$5:$B$10041,0)+3,
       MATCH(AD$3,'생산수량Back-Data'!$B$3:$AAA$3,0))</f>
        <v>0</v>
      </c>
      <c r="AE68" s="310" cm="1">
        <f t="array" ref="AE68">INDEX('생산수량Back-Data'!$B$5:$AAA$10041,
       MATCH($B67,'생산수량Back-Data'!$B$5:$B$10041,0)+3,
       MATCH(AE$3,'생산수량Back-Data'!$B$3:$AAA$3,0))</f>
        <v>0</v>
      </c>
      <c r="AF68" s="310" cm="1">
        <f t="array" ref="AF68">INDEX('생산수량Back-Data'!$B$5:$AAA$10041,
       MATCH($B67,'생산수량Back-Data'!$B$5:$B$10041,0)+3,
       MATCH(AF$3,'생산수량Back-Data'!$B$3:$AAA$3,0))</f>
        <v>0</v>
      </c>
      <c r="AG68" s="310" cm="1">
        <f t="array" ref="AG68">INDEX('생산수량Back-Data'!$B$5:$AAA$10041,
       MATCH($B67,'생산수량Back-Data'!$B$5:$B$10041,0)+3,
       MATCH(AG$3,'생산수량Back-Data'!$B$3:$AAA$3,0))</f>
        <v>0</v>
      </c>
      <c r="AH68" s="310" cm="1">
        <f t="array" ref="AH68">INDEX('생산수량Back-Data'!$B$5:$AAA$10041,
       MATCH($B67,'생산수량Back-Data'!$B$5:$B$10041,0)+3,
       MATCH(AH$3,'생산수량Back-Data'!$B$3:$AAA$3,0))</f>
        <v>0</v>
      </c>
      <c r="AI68" s="310" cm="1">
        <f t="array" ref="AI68">INDEX('생산수량Back-Data'!$B$5:$AAA$10041,
       MATCH($B67,'생산수량Back-Data'!$B$5:$B$10041,0)+3,
       MATCH(AI$3,'생산수량Back-Data'!$B$3:$AAA$3,0))</f>
        <v>0</v>
      </c>
      <c r="AJ68" s="310" cm="1">
        <f t="array" ref="AJ68">INDEX('생산수량Back-Data'!$B$5:$AAA$10041,
       MATCH($B67,'생산수량Back-Data'!$B$5:$B$10041,0)+3,
       MATCH(AJ$3,'생산수량Back-Data'!$B$3:$AAA$3,0))</f>
        <v>0</v>
      </c>
      <c r="AK68" s="310" cm="1">
        <f t="array" ref="AK68">INDEX('생산수량Back-Data'!$B$5:$AAA$10041,
       MATCH($B67,'생산수량Back-Data'!$B$5:$B$10041,0)+3,
       MATCH(AK$3,'생산수량Back-Data'!$B$3:$AAA$3,0))</f>
        <v>0</v>
      </c>
      <c r="AL68" s="310" cm="1">
        <f t="array" ref="AL68">INDEX('생산수량Back-Data'!$B$5:$AAA$10041,
       MATCH($B67,'생산수량Back-Data'!$B$5:$B$10041,0)+3,
       MATCH(AL$3,'생산수량Back-Data'!$B$3:$AAA$3,0))</f>
        <v>0</v>
      </c>
      <c r="AM68" s="310" cm="1">
        <f t="array" ref="AM68">INDEX('생산수량Back-Data'!$B$5:$AAA$10041,
       MATCH($B67,'생산수량Back-Data'!$B$5:$B$10041,0)+3,
       MATCH(AM$3,'생산수량Back-Data'!$B$3:$AAA$3,0))</f>
        <v>0</v>
      </c>
      <c r="AN68" s="310" cm="1">
        <f t="array" ref="AN68">INDEX('생산수량Back-Data'!$B$5:$AAA$10041,
       MATCH($B67,'생산수량Back-Data'!$B$5:$B$10041,0)+3,
       MATCH(AN$3,'생산수량Back-Data'!$B$3:$AAA$3,0))</f>
        <v>0</v>
      </c>
      <c r="AO68" s="310" cm="1">
        <f t="array" ref="AO68">INDEX('생산수량Back-Data'!$B$5:$AAA$10041,
       MATCH($B67,'생산수량Back-Data'!$B$5:$B$10041,0)+3,
       MATCH(AO$3,'생산수량Back-Data'!$B$3:$AAA$3,0))</f>
        <v>0</v>
      </c>
      <c r="AP68" s="310" cm="1">
        <f t="array" ref="AP68">INDEX('생산수량Back-Data'!$B$5:$AAA$10041,
       MATCH($B67,'생산수량Back-Data'!$B$5:$B$10041,0)+3,
       MATCH(AP$3,'생산수량Back-Data'!$B$3:$AAA$3,0))</f>
        <v>0</v>
      </c>
      <c r="AQ68" s="310" cm="1">
        <f t="array" ref="AQ68">INDEX('생산수량Back-Data'!$B$5:$AAA$10041,
       MATCH($B67,'생산수량Back-Data'!$B$5:$B$10041,0)+3,
       MATCH(AQ$3,'생산수량Back-Data'!$B$3:$AAA$3,0))</f>
        <v>0</v>
      </c>
      <c r="AR68" s="310" cm="1">
        <f t="array" ref="AR68">INDEX('생산수량Back-Data'!$B$5:$AAA$10041,
       MATCH($B67,'생산수량Back-Data'!$B$5:$B$10041,0)+3,
       MATCH(AR$3,'생산수량Back-Data'!$B$3:$AAA$3,0))</f>
        <v>0</v>
      </c>
      <c r="AS68" s="310" cm="1">
        <f t="array" ref="AS68">INDEX('생산수량Back-Data'!$B$5:$AAA$10041,
       MATCH($B67,'생산수량Back-Data'!$B$5:$B$10041,0)+3,
       MATCH(AS$3,'생산수량Back-Data'!$B$3:$AAA$3,0))</f>
        <v>0</v>
      </c>
      <c r="AT68" s="310" cm="1">
        <f t="array" ref="AT68">INDEX('생산수량Back-Data'!$B$5:$AAA$10041,
       MATCH($B67,'생산수량Back-Data'!$B$5:$B$10041,0)+3,
       MATCH(AT$3,'생산수량Back-Data'!$B$3:$AAA$3,0))</f>
        <v>0</v>
      </c>
      <c r="AU68" s="324" cm="1">
        <f t="array" ref="AU68">INDEX('생산수량Back-Data'!$B$5:$AAA$10041,
       MATCH($B67,'생산수량Back-Data'!$B$5:$B$10041,0)+3,
       MATCH(AU$3,'생산수량Back-Data'!$B$3:$AAA$3,0))</f>
        <v>0</v>
      </c>
    </row>
    <row r="69" spans="2:47" ht="32.1" customHeight="1" x14ac:dyDescent="0.3">
      <c r="B69" s="449" t="s">
        <v>58</v>
      </c>
      <c r="C69" s="449" t="s">
        <v>185</v>
      </c>
      <c r="D69" s="449" t="s">
        <v>198</v>
      </c>
      <c r="E69" s="446">
        <f>ABS(SUMIFS('Fixture 총 발주수량'!V:V,'Fixture 총 발주수량'!B:B,'클린룸 생산계획'!B69,'Fixture 총 발주수량'!V:V,"&lt;0"))</f>
        <v>105</v>
      </c>
      <c r="F69" s="434">
        <f>G69-E69</f>
        <v>-105</v>
      </c>
      <c r="G69" s="435">
        <f>SUMIF(Q69:AU69, "&gt;0")</f>
        <v>0</v>
      </c>
      <c r="H69" s="435">
        <f>SUMIF(Q70:AU70, "&gt;0")</f>
        <v>0</v>
      </c>
      <c r="I69" s="448">
        <f>IFERROR(H69/G69,)</f>
        <v>0</v>
      </c>
      <c r="J69" s="435">
        <f ca="1">IFERROR(SUMIF('Fixture 총 발주수량'!B:AG,'클린룸 생산계획'!B69,'Fixture 총 발주수량'!Y:Y),)</f>
        <v>0</v>
      </c>
      <c r="K69" s="435">
        <f ca="1">IFERROR(SUMIF('Fixture 총 발주수량'!B:AG,'클린룸 생산계획'!B69,'Fixture 총 발주수량'!W:W),)</f>
        <v>0</v>
      </c>
      <c r="L69" s="460">
        <f>ROUNDUP(E69/2000,)</f>
        <v>1</v>
      </c>
      <c r="M69" s="460">
        <f>M67+L69</f>
        <v>64</v>
      </c>
      <c r="N69" s="460">
        <f>M69+L69</f>
        <v>65</v>
      </c>
      <c r="O69" s="446">
        <f>O67+L69</f>
        <v>64</v>
      </c>
      <c r="P69" s="336" t="s">
        <v>264</v>
      </c>
      <c r="Q69" s="419"/>
      <c r="R69" s="417"/>
      <c r="S69" s="417"/>
      <c r="T69" s="417"/>
      <c r="U69" s="417"/>
      <c r="V69" s="417"/>
      <c r="W69" s="417"/>
      <c r="X69" s="417"/>
      <c r="Y69" s="417"/>
      <c r="Z69" s="417"/>
      <c r="AA69" s="417"/>
      <c r="AB69" s="417"/>
      <c r="AC69" s="417"/>
      <c r="AD69" s="417"/>
      <c r="AE69" s="417"/>
      <c r="AF69" s="417"/>
      <c r="AG69" s="417"/>
      <c r="AH69" s="417"/>
      <c r="AI69" s="417"/>
      <c r="AJ69" s="417"/>
      <c r="AK69" s="417"/>
      <c r="AL69" s="417"/>
      <c r="AM69" s="417"/>
      <c r="AN69" s="417"/>
      <c r="AO69" s="417"/>
      <c r="AP69" s="417"/>
      <c r="AQ69" s="417"/>
      <c r="AR69" s="417"/>
      <c r="AS69" s="417"/>
      <c r="AT69" s="417"/>
      <c r="AU69" s="313"/>
    </row>
    <row r="70" spans="2:47" ht="32.1" customHeight="1" x14ac:dyDescent="0.3">
      <c r="B70" s="445"/>
      <c r="C70" s="445"/>
      <c r="D70" s="445"/>
      <c r="E70" s="439"/>
      <c r="F70" s="459"/>
      <c r="G70" s="436"/>
      <c r="H70" s="436"/>
      <c r="I70" s="443"/>
      <c r="J70" s="436"/>
      <c r="K70" s="436"/>
      <c r="L70" s="458"/>
      <c r="M70" s="458"/>
      <c r="N70" s="458"/>
      <c r="O70" s="439"/>
      <c r="P70" s="306" t="s">
        <v>266</v>
      </c>
      <c r="Q70" s="327" cm="1">
        <f t="array" ref="Q70">INDEX('생산수량Back-Data'!$B$5:$AAA$10041,
       MATCH($B69,'생산수량Back-Data'!$B$5:$B$10041,0)+3,
       MATCH(Q$3,'생산수량Back-Data'!$B$3:$AAA$3,0))</f>
        <v>0</v>
      </c>
      <c r="R70" s="328" cm="1">
        <f t="array" ref="R70">INDEX('생산수량Back-Data'!$B$5:$AAA$10041,
       MATCH($B69,'생산수량Back-Data'!$B$5:$B$10041,0)+3,
       MATCH(R$3,'생산수량Back-Data'!$B$3:$AAA$3,0))</f>
        <v>0</v>
      </c>
      <c r="S70" s="328" cm="1">
        <f t="array" ref="S70">INDEX('생산수량Back-Data'!$B$5:$AAA$10041,
       MATCH($B69,'생산수량Back-Data'!$B$5:$B$10041,0)+3,
       MATCH(S$3,'생산수량Back-Data'!$B$3:$AAA$3,0))</f>
        <v>0</v>
      </c>
      <c r="T70" s="328" cm="1">
        <f t="array" ref="T70">INDEX('생산수량Back-Data'!$B$5:$AAA$10041,
       MATCH($B69,'생산수량Back-Data'!$B$5:$B$10041,0)+3,
       MATCH(T$3,'생산수량Back-Data'!$B$3:$AAA$3,0))</f>
        <v>0</v>
      </c>
      <c r="U70" s="328" cm="1">
        <f t="array" ref="U70">INDEX('생산수량Back-Data'!$B$5:$AAA$10041,
       MATCH($B69,'생산수량Back-Data'!$B$5:$B$10041,0)+3,
       MATCH(U$3,'생산수량Back-Data'!$B$3:$AAA$3,0))</f>
        <v>0</v>
      </c>
      <c r="V70" s="328" cm="1">
        <f t="array" ref="V70">INDEX('생산수량Back-Data'!$B$5:$AAA$10041,
       MATCH($B69,'생산수량Back-Data'!$B$5:$B$10041,0)+3,
       MATCH(V$3,'생산수량Back-Data'!$B$3:$AAA$3,0))</f>
        <v>0</v>
      </c>
      <c r="W70" s="328" cm="1">
        <f t="array" ref="W70">INDEX('생산수량Back-Data'!$B$5:$AAA$10041,
       MATCH($B69,'생산수량Back-Data'!$B$5:$B$10041,0)+3,
       MATCH(W$3,'생산수량Back-Data'!$B$3:$AAA$3,0))</f>
        <v>0</v>
      </c>
      <c r="X70" s="328" cm="1">
        <f t="array" ref="X70">INDEX('생산수량Back-Data'!$B$5:$AAA$10041,
       MATCH($B69,'생산수량Back-Data'!$B$5:$B$10041,0)+3,
       MATCH(X$3,'생산수량Back-Data'!$B$3:$AAA$3,0))</f>
        <v>0</v>
      </c>
      <c r="Y70" s="328" cm="1">
        <f t="array" ref="Y70">INDEX('생산수량Back-Data'!$B$5:$AAA$10041,
       MATCH($B69,'생산수량Back-Data'!$B$5:$B$10041,0)+3,
       MATCH(Y$3,'생산수량Back-Data'!$B$3:$AAA$3,0))</f>
        <v>0</v>
      </c>
      <c r="Z70" s="328" cm="1">
        <f t="array" ref="Z70">INDEX('생산수량Back-Data'!$B$5:$AAA$10041,
       MATCH($B69,'생산수량Back-Data'!$B$5:$B$10041,0)+3,
       MATCH(Z$3,'생산수량Back-Data'!$B$3:$AAA$3,0))</f>
        <v>0</v>
      </c>
      <c r="AA70" s="328" cm="1">
        <f t="array" ref="AA70">INDEX('생산수량Back-Data'!$B$5:$AAA$10041,
       MATCH($B69,'생산수량Back-Data'!$B$5:$B$10041,0)+3,
       MATCH(AA$3,'생산수량Back-Data'!$B$3:$AAA$3,0))</f>
        <v>0</v>
      </c>
      <c r="AB70" s="328" cm="1">
        <f t="array" ref="AB70">INDEX('생산수량Back-Data'!$B$5:$AAA$10041,
       MATCH($B69,'생산수량Back-Data'!$B$5:$B$10041,0)+3,
       MATCH(AB$3,'생산수량Back-Data'!$B$3:$AAA$3,0))</f>
        <v>0</v>
      </c>
      <c r="AC70" s="328" cm="1">
        <f t="array" ref="AC70">INDEX('생산수량Back-Data'!$B$5:$AAA$10041,
       MATCH($B69,'생산수량Back-Data'!$B$5:$B$10041,0)+3,
       MATCH(AC$3,'생산수량Back-Data'!$B$3:$AAA$3,0))</f>
        <v>0</v>
      </c>
      <c r="AD70" s="328" cm="1">
        <f t="array" ref="AD70">INDEX('생산수량Back-Data'!$B$5:$AAA$10041,
       MATCH($B69,'생산수량Back-Data'!$B$5:$B$10041,0)+3,
       MATCH(AD$3,'생산수량Back-Data'!$B$3:$AAA$3,0))</f>
        <v>0</v>
      </c>
      <c r="AE70" s="328" cm="1">
        <f t="array" ref="AE70">INDEX('생산수량Back-Data'!$B$5:$AAA$10041,
       MATCH($B69,'생산수량Back-Data'!$B$5:$B$10041,0)+3,
       MATCH(AE$3,'생산수량Back-Data'!$B$3:$AAA$3,0))</f>
        <v>0</v>
      </c>
      <c r="AF70" s="328" cm="1">
        <f t="array" ref="AF70">INDEX('생산수량Back-Data'!$B$5:$AAA$10041,
       MATCH($B69,'생산수량Back-Data'!$B$5:$B$10041,0)+3,
       MATCH(AF$3,'생산수량Back-Data'!$B$3:$AAA$3,0))</f>
        <v>0</v>
      </c>
      <c r="AG70" s="328" cm="1">
        <f t="array" ref="AG70">INDEX('생산수량Back-Data'!$B$5:$AAA$10041,
       MATCH($B69,'생산수량Back-Data'!$B$5:$B$10041,0)+3,
       MATCH(AG$3,'생산수량Back-Data'!$B$3:$AAA$3,0))</f>
        <v>0</v>
      </c>
      <c r="AH70" s="328" cm="1">
        <f t="array" ref="AH70">INDEX('생산수량Back-Data'!$B$5:$AAA$10041,
       MATCH($B69,'생산수량Back-Data'!$B$5:$B$10041,0)+3,
       MATCH(AH$3,'생산수량Back-Data'!$B$3:$AAA$3,0))</f>
        <v>0</v>
      </c>
      <c r="AI70" s="328" cm="1">
        <f t="array" ref="AI70">INDEX('생산수량Back-Data'!$B$5:$AAA$10041,
       MATCH($B69,'생산수량Back-Data'!$B$5:$B$10041,0)+3,
       MATCH(AI$3,'생산수량Back-Data'!$B$3:$AAA$3,0))</f>
        <v>0</v>
      </c>
      <c r="AJ70" s="328" cm="1">
        <f t="array" ref="AJ70">INDEX('생산수량Back-Data'!$B$5:$AAA$10041,
       MATCH($B69,'생산수량Back-Data'!$B$5:$B$10041,0)+3,
       MATCH(AJ$3,'생산수량Back-Data'!$B$3:$AAA$3,0))</f>
        <v>0</v>
      </c>
      <c r="AK70" s="328" cm="1">
        <f t="array" ref="AK70">INDEX('생산수량Back-Data'!$B$5:$AAA$10041,
       MATCH($B69,'생산수량Back-Data'!$B$5:$B$10041,0)+3,
       MATCH(AK$3,'생산수량Back-Data'!$B$3:$AAA$3,0))</f>
        <v>0</v>
      </c>
      <c r="AL70" s="328" cm="1">
        <f t="array" ref="AL70">INDEX('생산수량Back-Data'!$B$5:$AAA$10041,
       MATCH($B69,'생산수량Back-Data'!$B$5:$B$10041,0)+3,
       MATCH(AL$3,'생산수량Back-Data'!$B$3:$AAA$3,0))</f>
        <v>0</v>
      </c>
      <c r="AM70" s="328" cm="1">
        <f t="array" ref="AM70">INDEX('생산수량Back-Data'!$B$5:$AAA$10041,
       MATCH($B69,'생산수량Back-Data'!$B$5:$B$10041,0)+3,
       MATCH(AM$3,'생산수량Back-Data'!$B$3:$AAA$3,0))</f>
        <v>0</v>
      </c>
      <c r="AN70" s="328" cm="1">
        <f t="array" ref="AN70">INDEX('생산수량Back-Data'!$B$5:$AAA$10041,
       MATCH($B69,'생산수량Back-Data'!$B$5:$B$10041,0)+3,
       MATCH(AN$3,'생산수량Back-Data'!$B$3:$AAA$3,0))</f>
        <v>0</v>
      </c>
      <c r="AO70" s="328" cm="1">
        <f t="array" ref="AO70">INDEX('생산수량Back-Data'!$B$5:$AAA$10041,
       MATCH($B69,'생산수량Back-Data'!$B$5:$B$10041,0)+3,
       MATCH(AO$3,'생산수량Back-Data'!$B$3:$AAA$3,0))</f>
        <v>0</v>
      </c>
      <c r="AP70" s="328" cm="1">
        <f t="array" ref="AP70">INDEX('생산수량Back-Data'!$B$5:$AAA$10041,
       MATCH($B69,'생산수량Back-Data'!$B$5:$B$10041,0)+3,
       MATCH(AP$3,'생산수량Back-Data'!$B$3:$AAA$3,0))</f>
        <v>0</v>
      </c>
      <c r="AQ70" s="328" cm="1">
        <f t="array" ref="AQ70">INDEX('생산수량Back-Data'!$B$5:$AAA$10041,
       MATCH($B69,'생산수량Back-Data'!$B$5:$B$10041,0)+3,
       MATCH(AQ$3,'생산수량Back-Data'!$B$3:$AAA$3,0))</f>
        <v>0</v>
      </c>
      <c r="AR70" s="328" cm="1">
        <f t="array" ref="AR70">INDEX('생산수량Back-Data'!$B$5:$AAA$10041,
       MATCH($B69,'생산수량Back-Data'!$B$5:$B$10041,0)+3,
       MATCH(AR$3,'생산수량Back-Data'!$B$3:$AAA$3,0))</f>
        <v>0</v>
      </c>
      <c r="AS70" s="328" cm="1">
        <f t="array" ref="AS70">INDEX('생산수량Back-Data'!$B$5:$AAA$10041,
       MATCH($B69,'생산수량Back-Data'!$B$5:$B$10041,0)+3,
       MATCH(AS$3,'생산수량Back-Data'!$B$3:$AAA$3,0))</f>
        <v>0</v>
      </c>
      <c r="AT70" s="328" cm="1">
        <f t="array" ref="AT70">INDEX('생산수량Back-Data'!$B$5:$AAA$10041,
       MATCH($B69,'생산수량Back-Data'!$B$5:$B$10041,0)+3,
       MATCH(AT$3,'생산수량Back-Data'!$B$3:$AAA$3,0))</f>
        <v>0</v>
      </c>
      <c r="AU70" s="324" cm="1">
        <f t="array" ref="AU70">INDEX('생산수량Back-Data'!$B$5:$AAA$10041,
       MATCH($B69,'생산수량Back-Data'!$B$5:$B$10041,0)+3,
       MATCH(AU$3,'생산수량Back-Data'!$B$3:$AAA$3,0))</f>
        <v>0</v>
      </c>
    </row>
    <row r="71" spans="2:47" ht="32.1" customHeight="1" x14ac:dyDescent="0.3">
      <c r="B71" s="444" t="s">
        <v>59</v>
      </c>
      <c r="C71" s="444" t="s">
        <v>185</v>
      </c>
      <c r="D71" s="444" t="s">
        <v>199</v>
      </c>
      <c r="E71" s="438">
        <f>ABS(SUMIFS('Fixture 총 발주수량'!V:V,'Fixture 총 발주수량'!B:B,'클린룸 생산계획'!B71,'Fixture 총 발주수량'!V:V,"&lt;0"))</f>
        <v>3246</v>
      </c>
      <c r="F71" s="431">
        <f>G71-E71</f>
        <v>-3246</v>
      </c>
      <c r="G71" s="437">
        <f>SUMIF(Q71:AU71, "&gt;0")</f>
        <v>0</v>
      </c>
      <c r="H71" s="437">
        <f>SUMIF(Q72:AU72, "&gt;0")</f>
        <v>0</v>
      </c>
      <c r="I71" s="442">
        <f>IFERROR(H71/G71,)</f>
        <v>0</v>
      </c>
      <c r="J71" s="437">
        <f ca="1">IFERROR(SUMIF('Fixture 총 발주수량'!B:AG,'클린룸 생산계획'!B71,'Fixture 총 발주수량'!Y:Y),)</f>
        <v>0</v>
      </c>
      <c r="K71" s="437">
        <f ca="1">IFERROR(SUMIF('Fixture 총 발주수량'!B:AG,'클린룸 생산계획'!B71,'Fixture 총 발주수량'!W:W),)</f>
        <v>0</v>
      </c>
      <c r="L71" s="458">
        <f>ROUNDUP(E71/2000,)</f>
        <v>2</v>
      </c>
      <c r="M71" s="458">
        <f>M69+L71</f>
        <v>66</v>
      </c>
      <c r="N71" s="458">
        <f>M71+L71</f>
        <v>68</v>
      </c>
      <c r="O71" s="438">
        <f>O69+L71</f>
        <v>66</v>
      </c>
      <c r="P71" s="306" t="s">
        <v>264</v>
      </c>
      <c r="Q71" s="325"/>
      <c r="R71" s="312"/>
      <c r="S71" s="312"/>
      <c r="T71" s="312"/>
      <c r="U71" s="312"/>
      <c r="V71" s="312"/>
      <c r="W71" s="312"/>
      <c r="X71" s="312"/>
      <c r="Y71" s="312"/>
      <c r="Z71" s="312"/>
      <c r="AA71" s="312"/>
      <c r="AB71" s="312"/>
      <c r="AC71" s="312"/>
      <c r="AD71" s="312"/>
      <c r="AE71" s="312"/>
      <c r="AF71" s="312"/>
      <c r="AG71" s="312"/>
      <c r="AH71" s="312"/>
      <c r="AI71" s="312"/>
      <c r="AJ71" s="312"/>
      <c r="AK71" s="312"/>
      <c r="AL71" s="312"/>
      <c r="AM71" s="312"/>
      <c r="AN71" s="312"/>
      <c r="AO71" s="312"/>
      <c r="AP71" s="312"/>
      <c r="AQ71" s="312"/>
      <c r="AR71" s="312"/>
      <c r="AS71" s="312"/>
      <c r="AT71" s="312"/>
      <c r="AU71" s="313"/>
    </row>
    <row r="72" spans="2:47" ht="32.1" customHeight="1" x14ac:dyDescent="0.3">
      <c r="B72" s="445"/>
      <c r="C72" s="445"/>
      <c r="D72" s="445"/>
      <c r="E72" s="439"/>
      <c r="F72" s="459"/>
      <c r="G72" s="436"/>
      <c r="H72" s="436"/>
      <c r="I72" s="443"/>
      <c r="J72" s="436"/>
      <c r="K72" s="436"/>
      <c r="L72" s="458"/>
      <c r="M72" s="458"/>
      <c r="N72" s="458"/>
      <c r="O72" s="439"/>
      <c r="P72" s="306" t="s">
        <v>266</v>
      </c>
      <c r="Q72" s="323" cm="1">
        <f t="array" ref="Q72">INDEX('생산수량Back-Data'!$B$5:$AAA$10041,
       MATCH($B71,'생산수량Back-Data'!$B$5:$B$10041,0)+3,
       MATCH(Q$3,'생산수량Back-Data'!$B$3:$AAA$3,0))</f>
        <v>0</v>
      </c>
      <c r="R72" s="310" cm="1">
        <f t="array" ref="R72">INDEX('생산수량Back-Data'!$B$5:$AAA$10041,
       MATCH($B71,'생산수량Back-Data'!$B$5:$B$10041,0)+3,
       MATCH(R$3,'생산수량Back-Data'!$B$3:$AAA$3,0))</f>
        <v>0</v>
      </c>
      <c r="S72" s="310" cm="1">
        <f t="array" ref="S72">INDEX('생산수량Back-Data'!$B$5:$AAA$10041,
       MATCH($B71,'생산수량Back-Data'!$B$5:$B$10041,0)+3,
       MATCH(S$3,'생산수량Back-Data'!$B$3:$AAA$3,0))</f>
        <v>0</v>
      </c>
      <c r="T72" s="310" cm="1">
        <f t="array" ref="T72">INDEX('생산수량Back-Data'!$B$5:$AAA$10041,
       MATCH($B71,'생산수량Back-Data'!$B$5:$B$10041,0)+3,
       MATCH(T$3,'생산수량Back-Data'!$B$3:$AAA$3,0))</f>
        <v>0</v>
      </c>
      <c r="U72" s="310" cm="1">
        <f t="array" ref="U72">INDEX('생산수량Back-Data'!$B$5:$AAA$10041,
       MATCH($B71,'생산수량Back-Data'!$B$5:$B$10041,0)+3,
       MATCH(U$3,'생산수량Back-Data'!$B$3:$AAA$3,0))</f>
        <v>0</v>
      </c>
      <c r="V72" s="310" cm="1">
        <f t="array" ref="V72">INDEX('생산수량Back-Data'!$B$5:$AAA$10041,
       MATCH($B71,'생산수량Back-Data'!$B$5:$B$10041,0)+3,
       MATCH(V$3,'생산수량Back-Data'!$B$3:$AAA$3,0))</f>
        <v>0</v>
      </c>
      <c r="W72" s="310" cm="1">
        <f t="array" ref="W72">INDEX('생산수량Back-Data'!$B$5:$AAA$10041,
       MATCH($B71,'생산수량Back-Data'!$B$5:$B$10041,0)+3,
       MATCH(W$3,'생산수량Back-Data'!$B$3:$AAA$3,0))</f>
        <v>0</v>
      </c>
      <c r="X72" s="310" cm="1">
        <f t="array" ref="X72">INDEX('생산수량Back-Data'!$B$5:$AAA$10041,
       MATCH($B71,'생산수량Back-Data'!$B$5:$B$10041,0)+3,
       MATCH(X$3,'생산수량Back-Data'!$B$3:$AAA$3,0))</f>
        <v>0</v>
      </c>
      <c r="Y72" s="310" cm="1">
        <f t="array" ref="Y72">INDEX('생산수량Back-Data'!$B$5:$AAA$10041,
       MATCH($B71,'생산수량Back-Data'!$B$5:$B$10041,0)+3,
       MATCH(Y$3,'생산수량Back-Data'!$B$3:$AAA$3,0))</f>
        <v>0</v>
      </c>
      <c r="Z72" s="310" cm="1">
        <f t="array" ref="Z72">INDEX('생산수량Back-Data'!$B$5:$AAA$10041,
       MATCH($B71,'생산수량Back-Data'!$B$5:$B$10041,0)+3,
       MATCH(Z$3,'생산수량Back-Data'!$B$3:$AAA$3,0))</f>
        <v>0</v>
      </c>
      <c r="AA72" s="310" cm="1">
        <f t="array" ref="AA72">INDEX('생산수량Back-Data'!$B$5:$AAA$10041,
       MATCH($B71,'생산수량Back-Data'!$B$5:$B$10041,0)+3,
       MATCH(AA$3,'생산수량Back-Data'!$B$3:$AAA$3,0))</f>
        <v>0</v>
      </c>
      <c r="AB72" s="310" cm="1">
        <f t="array" ref="AB72">INDEX('생산수량Back-Data'!$B$5:$AAA$10041,
       MATCH($B71,'생산수량Back-Data'!$B$5:$B$10041,0)+3,
       MATCH(AB$3,'생산수량Back-Data'!$B$3:$AAA$3,0))</f>
        <v>0</v>
      </c>
      <c r="AC72" s="310" cm="1">
        <f t="array" ref="AC72">INDEX('생산수량Back-Data'!$B$5:$AAA$10041,
       MATCH($B71,'생산수량Back-Data'!$B$5:$B$10041,0)+3,
       MATCH(AC$3,'생산수량Back-Data'!$B$3:$AAA$3,0))</f>
        <v>0</v>
      </c>
      <c r="AD72" s="310" cm="1">
        <f t="array" ref="AD72">INDEX('생산수량Back-Data'!$B$5:$AAA$10041,
       MATCH($B71,'생산수량Back-Data'!$B$5:$B$10041,0)+3,
       MATCH(AD$3,'생산수량Back-Data'!$B$3:$AAA$3,0))</f>
        <v>0</v>
      </c>
      <c r="AE72" s="310" cm="1">
        <f t="array" ref="AE72">INDEX('생산수량Back-Data'!$B$5:$AAA$10041,
       MATCH($B71,'생산수량Back-Data'!$B$5:$B$10041,0)+3,
       MATCH(AE$3,'생산수량Back-Data'!$B$3:$AAA$3,0))</f>
        <v>0</v>
      </c>
      <c r="AF72" s="310" cm="1">
        <f t="array" ref="AF72">INDEX('생산수량Back-Data'!$B$5:$AAA$10041,
       MATCH($B71,'생산수량Back-Data'!$B$5:$B$10041,0)+3,
       MATCH(AF$3,'생산수량Back-Data'!$B$3:$AAA$3,0))</f>
        <v>0</v>
      </c>
      <c r="AG72" s="310" cm="1">
        <f t="array" ref="AG72">INDEX('생산수량Back-Data'!$B$5:$AAA$10041,
       MATCH($B71,'생산수량Back-Data'!$B$5:$B$10041,0)+3,
       MATCH(AG$3,'생산수량Back-Data'!$B$3:$AAA$3,0))</f>
        <v>0</v>
      </c>
      <c r="AH72" s="310" cm="1">
        <f t="array" ref="AH72">INDEX('생산수량Back-Data'!$B$5:$AAA$10041,
       MATCH($B71,'생산수량Back-Data'!$B$5:$B$10041,0)+3,
       MATCH(AH$3,'생산수량Back-Data'!$B$3:$AAA$3,0))</f>
        <v>0</v>
      </c>
      <c r="AI72" s="310" cm="1">
        <f t="array" ref="AI72">INDEX('생산수량Back-Data'!$B$5:$AAA$10041,
       MATCH($B71,'생산수량Back-Data'!$B$5:$B$10041,0)+3,
       MATCH(AI$3,'생산수량Back-Data'!$B$3:$AAA$3,0))</f>
        <v>0</v>
      </c>
      <c r="AJ72" s="310" cm="1">
        <f t="array" ref="AJ72">INDEX('생산수량Back-Data'!$B$5:$AAA$10041,
       MATCH($B71,'생산수량Back-Data'!$B$5:$B$10041,0)+3,
       MATCH(AJ$3,'생산수량Back-Data'!$B$3:$AAA$3,0))</f>
        <v>0</v>
      </c>
      <c r="AK72" s="310" cm="1">
        <f t="array" ref="AK72">INDEX('생산수량Back-Data'!$B$5:$AAA$10041,
       MATCH($B71,'생산수량Back-Data'!$B$5:$B$10041,0)+3,
       MATCH(AK$3,'생산수량Back-Data'!$B$3:$AAA$3,0))</f>
        <v>0</v>
      </c>
      <c r="AL72" s="310" cm="1">
        <f t="array" ref="AL72">INDEX('생산수량Back-Data'!$B$5:$AAA$10041,
       MATCH($B71,'생산수량Back-Data'!$B$5:$B$10041,0)+3,
       MATCH(AL$3,'생산수량Back-Data'!$B$3:$AAA$3,0))</f>
        <v>0</v>
      </c>
      <c r="AM72" s="310" cm="1">
        <f t="array" ref="AM72">INDEX('생산수량Back-Data'!$B$5:$AAA$10041,
       MATCH($B71,'생산수량Back-Data'!$B$5:$B$10041,0)+3,
       MATCH(AM$3,'생산수량Back-Data'!$B$3:$AAA$3,0))</f>
        <v>0</v>
      </c>
      <c r="AN72" s="310" cm="1">
        <f t="array" ref="AN72">INDEX('생산수량Back-Data'!$B$5:$AAA$10041,
       MATCH($B71,'생산수량Back-Data'!$B$5:$B$10041,0)+3,
       MATCH(AN$3,'생산수량Back-Data'!$B$3:$AAA$3,0))</f>
        <v>0</v>
      </c>
      <c r="AO72" s="310" cm="1">
        <f t="array" ref="AO72">INDEX('생산수량Back-Data'!$B$5:$AAA$10041,
       MATCH($B71,'생산수량Back-Data'!$B$5:$B$10041,0)+3,
       MATCH(AO$3,'생산수량Back-Data'!$B$3:$AAA$3,0))</f>
        <v>0</v>
      </c>
      <c r="AP72" s="310" cm="1">
        <f t="array" ref="AP72">INDEX('생산수량Back-Data'!$B$5:$AAA$10041,
       MATCH($B71,'생산수량Back-Data'!$B$5:$B$10041,0)+3,
       MATCH(AP$3,'생산수량Back-Data'!$B$3:$AAA$3,0))</f>
        <v>0</v>
      </c>
      <c r="AQ72" s="310" cm="1">
        <f t="array" ref="AQ72">INDEX('생산수량Back-Data'!$B$5:$AAA$10041,
       MATCH($B71,'생산수량Back-Data'!$B$5:$B$10041,0)+3,
       MATCH(AQ$3,'생산수량Back-Data'!$B$3:$AAA$3,0))</f>
        <v>0</v>
      </c>
      <c r="AR72" s="310" cm="1">
        <f t="array" ref="AR72">INDEX('생산수량Back-Data'!$B$5:$AAA$10041,
       MATCH($B71,'생산수량Back-Data'!$B$5:$B$10041,0)+3,
       MATCH(AR$3,'생산수량Back-Data'!$B$3:$AAA$3,0))</f>
        <v>0</v>
      </c>
      <c r="AS72" s="310" cm="1">
        <f t="array" ref="AS72">INDEX('생산수량Back-Data'!$B$5:$AAA$10041,
       MATCH($B71,'생산수량Back-Data'!$B$5:$B$10041,0)+3,
       MATCH(AS$3,'생산수량Back-Data'!$B$3:$AAA$3,0))</f>
        <v>0</v>
      </c>
      <c r="AT72" s="310" cm="1">
        <f t="array" ref="AT72">INDEX('생산수량Back-Data'!$B$5:$AAA$10041,
       MATCH($B71,'생산수량Back-Data'!$B$5:$B$10041,0)+3,
       MATCH(AT$3,'생산수량Back-Data'!$B$3:$AAA$3,0))</f>
        <v>0</v>
      </c>
      <c r="AU72" s="324" cm="1">
        <f t="array" ref="AU72">INDEX('생산수량Back-Data'!$B$5:$AAA$10041,
       MATCH($B71,'생산수량Back-Data'!$B$5:$B$10041,0)+3,
       MATCH(AU$3,'생산수량Back-Data'!$B$3:$AAA$3,0))</f>
        <v>0</v>
      </c>
    </row>
    <row r="73" spans="2:47" ht="32.1" customHeight="1" x14ac:dyDescent="0.3">
      <c r="B73" s="444" t="s">
        <v>61</v>
      </c>
      <c r="C73" s="444" t="s">
        <v>185</v>
      </c>
      <c r="D73" s="444" t="s">
        <v>201</v>
      </c>
      <c r="E73" s="438">
        <f>ABS(SUMIFS('Fixture 총 발주수량'!V:V,'Fixture 총 발주수량'!B:B,'클린룸 생산계획'!B73,'Fixture 총 발주수량'!V:V,"&lt;0"))</f>
        <v>5039</v>
      </c>
      <c r="F73" s="431">
        <f>G73-E73</f>
        <v>-5039</v>
      </c>
      <c r="G73" s="437">
        <f>SUMIF(Q73:AU73, "&gt;0")</f>
        <v>0</v>
      </c>
      <c r="H73" s="437">
        <f>SUMIF(Q74:AU74, "&gt;0")</f>
        <v>0</v>
      </c>
      <c r="I73" s="442">
        <f>IFERROR(H73/G73,)</f>
        <v>0</v>
      </c>
      <c r="J73" s="437">
        <f ca="1">IFERROR(SUMIF('Fixture 총 발주수량'!B:AG,'클린룸 생산계획'!B73,'Fixture 총 발주수량'!Y:Y),)</f>
        <v>0</v>
      </c>
      <c r="K73" s="437">
        <f ca="1">IFERROR(SUMIF('Fixture 총 발주수량'!B:AG,'클린룸 생산계획'!B73,'Fixture 총 발주수량'!W:W),)</f>
        <v>0</v>
      </c>
      <c r="L73" s="458">
        <f>ROUNDUP(E73/2000,)</f>
        <v>3</v>
      </c>
      <c r="M73" s="458">
        <f>M71+L73</f>
        <v>69</v>
      </c>
      <c r="N73" s="458">
        <f>M73+L73</f>
        <v>72</v>
      </c>
      <c r="O73" s="438">
        <f>O71+L73</f>
        <v>69</v>
      </c>
      <c r="P73" s="306" t="s">
        <v>264</v>
      </c>
      <c r="Q73" s="325"/>
      <c r="R73" s="312"/>
      <c r="S73" s="312"/>
      <c r="T73" s="312"/>
      <c r="U73" s="312"/>
      <c r="V73" s="312"/>
      <c r="W73" s="312"/>
      <c r="X73" s="312"/>
      <c r="Y73" s="312"/>
      <c r="Z73" s="312"/>
      <c r="AA73" s="312"/>
      <c r="AB73" s="312"/>
      <c r="AC73" s="312"/>
      <c r="AD73" s="312"/>
      <c r="AE73" s="312"/>
      <c r="AF73" s="312"/>
      <c r="AG73" s="312"/>
      <c r="AH73" s="312"/>
      <c r="AI73" s="312"/>
      <c r="AJ73" s="312"/>
      <c r="AK73" s="312"/>
      <c r="AL73" s="312"/>
      <c r="AM73" s="312"/>
      <c r="AN73" s="312"/>
      <c r="AO73" s="312"/>
      <c r="AP73" s="312"/>
      <c r="AQ73" s="312"/>
      <c r="AR73" s="312"/>
      <c r="AS73" s="312"/>
      <c r="AT73" s="312"/>
      <c r="AU73" s="313"/>
    </row>
    <row r="74" spans="2:47" ht="32.1" customHeight="1" x14ac:dyDescent="0.3">
      <c r="B74" s="445"/>
      <c r="C74" s="445"/>
      <c r="D74" s="445"/>
      <c r="E74" s="439"/>
      <c r="F74" s="459"/>
      <c r="G74" s="436"/>
      <c r="H74" s="436"/>
      <c r="I74" s="443"/>
      <c r="J74" s="436"/>
      <c r="K74" s="436"/>
      <c r="L74" s="458"/>
      <c r="M74" s="458"/>
      <c r="N74" s="458"/>
      <c r="O74" s="439"/>
      <c r="P74" s="306" t="s">
        <v>266</v>
      </c>
      <c r="Q74" s="323" cm="1">
        <f t="array" ref="Q74">INDEX('생산수량Back-Data'!$B$5:$AAA$10041,
       MATCH($B73,'생산수량Back-Data'!$B$5:$B$10041,0)+3,
       MATCH(Q$3,'생산수량Back-Data'!$B$3:$AAA$3,0))</f>
        <v>0</v>
      </c>
      <c r="R74" s="310" cm="1">
        <f t="array" ref="R74">INDEX('생산수량Back-Data'!$B$5:$AAA$10041,
       MATCH($B73,'생산수량Back-Data'!$B$5:$B$10041,0)+3,
       MATCH(R$3,'생산수량Back-Data'!$B$3:$AAA$3,0))</f>
        <v>0</v>
      </c>
      <c r="S74" s="310" cm="1">
        <f t="array" ref="S74">INDEX('생산수량Back-Data'!$B$5:$AAA$10041,
       MATCH($B73,'생산수량Back-Data'!$B$5:$B$10041,0)+3,
       MATCH(S$3,'생산수량Back-Data'!$B$3:$AAA$3,0))</f>
        <v>0</v>
      </c>
      <c r="T74" s="310" cm="1">
        <f t="array" ref="T74">INDEX('생산수량Back-Data'!$B$5:$AAA$10041,
       MATCH($B73,'생산수량Back-Data'!$B$5:$B$10041,0)+3,
       MATCH(T$3,'생산수량Back-Data'!$B$3:$AAA$3,0))</f>
        <v>0</v>
      </c>
      <c r="U74" s="310" cm="1">
        <f t="array" ref="U74">INDEX('생산수량Back-Data'!$B$5:$AAA$10041,
       MATCH($B73,'생산수량Back-Data'!$B$5:$B$10041,0)+3,
       MATCH(U$3,'생산수량Back-Data'!$B$3:$AAA$3,0))</f>
        <v>0</v>
      </c>
      <c r="V74" s="310" cm="1">
        <f t="array" ref="V74">INDEX('생산수량Back-Data'!$B$5:$AAA$10041,
       MATCH($B73,'생산수량Back-Data'!$B$5:$B$10041,0)+3,
       MATCH(V$3,'생산수량Back-Data'!$B$3:$AAA$3,0))</f>
        <v>0</v>
      </c>
      <c r="W74" s="310" cm="1">
        <f t="array" ref="W74">INDEX('생산수량Back-Data'!$B$5:$AAA$10041,
       MATCH($B73,'생산수량Back-Data'!$B$5:$B$10041,0)+3,
       MATCH(W$3,'생산수량Back-Data'!$B$3:$AAA$3,0))</f>
        <v>0</v>
      </c>
      <c r="X74" s="310" cm="1">
        <f t="array" ref="X74">INDEX('생산수량Back-Data'!$B$5:$AAA$10041,
       MATCH($B73,'생산수량Back-Data'!$B$5:$B$10041,0)+3,
       MATCH(X$3,'생산수량Back-Data'!$B$3:$AAA$3,0))</f>
        <v>0</v>
      </c>
      <c r="Y74" s="310" cm="1">
        <f t="array" ref="Y74">INDEX('생산수량Back-Data'!$B$5:$AAA$10041,
       MATCH($B73,'생산수량Back-Data'!$B$5:$B$10041,0)+3,
       MATCH(Y$3,'생산수량Back-Data'!$B$3:$AAA$3,0))</f>
        <v>0</v>
      </c>
      <c r="Z74" s="310" cm="1">
        <f t="array" ref="Z74">INDEX('생산수량Back-Data'!$B$5:$AAA$10041,
       MATCH($B73,'생산수량Back-Data'!$B$5:$B$10041,0)+3,
       MATCH(Z$3,'생산수량Back-Data'!$B$3:$AAA$3,0))</f>
        <v>0</v>
      </c>
      <c r="AA74" s="310" cm="1">
        <f t="array" ref="AA74">INDEX('생산수량Back-Data'!$B$5:$AAA$10041,
       MATCH($B73,'생산수량Back-Data'!$B$5:$B$10041,0)+3,
       MATCH(AA$3,'생산수량Back-Data'!$B$3:$AAA$3,0))</f>
        <v>0</v>
      </c>
      <c r="AB74" s="310" cm="1">
        <f t="array" ref="AB74">INDEX('생산수량Back-Data'!$B$5:$AAA$10041,
       MATCH($B73,'생산수량Back-Data'!$B$5:$B$10041,0)+3,
       MATCH(AB$3,'생산수량Back-Data'!$B$3:$AAA$3,0))</f>
        <v>0</v>
      </c>
      <c r="AC74" s="310" cm="1">
        <f t="array" ref="AC74">INDEX('생산수량Back-Data'!$B$5:$AAA$10041,
       MATCH($B73,'생산수량Back-Data'!$B$5:$B$10041,0)+3,
       MATCH(AC$3,'생산수량Back-Data'!$B$3:$AAA$3,0))</f>
        <v>0</v>
      </c>
      <c r="AD74" s="310" cm="1">
        <f t="array" ref="AD74">INDEX('생산수량Back-Data'!$B$5:$AAA$10041,
       MATCH($B73,'생산수량Back-Data'!$B$5:$B$10041,0)+3,
       MATCH(AD$3,'생산수량Back-Data'!$B$3:$AAA$3,0))</f>
        <v>0</v>
      </c>
      <c r="AE74" s="310" cm="1">
        <f t="array" ref="AE74">INDEX('생산수량Back-Data'!$B$5:$AAA$10041,
       MATCH($B73,'생산수량Back-Data'!$B$5:$B$10041,0)+3,
       MATCH(AE$3,'생산수량Back-Data'!$B$3:$AAA$3,0))</f>
        <v>0</v>
      </c>
      <c r="AF74" s="310" cm="1">
        <f t="array" ref="AF74">INDEX('생산수량Back-Data'!$B$5:$AAA$10041,
       MATCH($B73,'생산수량Back-Data'!$B$5:$B$10041,0)+3,
       MATCH(AF$3,'생산수량Back-Data'!$B$3:$AAA$3,0))</f>
        <v>0</v>
      </c>
      <c r="AG74" s="310" cm="1">
        <f t="array" ref="AG74">INDEX('생산수량Back-Data'!$B$5:$AAA$10041,
       MATCH($B73,'생산수량Back-Data'!$B$5:$B$10041,0)+3,
       MATCH(AG$3,'생산수량Back-Data'!$B$3:$AAA$3,0))</f>
        <v>0</v>
      </c>
      <c r="AH74" s="310" cm="1">
        <f t="array" ref="AH74">INDEX('생산수량Back-Data'!$B$5:$AAA$10041,
       MATCH($B73,'생산수량Back-Data'!$B$5:$B$10041,0)+3,
       MATCH(AH$3,'생산수량Back-Data'!$B$3:$AAA$3,0))</f>
        <v>0</v>
      </c>
      <c r="AI74" s="310" cm="1">
        <f t="array" ref="AI74">INDEX('생산수량Back-Data'!$B$5:$AAA$10041,
       MATCH($B73,'생산수량Back-Data'!$B$5:$B$10041,0)+3,
       MATCH(AI$3,'생산수량Back-Data'!$B$3:$AAA$3,0))</f>
        <v>0</v>
      </c>
      <c r="AJ74" s="310" cm="1">
        <f t="array" ref="AJ74">INDEX('생산수량Back-Data'!$B$5:$AAA$10041,
       MATCH($B73,'생산수량Back-Data'!$B$5:$B$10041,0)+3,
       MATCH(AJ$3,'생산수량Back-Data'!$B$3:$AAA$3,0))</f>
        <v>0</v>
      </c>
      <c r="AK74" s="310" cm="1">
        <f t="array" ref="AK74">INDEX('생산수량Back-Data'!$B$5:$AAA$10041,
       MATCH($B73,'생산수량Back-Data'!$B$5:$B$10041,0)+3,
       MATCH(AK$3,'생산수량Back-Data'!$B$3:$AAA$3,0))</f>
        <v>0</v>
      </c>
      <c r="AL74" s="310" cm="1">
        <f t="array" ref="AL74">INDEX('생산수량Back-Data'!$B$5:$AAA$10041,
       MATCH($B73,'생산수량Back-Data'!$B$5:$B$10041,0)+3,
       MATCH(AL$3,'생산수량Back-Data'!$B$3:$AAA$3,0))</f>
        <v>0</v>
      </c>
      <c r="AM74" s="310" cm="1">
        <f t="array" ref="AM74">INDEX('생산수량Back-Data'!$B$5:$AAA$10041,
       MATCH($B73,'생산수량Back-Data'!$B$5:$B$10041,0)+3,
       MATCH(AM$3,'생산수량Back-Data'!$B$3:$AAA$3,0))</f>
        <v>0</v>
      </c>
      <c r="AN74" s="310" cm="1">
        <f t="array" ref="AN74">INDEX('생산수량Back-Data'!$B$5:$AAA$10041,
       MATCH($B73,'생산수량Back-Data'!$B$5:$B$10041,0)+3,
       MATCH(AN$3,'생산수량Back-Data'!$B$3:$AAA$3,0))</f>
        <v>0</v>
      </c>
      <c r="AO74" s="310" cm="1">
        <f t="array" ref="AO74">INDEX('생산수량Back-Data'!$B$5:$AAA$10041,
       MATCH($B73,'생산수량Back-Data'!$B$5:$B$10041,0)+3,
       MATCH(AO$3,'생산수량Back-Data'!$B$3:$AAA$3,0))</f>
        <v>0</v>
      </c>
      <c r="AP74" s="310" cm="1">
        <f t="array" ref="AP74">INDEX('생산수량Back-Data'!$B$5:$AAA$10041,
       MATCH($B73,'생산수량Back-Data'!$B$5:$B$10041,0)+3,
       MATCH(AP$3,'생산수량Back-Data'!$B$3:$AAA$3,0))</f>
        <v>0</v>
      </c>
      <c r="AQ74" s="310" cm="1">
        <f t="array" ref="AQ74">INDEX('생산수량Back-Data'!$B$5:$AAA$10041,
       MATCH($B73,'생산수량Back-Data'!$B$5:$B$10041,0)+3,
       MATCH(AQ$3,'생산수량Back-Data'!$B$3:$AAA$3,0))</f>
        <v>0</v>
      </c>
      <c r="AR74" s="310" cm="1">
        <f t="array" ref="AR74">INDEX('생산수량Back-Data'!$B$5:$AAA$10041,
       MATCH($B73,'생산수량Back-Data'!$B$5:$B$10041,0)+3,
       MATCH(AR$3,'생산수량Back-Data'!$B$3:$AAA$3,0))</f>
        <v>0</v>
      </c>
      <c r="AS74" s="310" cm="1">
        <f t="array" ref="AS74">INDEX('생산수량Back-Data'!$B$5:$AAA$10041,
       MATCH($B73,'생산수량Back-Data'!$B$5:$B$10041,0)+3,
       MATCH(AS$3,'생산수량Back-Data'!$B$3:$AAA$3,0))</f>
        <v>0</v>
      </c>
      <c r="AT74" s="310" cm="1">
        <f t="array" ref="AT74">INDEX('생산수량Back-Data'!$B$5:$AAA$10041,
       MATCH($B73,'생산수량Back-Data'!$B$5:$B$10041,0)+3,
       MATCH(AT$3,'생산수량Back-Data'!$B$3:$AAA$3,0))</f>
        <v>0</v>
      </c>
      <c r="AU74" s="324" cm="1">
        <f t="array" ref="AU74">INDEX('생산수량Back-Data'!$B$5:$AAA$10041,
       MATCH($B73,'생산수량Back-Data'!$B$5:$B$10041,0)+3,
       MATCH(AU$3,'생산수량Back-Data'!$B$3:$AAA$3,0))</f>
        <v>0</v>
      </c>
    </row>
    <row r="75" spans="2:47" ht="32.1" customHeight="1" x14ac:dyDescent="0.3">
      <c r="B75" s="444" t="s">
        <v>62</v>
      </c>
      <c r="C75" s="444" t="s">
        <v>185</v>
      </c>
      <c r="D75" s="444" t="s">
        <v>202</v>
      </c>
      <c r="E75" s="438">
        <f>ABS(SUMIFS('Fixture 총 발주수량'!V:V,'Fixture 총 발주수량'!B:B,'클린룸 생산계획'!B75,'Fixture 총 발주수량'!V:V,"&lt;0"))</f>
        <v>717</v>
      </c>
      <c r="F75" s="431">
        <f>G75-E75</f>
        <v>-717</v>
      </c>
      <c r="G75" s="437">
        <f>SUMIF(Q75:AU75, "&gt;0")</f>
        <v>0</v>
      </c>
      <c r="H75" s="437">
        <f>SUMIF(Q76:AU76, "&gt;0")</f>
        <v>0</v>
      </c>
      <c r="I75" s="442">
        <f>IFERROR(H75/G75,)</f>
        <v>0</v>
      </c>
      <c r="J75" s="437">
        <f ca="1">IFERROR(SUMIF('Fixture 총 발주수량'!B:AG,'클린룸 생산계획'!B75,'Fixture 총 발주수량'!Y:Y),)</f>
        <v>0</v>
      </c>
      <c r="K75" s="437">
        <f ca="1">IFERROR(SUMIF('Fixture 총 발주수량'!B:AG,'클린룸 생산계획'!B75,'Fixture 총 발주수량'!W:W),)</f>
        <v>0</v>
      </c>
      <c r="L75" s="458">
        <f>ROUNDUP(E75/2000,)</f>
        <v>1</v>
      </c>
      <c r="M75" s="458">
        <f>M73+L75</f>
        <v>70</v>
      </c>
      <c r="N75" s="458">
        <f>M75+L75</f>
        <v>71</v>
      </c>
      <c r="O75" s="438">
        <f>O73+L75</f>
        <v>70</v>
      </c>
      <c r="P75" s="306" t="s">
        <v>264</v>
      </c>
      <c r="Q75" s="325"/>
      <c r="R75" s="312"/>
      <c r="S75" s="312"/>
      <c r="T75" s="312"/>
      <c r="U75" s="312"/>
      <c r="V75" s="312"/>
      <c r="W75" s="312"/>
      <c r="X75" s="312"/>
      <c r="Y75" s="312"/>
      <c r="Z75" s="312"/>
      <c r="AA75" s="312"/>
      <c r="AB75" s="312"/>
      <c r="AC75" s="312"/>
      <c r="AD75" s="312"/>
      <c r="AE75" s="312"/>
      <c r="AF75" s="312"/>
      <c r="AG75" s="312"/>
      <c r="AH75" s="312"/>
      <c r="AI75" s="312"/>
      <c r="AJ75" s="312"/>
      <c r="AK75" s="312"/>
      <c r="AL75" s="312"/>
      <c r="AM75" s="312"/>
      <c r="AN75" s="312"/>
      <c r="AO75" s="312"/>
      <c r="AP75" s="312"/>
      <c r="AQ75" s="312"/>
      <c r="AR75" s="312"/>
      <c r="AS75" s="312"/>
      <c r="AT75" s="312"/>
      <c r="AU75" s="313"/>
    </row>
    <row r="76" spans="2:47" ht="32.1" customHeight="1" thickBot="1" x14ac:dyDescent="0.35">
      <c r="B76" s="454"/>
      <c r="C76" s="454"/>
      <c r="D76" s="454"/>
      <c r="E76" s="450"/>
      <c r="F76" s="461"/>
      <c r="G76" s="452"/>
      <c r="H76" s="452"/>
      <c r="I76" s="453"/>
      <c r="J76" s="452"/>
      <c r="K76" s="452"/>
      <c r="L76" s="438"/>
      <c r="M76" s="438"/>
      <c r="N76" s="438"/>
      <c r="O76" s="450"/>
      <c r="P76" s="305" t="s">
        <v>266</v>
      </c>
      <c r="Q76" s="323" cm="1">
        <f t="array" ref="Q76">INDEX('생산수량Back-Data'!$B$5:$AAA$10041,
       MATCH($B75,'생산수량Back-Data'!$B$5:$B$10041,0)+3,
       MATCH(Q$3,'생산수량Back-Data'!$B$3:$AAA$3,0))</f>
        <v>0</v>
      </c>
      <c r="R76" s="310" cm="1">
        <f t="array" ref="R76">INDEX('생산수량Back-Data'!$B$5:$AAA$10041,
       MATCH($B75,'생산수량Back-Data'!$B$5:$B$10041,0)+3,
       MATCH(R$3,'생산수량Back-Data'!$B$3:$AAA$3,0))</f>
        <v>0</v>
      </c>
      <c r="S76" s="310" cm="1">
        <f t="array" ref="S76">INDEX('생산수량Back-Data'!$B$5:$AAA$10041,
       MATCH($B75,'생산수량Back-Data'!$B$5:$B$10041,0)+3,
       MATCH(S$3,'생산수량Back-Data'!$B$3:$AAA$3,0))</f>
        <v>0</v>
      </c>
      <c r="T76" s="310" cm="1">
        <f t="array" ref="T76">INDEX('생산수량Back-Data'!$B$5:$AAA$10041,
       MATCH($B75,'생산수량Back-Data'!$B$5:$B$10041,0)+3,
       MATCH(T$3,'생산수량Back-Data'!$B$3:$AAA$3,0))</f>
        <v>0</v>
      </c>
      <c r="U76" s="310" cm="1">
        <f t="array" ref="U76">INDEX('생산수량Back-Data'!$B$5:$AAA$10041,
       MATCH($B75,'생산수량Back-Data'!$B$5:$B$10041,0)+3,
       MATCH(U$3,'생산수량Back-Data'!$B$3:$AAA$3,0))</f>
        <v>0</v>
      </c>
      <c r="V76" s="310" cm="1">
        <f t="array" ref="V76">INDEX('생산수량Back-Data'!$B$5:$AAA$10041,
       MATCH($B75,'생산수량Back-Data'!$B$5:$B$10041,0)+3,
       MATCH(V$3,'생산수량Back-Data'!$B$3:$AAA$3,0))</f>
        <v>0</v>
      </c>
      <c r="W76" s="310" cm="1">
        <f t="array" ref="W76">INDEX('생산수량Back-Data'!$B$5:$AAA$10041,
       MATCH($B75,'생산수량Back-Data'!$B$5:$B$10041,0)+3,
       MATCH(W$3,'생산수량Back-Data'!$B$3:$AAA$3,0))</f>
        <v>0</v>
      </c>
      <c r="X76" s="310" cm="1">
        <f t="array" ref="X76">INDEX('생산수량Back-Data'!$B$5:$AAA$10041,
       MATCH($B75,'생산수량Back-Data'!$B$5:$B$10041,0)+3,
       MATCH(X$3,'생산수량Back-Data'!$B$3:$AAA$3,0))</f>
        <v>0</v>
      </c>
      <c r="Y76" s="310" cm="1">
        <f t="array" ref="Y76">INDEX('생산수량Back-Data'!$B$5:$AAA$10041,
       MATCH($B75,'생산수량Back-Data'!$B$5:$B$10041,0)+3,
       MATCH(Y$3,'생산수량Back-Data'!$B$3:$AAA$3,0))</f>
        <v>0</v>
      </c>
      <c r="Z76" s="310" cm="1">
        <f t="array" ref="Z76">INDEX('생산수량Back-Data'!$B$5:$AAA$10041,
       MATCH($B75,'생산수량Back-Data'!$B$5:$B$10041,0)+3,
       MATCH(Z$3,'생산수량Back-Data'!$B$3:$AAA$3,0))</f>
        <v>0</v>
      </c>
      <c r="AA76" s="310" cm="1">
        <f t="array" ref="AA76">INDEX('생산수량Back-Data'!$B$5:$AAA$10041,
       MATCH($B75,'생산수량Back-Data'!$B$5:$B$10041,0)+3,
       MATCH(AA$3,'생산수량Back-Data'!$B$3:$AAA$3,0))</f>
        <v>0</v>
      </c>
      <c r="AB76" s="310" cm="1">
        <f t="array" ref="AB76">INDEX('생산수량Back-Data'!$B$5:$AAA$10041,
       MATCH($B75,'생산수량Back-Data'!$B$5:$B$10041,0)+3,
       MATCH(AB$3,'생산수량Back-Data'!$B$3:$AAA$3,0))</f>
        <v>0</v>
      </c>
      <c r="AC76" s="310" cm="1">
        <f t="array" ref="AC76">INDEX('생산수량Back-Data'!$B$5:$AAA$10041,
       MATCH($B75,'생산수량Back-Data'!$B$5:$B$10041,0)+3,
       MATCH(AC$3,'생산수량Back-Data'!$B$3:$AAA$3,0))</f>
        <v>0</v>
      </c>
      <c r="AD76" s="310" cm="1">
        <f t="array" ref="AD76">INDEX('생산수량Back-Data'!$B$5:$AAA$10041,
       MATCH($B75,'생산수량Back-Data'!$B$5:$B$10041,0)+3,
       MATCH(AD$3,'생산수량Back-Data'!$B$3:$AAA$3,0))</f>
        <v>0</v>
      </c>
      <c r="AE76" s="310" cm="1">
        <f t="array" ref="AE76">INDEX('생산수량Back-Data'!$B$5:$AAA$10041,
       MATCH($B75,'생산수량Back-Data'!$B$5:$B$10041,0)+3,
       MATCH(AE$3,'생산수량Back-Data'!$B$3:$AAA$3,0))</f>
        <v>0</v>
      </c>
      <c r="AF76" s="310" cm="1">
        <f t="array" ref="AF76">INDEX('생산수량Back-Data'!$B$5:$AAA$10041,
       MATCH($B75,'생산수량Back-Data'!$B$5:$B$10041,0)+3,
       MATCH(AF$3,'생산수량Back-Data'!$B$3:$AAA$3,0))</f>
        <v>0</v>
      </c>
      <c r="AG76" s="310" cm="1">
        <f t="array" ref="AG76">INDEX('생산수량Back-Data'!$B$5:$AAA$10041,
       MATCH($B75,'생산수량Back-Data'!$B$5:$B$10041,0)+3,
       MATCH(AG$3,'생산수량Back-Data'!$B$3:$AAA$3,0))</f>
        <v>0</v>
      </c>
      <c r="AH76" s="310" cm="1">
        <f t="array" ref="AH76">INDEX('생산수량Back-Data'!$B$5:$AAA$10041,
       MATCH($B75,'생산수량Back-Data'!$B$5:$B$10041,0)+3,
       MATCH(AH$3,'생산수량Back-Data'!$B$3:$AAA$3,0))</f>
        <v>0</v>
      </c>
      <c r="AI76" s="310" cm="1">
        <f t="array" ref="AI76">INDEX('생산수량Back-Data'!$B$5:$AAA$10041,
       MATCH($B75,'생산수량Back-Data'!$B$5:$B$10041,0)+3,
       MATCH(AI$3,'생산수량Back-Data'!$B$3:$AAA$3,0))</f>
        <v>0</v>
      </c>
      <c r="AJ76" s="310" cm="1">
        <f t="array" ref="AJ76">INDEX('생산수량Back-Data'!$B$5:$AAA$10041,
       MATCH($B75,'생산수량Back-Data'!$B$5:$B$10041,0)+3,
       MATCH(AJ$3,'생산수량Back-Data'!$B$3:$AAA$3,0))</f>
        <v>0</v>
      </c>
      <c r="AK76" s="310" cm="1">
        <f t="array" ref="AK76">INDEX('생산수량Back-Data'!$B$5:$AAA$10041,
       MATCH($B75,'생산수량Back-Data'!$B$5:$B$10041,0)+3,
       MATCH(AK$3,'생산수량Back-Data'!$B$3:$AAA$3,0))</f>
        <v>0</v>
      </c>
      <c r="AL76" s="310" cm="1">
        <f t="array" ref="AL76">INDEX('생산수량Back-Data'!$B$5:$AAA$10041,
       MATCH($B75,'생산수량Back-Data'!$B$5:$B$10041,0)+3,
       MATCH(AL$3,'생산수량Back-Data'!$B$3:$AAA$3,0))</f>
        <v>0</v>
      </c>
      <c r="AM76" s="310" cm="1">
        <f t="array" ref="AM76">INDEX('생산수량Back-Data'!$B$5:$AAA$10041,
       MATCH($B75,'생산수량Back-Data'!$B$5:$B$10041,0)+3,
       MATCH(AM$3,'생산수량Back-Data'!$B$3:$AAA$3,0))</f>
        <v>0</v>
      </c>
      <c r="AN76" s="310" cm="1">
        <f t="array" ref="AN76">INDEX('생산수량Back-Data'!$B$5:$AAA$10041,
       MATCH($B75,'생산수량Back-Data'!$B$5:$B$10041,0)+3,
       MATCH(AN$3,'생산수량Back-Data'!$B$3:$AAA$3,0))</f>
        <v>0</v>
      </c>
      <c r="AO76" s="310" cm="1">
        <f t="array" ref="AO76">INDEX('생산수량Back-Data'!$B$5:$AAA$10041,
       MATCH($B75,'생산수량Back-Data'!$B$5:$B$10041,0)+3,
       MATCH(AO$3,'생산수량Back-Data'!$B$3:$AAA$3,0))</f>
        <v>0</v>
      </c>
      <c r="AP76" s="310" cm="1">
        <f t="array" ref="AP76">INDEX('생산수량Back-Data'!$B$5:$AAA$10041,
       MATCH($B75,'생산수량Back-Data'!$B$5:$B$10041,0)+3,
       MATCH(AP$3,'생산수량Back-Data'!$B$3:$AAA$3,0))</f>
        <v>0</v>
      </c>
      <c r="AQ76" s="310" cm="1">
        <f t="array" ref="AQ76">INDEX('생산수량Back-Data'!$B$5:$AAA$10041,
       MATCH($B75,'생산수량Back-Data'!$B$5:$B$10041,0)+3,
       MATCH(AQ$3,'생산수량Back-Data'!$B$3:$AAA$3,0))</f>
        <v>0</v>
      </c>
      <c r="AR76" s="310" cm="1">
        <f t="array" ref="AR76">INDEX('생산수량Back-Data'!$B$5:$AAA$10041,
       MATCH($B75,'생산수량Back-Data'!$B$5:$B$10041,0)+3,
       MATCH(AR$3,'생산수량Back-Data'!$B$3:$AAA$3,0))</f>
        <v>0</v>
      </c>
      <c r="AS76" s="310" cm="1">
        <f t="array" ref="AS76">INDEX('생산수량Back-Data'!$B$5:$AAA$10041,
       MATCH($B75,'생산수량Back-Data'!$B$5:$B$10041,0)+3,
       MATCH(AS$3,'생산수량Back-Data'!$B$3:$AAA$3,0))</f>
        <v>0</v>
      </c>
      <c r="AT76" s="310" cm="1">
        <f t="array" ref="AT76">INDEX('생산수량Back-Data'!$B$5:$AAA$10041,
       MATCH($B75,'생산수량Back-Data'!$B$5:$B$10041,0)+3,
       MATCH(AT$3,'생산수량Back-Data'!$B$3:$AAA$3,0))</f>
        <v>0</v>
      </c>
      <c r="AU76" s="324" cm="1">
        <f t="array" ref="AU76">INDEX('생산수량Back-Data'!$B$5:$AAA$10041,
       MATCH($B75,'생산수량Back-Data'!$B$5:$B$10041,0)+3,
       MATCH(AU$3,'생산수량Back-Data'!$B$3:$AAA$3,0))</f>
        <v>0</v>
      </c>
    </row>
    <row r="77" spans="2:47" ht="32.1" customHeight="1" x14ac:dyDescent="0.3">
      <c r="B77" s="449" t="s">
        <v>63</v>
      </c>
      <c r="C77" s="449" t="s">
        <v>185</v>
      </c>
      <c r="D77" s="449" t="s">
        <v>203</v>
      </c>
      <c r="E77" s="446">
        <f>ABS(SUMIFS('Fixture 총 발주수량'!V:V,'Fixture 총 발주수량'!B:B,'클린룸 생산계획'!B77,'Fixture 총 발주수량'!V:V,"&lt;0"))</f>
        <v>69</v>
      </c>
      <c r="F77" s="434">
        <f>G77-E77</f>
        <v>-69</v>
      </c>
      <c r="G77" s="435">
        <f>SUMIF(Q77:AU77, "&gt;0")</f>
        <v>0</v>
      </c>
      <c r="H77" s="435">
        <f>SUMIF(Q78:AU78, "&gt;0")</f>
        <v>0</v>
      </c>
      <c r="I77" s="448">
        <f>IFERROR(H77/G77,)</f>
        <v>0</v>
      </c>
      <c r="J77" s="435">
        <f ca="1">IFERROR(SUMIF('Fixture 총 발주수량'!B:AG,'클린룸 생산계획'!B77,'Fixture 총 발주수량'!Y:Y),)</f>
        <v>0</v>
      </c>
      <c r="K77" s="435">
        <f ca="1">IFERROR(SUMIF('Fixture 총 발주수량'!B:AG,'클린룸 생산계획'!B77,'Fixture 총 발주수량'!W:W),)</f>
        <v>0</v>
      </c>
      <c r="L77" s="460">
        <f>ROUNDUP(E77/2000,)</f>
        <v>1</v>
      </c>
      <c r="M77" s="460">
        <f>M75+L77</f>
        <v>71</v>
      </c>
      <c r="N77" s="460">
        <f>M77+L77</f>
        <v>72</v>
      </c>
      <c r="O77" s="446">
        <f>O75+L77</f>
        <v>71</v>
      </c>
      <c r="P77" s="336" t="s">
        <v>264</v>
      </c>
      <c r="Q77" s="419"/>
      <c r="R77" s="417"/>
      <c r="S77" s="417"/>
      <c r="T77" s="417"/>
      <c r="U77" s="417"/>
      <c r="V77" s="417"/>
      <c r="W77" s="417"/>
      <c r="X77" s="417"/>
      <c r="Y77" s="417"/>
      <c r="Z77" s="417"/>
      <c r="AA77" s="417"/>
      <c r="AB77" s="417"/>
      <c r="AC77" s="417"/>
      <c r="AD77" s="417"/>
      <c r="AE77" s="417"/>
      <c r="AF77" s="417"/>
      <c r="AG77" s="417"/>
      <c r="AH77" s="417"/>
      <c r="AI77" s="417"/>
      <c r="AJ77" s="417"/>
      <c r="AK77" s="417"/>
      <c r="AL77" s="417"/>
      <c r="AM77" s="417"/>
      <c r="AN77" s="417"/>
      <c r="AO77" s="417"/>
      <c r="AP77" s="417"/>
      <c r="AQ77" s="417"/>
      <c r="AR77" s="417"/>
      <c r="AS77" s="417"/>
      <c r="AT77" s="417"/>
      <c r="AU77" s="313"/>
    </row>
    <row r="78" spans="2:47" ht="32.1" customHeight="1" x14ac:dyDescent="0.3">
      <c r="B78" s="445"/>
      <c r="C78" s="445"/>
      <c r="D78" s="445"/>
      <c r="E78" s="439"/>
      <c r="F78" s="459"/>
      <c r="G78" s="436"/>
      <c r="H78" s="436"/>
      <c r="I78" s="443"/>
      <c r="J78" s="436"/>
      <c r="K78" s="436"/>
      <c r="L78" s="458"/>
      <c r="M78" s="458"/>
      <c r="N78" s="458"/>
      <c r="O78" s="439"/>
      <c r="P78" s="306" t="s">
        <v>266</v>
      </c>
      <c r="Q78" s="327" cm="1">
        <f t="array" ref="Q78">INDEX('생산수량Back-Data'!$B$5:$AAA$10041,
       MATCH($B77,'생산수량Back-Data'!$B$5:$B$10041,0)+3,
       MATCH(Q$3,'생산수량Back-Data'!$B$3:$AAA$3,0))</f>
        <v>0</v>
      </c>
      <c r="R78" s="328" cm="1">
        <f t="array" ref="R78">INDEX('생산수량Back-Data'!$B$5:$AAA$10041,
       MATCH($B77,'생산수량Back-Data'!$B$5:$B$10041,0)+3,
       MATCH(R$3,'생산수량Back-Data'!$B$3:$AAA$3,0))</f>
        <v>0</v>
      </c>
      <c r="S78" s="328" cm="1">
        <f t="array" ref="S78">INDEX('생산수량Back-Data'!$B$5:$AAA$10041,
       MATCH($B77,'생산수량Back-Data'!$B$5:$B$10041,0)+3,
       MATCH(S$3,'생산수량Back-Data'!$B$3:$AAA$3,0))</f>
        <v>0</v>
      </c>
      <c r="T78" s="328" cm="1">
        <f t="array" ref="T78">INDEX('생산수량Back-Data'!$B$5:$AAA$10041,
       MATCH($B77,'생산수량Back-Data'!$B$5:$B$10041,0)+3,
       MATCH(T$3,'생산수량Back-Data'!$B$3:$AAA$3,0))</f>
        <v>0</v>
      </c>
      <c r="U78" s="328" cm="1">
        <f t="array" ref="U78">INDEX('생산수량Back-Data'!$B$5:$AAA$10041,
       MATCH($B77,'생산수량Back-Data'!$B$5:$B$10041,0)+3,
       MATCH(U$3,'생산수량Back-Data'!$B$3:$AAA$3,0))</f>
        <v>0</v>
      </c>
      <c r="V78" s="328" cm="1">
        <f t="array" ref="V78">INDEX('생산수량Back-Data'!$B$5:$AAA$10041,
       MATCH($B77,'생산수량Back-Data'!$B$5:$B$10041,0)+3,
       MATCH(V$3,'생산수량Back-Data'!$B$3:$AAA$3,0))</f>
        <v>0</v>
      </c>
      <c r="W78" s="328" cm="1">
        <f t="array" ref="W78">INDEX('생산수량Back-Data'!$B$5:$AAA$10041,
       MATCH($B77,'생산수량Back-Data'!$B$5:$B$10041,0)+3,
       MATCH(W$3,'생산수량Back-Data'!$B$3:$AAA$3,0))</f>
        <v>0</v>
      </c>
      <c r="X78" s="328" cm="1">
        <f t="array" ref="X78">INDEX('생산수량Back-Data'!$B$5:$AAA$10041,
       MATCH($B77,'생산수량Back-Data'!$B$5:$B$10041,0)+3,
       MATCH(X$3,'생산수량Back-Data'!$B$3:$AAA$3,0))</f>
        <v>0</v>
      </c>
      <c r="Y78" s="328" cm="1">
        <f t="array" ref="Y78">INDEX('생산수량Back-Data'!$B$5:$AAA$10041,
       MATCH($B77,'생산수량Back-Data'!$B$5:$B$10041,0)+3,
       MATCH(Y$3,'생산수량Back-Data'!$B$3:$AAA$3,0))</f>
        <v>0</v>
      </c>
      <c r="Z78" s="328" cm="1">
        <f t="array" ref="Z78">INDEX('생산수량Back-Data'!$B$5:$AAA$10041,
       MATCH($B77,'생산수량Back-Data'!$B$5:$B$10041,0)+3,
       MATCH(Z$3,'생산수량Back-Data'!$B$3:$AAA$3,0))</f>
        <v>0</v>
      </c>
      <c r="AA78" s="328" cm="1">
        <f t="array" ref="AA78">INDEX('생산수량Back-Data'!$B$5:$AAA$10041,
       MATCH($B77,'생산수량Back-Data'!$B$5:$B$10041,0)+3,
       MATCH(AA$3,'생산수량Back-Data'!$B$3:$AAA$3,0))</f>
        <v>0</v>
      </c>
      <c r="AB78" s="328" cm="1">
        <f t="array" ref="AB78">INDEX('생산수량Back-Data'!$B$5:$AAA$10041,
       MATCH($B77,'생산수량Back-Data'!$B$5:$B$10041,0)+3,
       MATCH(AB$3,'생산수량Back-Data'!$B$3:$AAA$3,0))</f>
        <v>0</v>
      </c>
      <c r="AC78" s="328" cm="1">
        <f t="array" ref="AC78">INDEX('생산수량Back-Data'!$B$5:$AAA$10041,
       MATCH($B77,'생산수량Back-Data'!$B$5:$B$10041,0)+3,
       MATCH(AC$3,'생산수량Back-Data'!$B$3:$AAA$3,0))</f>
        <v>0</v>
      </c>
      <c r="AD78" s="328" cm="1">
        <f t="array" ref="AD78">INDEX('생산수량Back-Data'!$B$5:$AAA$10041,
       MATCH($B77,'생산수량Back-Data'!$B$5:$B$10041,0)+3,
       MATCH(AD$3,'생산수량Back-Data'!$B$3:$AAA$3,0))</f>
        <v>0</v>
      </c>
      <c r="AE78" s="328" cm="1">
        <f t="array" ref="AE78">INDEX('생산수량Back-Data'!$B$5:$AAA$10041,
       MATCH($B77,'생산수량Back-Data'!$B$5:$B$10041,0)+3,
       MATCH(AE$3,'생산수량Back-Data'!$B$3:$AAA$3,0))</f>
        <v>0</v>
      </c>
      <c r="AF78" s="328" cm="1">
        <f t="array" ref="AF78">INDEX('생산수량Back-Data'!$B$5:$AAA$10041,
       MATCH($B77,'생산수량Back-Data'!$B$5:$B$10041,0)+3,
       MATCH(AF$3,'생산수량Back-Data'!$B$3:$AAA$3,0))</f>
        <v>0</v>
      </c>
      <c r="AG78" s="328" cm="1">
        <f t="array" ref="AG78">INDEX('생산수량Back-Data'!$B$5:$AAA$10041,
       MATCH($B77,'생산수량Back-Data'!$B$5:$B$10041,0)+3,
       MATCH(AG$3,'생산수량Back-Data'!$B$3:$AAA$3,0))</f>
        <v>0</v>
      </c>
      <c r="AH78" s="328" cm="1">
        <f t="array" ref="AH78">INDEX('생산수량Back-Data'!$B$5:$AAA$10041,
       MATCH($B77,'생산수량Back-Data'!$B$5:$B$10041,0)+3,
       MATCH(AH$3,'생산수량Back-Data'!$B$3:$AAA$3,0))</f>
        <v>0</v>
      </c>
      <c r="AI78" s="328" cm="1">
        <f t="array" ref="AI78">INDEX('생산수량Back-Data'!$B$5:$AAA$10041,
       MATCH($B77,'생산수량Back-Data'!$B$5:$B$10041,0)+3,
       MATCH(AI$3,'생산수량Back-Data'!$B$3:$AAA$3,0))</f>
        <v>0</v>
      </c>
      <c r="AJ78" s="328" cm="1">
        <f t="array" ref="AJ78">INDEX('생산수량Back-Data'!$B$5:$AAA$10041,
       MATCH($B77,'생산수량Back-Data'!$B$5:$B$10041,0)+3,
       MATCH(AJ$3,'생산수량Back-Data'!$B$3:$AAA$3,0))</f>
        <v>0</v>
      </c>
      <c r="AK78" s="328" cm="1">
        <f t="array" ref="AK78">INDEX('생산수량Back-Data'!$B$5:$AAA$10041,
       MATCH($B77,'생산수량Back-Data'!$B$5:$B$10041,0)+3,
       MATCH(AK$3,'생산수량Back-Data'!$B$3:$AAA$3,0))</f>
        <v>0</v>
      </c>
      <c r="AL78" s="328" cm="1">
        <f t="array" ref="AL78">INDEX('생산수량Back-Data'!$B$5:$AAA$10041,
       MATCH($B77,'생산수량Back-Data'!$B$5:$B$10041,0)+3,
       MATCH(AL$3,'생산수량Back-Data'!$B$3:$AAA$3,0))</f>
        <v>0</v>
      </c>
      <c r="AM78" s="328" cm="1">
        <f t="array" ref="AM78">INDEX('생산수량Back-Data'!$B$5:$AAA$10041,
       MATCH($B77,'생산수량Back-Data'!$B$5:$B$10041,0)+3,
       MATCH(AM$3,'생산수량Back-Data'!$B$3:$AAA$3,0))</f>
        <v>0</v>
      </c>
      <c r="AN78" s="328" cm="1">
        <f t="array" ref="AN78">INDEX('생산수량Back-Data'!$B$5:$AAA$10041,
       MATCH($B77,'생산수량Back-Data'!$B$5:$B$10041,0)+3,
       MATCH(AN$3,'생산수량Back-Data'!$B$3:$AAA$3,0))</f>
        <v>0</v>
      </c>
      <c r="AO78" s="328" cm="1">
        <f t="array" ref="AO78">INDEX('생산수량Back-Data'!$B$5:$AAA$10041,
       MATCH($B77,'생산수량Back-Data'!$B$5:$B$10041,0)+3,
       MATCH(AO$3,'생산수량Back-Data'!$B$3:$AAA$3,0))</f>
        <v>0</v>
      </c>
      <c r="AP78" s="328" cm="1">
        <f t="array" ref="AP78">INDEX('생산수량Back-Data'!$B$5:$AAA$10041,
       MATCH($B77,'생산수량Back-Data'!$B$5:$B$10041,0)+3,
       MATCH(AP$3,'생산수량Back-Data'!$B$3:$AAA$3,0))</f>
        <v>0</v>
      </c>
      <c r="AQ78" s="328" cm="1">
        <f t="array" ref="AQ78">INDEX('생산수량Back-Data'!$B$5:$AAA$10041,
       MATCH($B77,'생산수량Back-Data'!$B$5:$B$10041,0)+3,
       MATCH(AQ$3,'생산수량Back-Data'!$B$3:$AAA$3,0))</f>
        <v>0</v>
      </c>
      <c r="AR78" s="328" cm="1">
        <f t="array" ref="AR78">INDEX('생산수량Back-Data'!$B$5:$AAA$10041,
       MATCH($B77,'생산수량Back-Data'!$B$5:$B$10041,0)+3,
       MATCH(AR$3,'생산수량Back-Data'!$B$3:$AAA$3,0))</f>
        <v>0</v>
      </c>
      <c r="AS78" s="328" cm="1">
        <f t="array" ref="AS78">INDEX('생산수량Back-Data'!$B$5:$AAA$10041,
       MATCH($B77,'생산수량Back-Data'!$B$5:$B$10041,0)+3,
       MATCH(AS$3,'생산수량Back-Data'!$B$3:$AAA$3,0))</f>
        <v>0</v>
      </c>
      <c r="AT78" s="328" cm="1">
        <f t="array" ref="AT78">INDEX('생산수량Back-Data'!$B$5:$AAA$10041,
       MATCH($B77,'생산수량Back-Data'!$B$5:$B$10041,0)+3,
       MATCH(AT$3,'생산수량Back-Data'!$B$3:$AAA$3,0))</f>
        <v>0</v>
      </c>
      <c r="AU78" s="324" cm="1">
        <f t="array" ref="AU78">INDEX('생산수량Back-Data'!$B$5:$AAA$10041,
       MATCH($B77,'생산수량Back-Data'!$B$5:$B$10041,0)+3,
       MATCH(AU$3,'생산수량Back-Data'!$B$3:$AAA$3,0))</f>
        <v>0</v>
      </c>
    </row>
    <row r="79" spans="2:47" ht="32.1" customHeight="1" x14ac:dyDescent="0.3">
      <c r="B79" s="444" t="s">
        <v>64</v>
      </c>
      <c r="C79" s="444" t="s">
        <v>185</v>
      </c>
      <c r="D79" s="444" t="s">
        <v>204</v>
      </c>
      <c r="E79" s="438">
        <f>ABS(SUMIFS('Fixture 총 발주수량'!V:V,'Fixture 총 발주수량'!B:B,'클린룸 생산계획'!B79,'Fixture 총 발주수량'!V:V,"&lt;0"))</f>
        <v>2054</v>
      </c>
      <c r="F79" s="431">
        <f>G79-E79</f>
        <v>-2054</v>
      </c>
      <c r="G79" s="437">
        <f>SUMIF(Q79:AU79, "&gt;0")</f>
        <v>0</v>
      </c>
      <c r="H79" s="437">
        <f>SUMIF(Q80:AU80, "&gt;0")</f>
        <v>0</v>
      </c>
      <c r="I79" s="442">
        <f>IFERROR(H79/G79,)</f>
        <v>0</v>
      </c>
      <c r="J79" s="437">
        <f ca="1">IFERROR(SUMIF('Fixture 총 발주수량'!B:AG,'클린룸 생산계획'!B79,'Fixture 총 발주수량'!Y:Y),)</f>
        <v>0</v>
      </c>
      <c r="K79" s="437">
        <f ca="1">IFERROR(SUMIF('Fixture 총 발주수량'!B:AG,'클린룸 생산계획'!B79,'Fixture 총 발주수량'!W:W),)</f>
        <v>0</v>
      </c>
      <c r="L79" s="458">
        <f>ROUNDUP(E79/2000,)</f>
        <v>2</v>
      </c>
      <c r="M79" s="458">
        <f>M77+L79</f>
        <v>73</v>
      </c>
      <c r="N79" s="458">
        <f>M79+L79</f>
        <v>75</v>
      </c>
      <c r="O79" s="438">
        <f>O77+L79</f>
        <v>73</v>
      </c>
      <c r="P79" s="306" t="s">
        <v>264</v>
      </c>
      <c r="Q79" s="325"/>
      <c r="R79" s="312"/>
      <c r="S79" s="312"/>
      <c r="T79" s="312"/>
      <c r="U79" s="312"/>
      <c r="V79" s="312"/>
      <c r="W79" s="312"/>
      <c r="X79" s="312"/>
      <c r="Y79" s="312"/>
      <c r="Z79" s="312"/>
      <c r="AA79" s="312"/>
      <c r="AB79" s="312"/>
      <c r="AC79" s="312"/>
      <c r="AD79" s="312"/>
      <c r="AE79" s="312"/>
      <c r="AF79" s="312"/>
      <c r="AG79" s="312"/>
      <c r="AH79" s="312"/>
      <c r="AI79" s="312"/>
      <c r="AJ79" s="312"/>
      <c r="AK79" s="312"/>
      <c r="AL79" s="312"/>
      <c r="AM79" s="312"/>
      <c r="AN79" s="312"/>
      <c r="AO79" s="312"/>
      <c r="AP79" s="312"/>
      <c r="AQ79" s="312"/>
      <c r="AR79" s="312"/>
      <c r="AS79" s="312"/>
      <c r="AT79" s="312"/>
      <c r="AU79" s="313"/>
    </row>
    <row r="80" spans="2:47" ht="32.1" customHeight="1" x14ac:dyDescent="0.3">
      <c r="B80" s="445"/>
      <c r="C80" s="445"/>
      <c r="D80" s="445"/>
      <c r="E80" s="439"/>
      <c r="F80" s="459"/>
      <c r="G80" s="436"/>
      <c r="H80" s="436"/>
      <c r="I80" s="443"/>
      <c r="J80" s="436"/>
      <c r="K80" s="436"/>
      <c r="L80" s="458"/>
      <c r="M80" s="458"/>
      <c r="N80" s="458"/>
      <c r="O80" s="439"/>
      <c r="P80" s="306" t="s">
        <v>266</v>
      </c>
      <c r="Q80" s="323" cm="1">
        <f t="array" ref="Q80">INDEX('생산수량Back-Data'!$B$5:$AAA$10041,
       MATCH($B79,'생산수량Back-Data'!$B$5:$B$10041,0)+3,
       MATCH(Q$3,'생산수량Back-Data'!$B$3:$AAA$3,0))</f>
        <v>0</v>
      </c>
      <c r="R80" s="310" cm="1">
        <f t="array" ref="R80">INDEX('생산수량Back-Data'!$B$5:$AAA$10041,
       MATCH($B79,'생산수량Back-Data'!$B$5:$B$10041,0)+3,
       MATCH(R$3,'생산수량Back-Data'!$B$3:$AAA$3,0))</f>
        <v>0</v>
      </c>
      <c r="S80" s="310" cm="1">
        <f t="array" ref="S80">INDEX('생산수량Back-Data'!$B$5:$AAA$10041,
       MATCH($B79,'생산수량Back-Data'!$B$5:$B$10041,0)+3,
       MATCH(S$3,'생산수량Back-Data'!$B$3:$AAA$3,0))</f>
        <v>0</v>
      </c>
      <c r="T80" s="310" cm="1">
        <f t="array" ref="T80">INDEX('생산수량Back-Data'!$B$5:$AAA$10041,
       MATCH($B79,'생산수량Back-Data'!$B$5:$B$10041,0)+3,
       MATCH(T$3,'생산수량Back-Data'!$B$3:$AAA$3,0))</f>
        <v>0</v>
      </c>
      <c r="U80" s="310" cm="1">
        <f t="array" ref="U80">INDEX('생산수량Back-Data'!$B$5:$AAA$10041,
       MATCH($B79,'생산수량Back-Data'!$B$5:$B$10041,0)+3,
       MATCH(U$3,'생산수량Back-Data'!$B$3:$AAA$3,0))</f>
        <v>0</v>
      </c>
      <c r="V80" s="310" cm="1">
        <f t="array" ref="V80">INDEX('생산수량Back-Data'!$B$5:$AAA$10041,
       MATCH($B79,'생산수량Back-Data'!$B$5:$B$10041,0)+3,
       MATCH(V$3,'생산수량Back-Data'!$B$3:$AAA$3,0))</f>
        <v>0</v>
      </c>
      <c r="W80" s="310" cm="1">
        <f t="array" ref="W80">INDEX('생산수량Back-Data'!$B$5:$AAA$10041,
       MATCH($B79,'생산수량Back-Data'!$B$5:$B$10041,0)+3,
       MATCH(W$3,'생산수량Back-Data'!$B$3:$AAA$3,0))</f>
        <v>0</v>
      </c>
      <c r="X80" s="310" cm="1">
        <f t="array" ref="X80">INDEX('생산수량Back-Data'!$B$5:$AAA$10041,
       MATCH($B79,'생산수량Back-Data'!$B$5:$B$10041,0)+3,
       MATCH(X$3,'생산수량Back-Data'!$B$3:$AAA$3,0))</f>
        <v>0</v>
      </c>
      <c r="Y80" s="310" cm="1">
        <f t="array" ref="Y80">INDEX('생산수량Back-Data'!$B$5:$AAA$10041,
       MATCH($B79,'생산수량Back-Data'!$B$5:$B$10041,0)+3,
       MATCH(Y$3,'생산수량Back-Data'!$B$3:$AAA$3,0))</f>
        <v>0</v>
      </c>
      <c r="Z80" s="310" cm="1">
        <f t="array" ref="Z80">INDEX('생산수량Back-Data'!$B$5:$AAA$10041,
       MATCH($B79,'생산수량Back-Data'!$B$5:$B$10041,0)+3,
       MATCH(Z$3,'생산수량Back-Data'!$B$3:$AAA$3,0))</f>
        <v>0</v>
      </c>
      <c r="AA80" s="310" cm="1">
        <f t="array" ref="AA80">INDEX('생산수량Back-Data'!$B$5:$AAA$10041,
       MATCH($B79,'생산수량Back-Data'!$B$5:$B$10041,0)+3,
       MATCH(AA$3,'생산수량Back-Data'!$B$3:$AAA$3,0))</f>
        <v>0</v>
      </c>
      <c r="AB80" s="310" cm="1">
        <f t="array" ref="AB80">INDEX('생산수량Back-Data'!$B$5:$AAA$10041,
       MATCH($B79,'생산수량Back-Data'!$B$5:$B$10041,0)+3,
       MATCH(AB$3,'생산수량Back-Data'!$B$3:$AAA$3,0))</f>
        <v>0</v>
      </c>
      <c r="AC80" s="310" cm="1">
        <f t="array" ref="AC80">INDEX('생산수량Back-Data'!$B$5:$AAA$10041,
       MATCH($B79,'생산수량Back-Data'!$B$5:$B$10041,0)+3,
       MATCH(AC$3,'생산수량Back-Data'!$B$3:$AAA$3,0))</f>
        <v>0</v>
      </c>
      <c r="AD80" s="310" cm="1">
        <f t="array" ref="AD80">INDEX('생산수량Back-Data'!$B$5:$AAA$10041,
       MATCH($B79,'생산수량Back-Data'!$B$5:$B$10041,0)+3,
       MATCH(AD$3,'생산수량Back-Data'!$B$3:$AAA$3,0))</f>
        <v>0</v>
      </c>
      <c r="AE80" s="310" cm="1">
        <f t="array" ref="AE80">INDEX('생산수량Back-Data'!$B$5:$AAA$10041,
       MATCH($B79,'생산수량Back-Data'!$B$5:$B$10041,0)+3,
       MATCH(AE$3,'생산수량Back-Data'!$B$3:$AAA$3,0))</f>
        <v>0</v>
      </c>
      <c r="AF80" s="310" cm="1">
        <f t="array" ref="AF80">INDEX('생산수량Back-Data'!$B$5:$AAA$10041,
       MATCH($B79,'생산수량Back-Data'!$B$5:$B$10041,0)+3,
       MATCH(AF$3,'생산수량Back-Data'!$B$3:$AAA$3,0))</f>
        <v>0</v>
      </c>
      <c r="AG80" s="310" cm="1">
        <f t="array" ref="AG80">INDEX('생산수량Back-Data'!$B$5:$AAA$10041,
       MATCH($B79,'생산수량Back-Data'!$B$5:$B$10041,0)+3,
       MATCH(AG$3,'생산수량Back-Data'!$B$3:$AAA$3,0))</f>
        <v>0</v>
      </c>
      <c r="AH80" s="310" cm="1">
        <f t="array" ref="AH80">INDEX('생산수량Back-Data'!$B$5:$AAA$10041,
       MATCH($B79,'생산수량Back-Data'!$B$5:$B$10041,0)+3,
       MATCH(AH$3,'생산수량Back-Data'!$B$3:$AAA$3,0))</f>
        <v>0</v>
      </c>
      <c r="AI80" s="310" cm="1">
        <f t="array" ref="AI80">INDEX('생산수량Back-Data'!$B$5:$AAA$10041,
       MATCH($B79,'생산수량Back-Data'!$B$5:$B$10041,0)+3,
       MATCH(AI$3,'생산수량Back-Data'!$B$3:$AAA$3,0))</f>
        <v>0</v>
      </c>
      <c r="AJ80" s="310" cm="1">
        <f t="array" ref="AJ80">INDEX('생산수량Back-Data'!$B$5:$AAA$10041,
       MATCH($B79,'생산수량Back-Data'!$B$5:$B$10041,0)+3,
       MATCH(AJ$3,'생산수량Back-Data'!$B$3:$AAA$3,0))</f>
        <v>0</v>
      </c>
      <c r="AK80" s="310" cm="1">
        <f t="array" ref="AK80">INDEX('생산수량Back-Data'!$B$5:$AAA$10041,
       MATCH($B79,'생산수량Back-Data'!$B$5:$B$10041,0)+3,
       MATCH(AK$3,'생산수량Back-Data'!$B$3:$AAA$3,0))</f>
        <v>0</v>
      </c>
      <c r="AL80" s="310" cm="1">
        <f t="array" ref="AL80">INDEX('생산수량Back-Data'!$B$5:$AAA$10041,
       MATCH($B79,'생산수량Back-Data'!$B$5:$B$10041,0)+3,
       MATCH(AL$3,'생산수량Back-Data'!$B$3:$AAA$3,0))</f>
        <v>0</v>
      </c>
      <c r="AM80" s="310" cm="1">
        <f t="array" ref="AM80">INDEX('생산수량Back-Data'!$B$5:$AAA$10041,
       MATCH($B79,'생산수량Back-Data'!$B$5:$B$10041,0)+3,
       MATCH(AM$3,'생산수량Back-Data'!$B$3:$AAA$3,0))</f>
        <v>0</v>
      </c>
      <c r="AN80" s="310" cm="1">
        <f t="array" ref="AN80">INDEX('생산수량Back-Data'!$B$5:$AAA$10041,
       MATCH($B79,'생산수량Back-Data'!$B$5:$B$10041,0)+3,
       MATCH(AN$3,'생산수량Back-Data'!$B$3:$AAA$3,0))</f>
        <v>0</v>
      </c>
      <c r="AO80" s="310" cm="1">
        <f t="array" ref="AO80">INDEX('생산수량Back-Data'!$B$5:$AAA$10041,
       MATCH($B79,'생산수량Back-Data'!$B$5:$B$10041,0)+3,
       MATCH(AO$3,'생산수량Back-Data'!$B$3:$AAA$3,0))</f>
        <v>0</v>
      </c>
      <c r="AP80" s="310" cm="1">
        <f t="array" ref="AP80">INDEX('생산수량Back-Data'!$B$5:$AAA$10041,
       MATCH($B79,'생산수량Back-Data'!$B$5:$B$10041,0)+3,
       MATCH(AP$3,'생산수량Back-Data'!$B$3:$AAA$3,0))</f>
        <v>0</v>
      </c>
      <c r="AQ80" s="310" cm="1">
        <f t="array" ref="AQ80">INDEX('생산수량Back-Data'!$B$5:$AAA$10041,
       MATCH($B79,'생산수량Back-Data'!$B$5:$B$10041,0)+3,
       MATCH(AQ$3,'생산수량Back-Data'!$B$3:$AAA$3,0))</f>
        <v>0</v>
      </c>
      <c r="AR80" s="310" cm="1">
        <f t="array" ref="AR80">INDEX('생산수량Back-Data'!$B$5:$AAA$10041,
       MATCH($B79,'생산수량Back-Data'!$B$5:$B$10041,0)+3,
       MATCH(AR$3,'생산수량Back-Data'!$B$3:$AAA$3,0))</f>
        <v>0</v>
      </c>
      <c r="AS80" s="310" cm="1">
        <f t="array" ref="AS80">INDEX('생산수량Back-Data'!$B$5:$AAA$10041,
       MATCH($B79,'생산수량Back-Data'!$B$5:$B$10041,0)+3,
       MATCH(AS$3,'생산수량Back-Data'!$B$3:$AAA$3,0))</f>
        <v>0</v>
      </c>
      <c r="AT80" s="310" cm="1">
        <f t="array" ref="AT80">INDEX('생산수량Back-Data'!$B$5:$AAA$10041,
       MATCH($B79,'생산수량Back-Data'!$B$5:$B$10041,0)+3,
       MATCH(AT$3,'생산수량Back-Data'!$B$3:$AAA$3,0))</f>
        <v>0</v>
      </c>
      <c r="AU80" s="324" cm="1">
        <f t="array" ref="AU80">INDEX('생산수량Back-Data'!$B$5:$AAA$10041,
       MATCH($B79,'생산수량Back-Data'!$B$5:$B$10041,0)+3,
       MATCH(AU$3,'생산수량Back-Data'!$B$3:$AAA$3,0))</f>
        <v>0</v>
      </c>
    </row>
    <row r="81" spans="2:47" ht="32.1" customHeight="1" x14ac:dyDescent="0.3">
      <c r="B81" s="444" t="s">
        <v>65</v>
      </c>
      <c r="C81" s="444" t="s">
        <v>185</v>
      </c>
      <c r="D81" s="444" t="s">
        <v>205</v>
      </c>
      <c r="E81" s="438">
        <f>ABS(SUMIFS('Fixture 총 발주수량'!V:V,'Fixture 총 발주수량'!B:B,'클린룸 생산계획'!B81,'Fixture 총 발주수량'!V:V,"&lt;0"))</f>
        <v>1541</v>
      </c>
      <c r="F81" s="431">
        <f>G81-E81</f>
        <v>-1541</v>
      </c>
      <c r="G81" s="437">
        <f>SUMIF(Q81:AU81, "&gt;0")</f>
        <v>0</v>
      </c>
      <c r="H81" s="437">
        <f>SUMIF(Q82:AU82, "&gt;0")</f>
        <v>0</v>
      </c>
      <c r="I81" s="442">
        <f>IFERROR(H81/G81,)</f>
        <v>0</v>
      </c>
      <c r="J81" s="437">
        <f ca="1">IFERROR(SUMIF('Fixture 총 발주수량'!B:AG,'클린룸 생산계획'!B81,'Fixture 총 발주수량'!Y:Y),)</f>
        <v>0</v>
      </c>
      <c r="K81" s="437">
        <f ca="1">IFERROR(SUMIF('Fixture 총 발주수량'!B:AG,'클린룸 생산계획'!B81,'Fixture 총 발주수량'!W:W),)</f>
        <v>456</v>
      </c>
      <c r="L81" s="458">
        <f>ROUNDUP(E81/2000,)</f>
        <v>1</v>
      </c>
      <c r="M81" s="458">
        <f>M79+L81</f>
        <v>74</v>
      </c>
      <c r="N81" s="458">
        <f>M81+L81</f>
        <v>75</v>
      </c>
      <c r="O81" s="438">
        <f>O79+L81</f>
        <v>74</v>
      </c>
      <c r="P81" s="306" t="s">
        <v>264</v>
      </c>
      <c r="Q81" s="325"/>
      <c r="R81" s="312"/>
      <c r="S81" s="312"/>
      <c r="T81" s="312"/>
      <c r="U81" s="312"/>
      <c r="V81" s="312"/>
      <c r="W81" s="312"/>
      <c r="X81" s="312"/>
      <c r="Y81" s="312"/>
      <c r="Z81" s="312"/>
      <c r="AA81" s="312"/>
      <c r="AB81" s="312"/>
      <c r="AC81" s="312"/>
      <c r="AD81" s="312"/>
      <c r="AE81" s="312"/>
      <c r="AF81" s="312"/>
      <c r="AG81" s="312"/>
      <c r="AH81" s="312"/>
      <c r="AI81" s="312"/>
      <c r="AJ81" s="312"/>
      <c r="AK81" s="312"/>
      <c r="AL81" s="312"/>
      <c r="AM81" s="312"/>
      <c r="AN81" s="312"/>
      <c r="AO81" s="312"/>
      <c r="AP81" s="312"/>
      <c r="AQ81" s="312"/>
      <c r="AR81" s="312"/>
      <c r="AS81" s="312"/>
      <c r="AT81" s="312"/>
      <c r="AU81" s="313"/>
    </row>
    <row r="82" spans="2:47" ht="32.1" customHeight="1" x14ac:dyDescent="0.3">
      <c r="B82" s="445"/>
      <c r="C82" s="445"/>
      <c r="D82" s="445"/>
      <c r="E82" s="439"/>
      <c r="F82" s="459"/>
      <c r="G82" s="436"/>
      <c r="H82" s="436"/>
      <c r="I82" s="443"/>
      <c r="J82" s="436"/>
      <c r="K82" s="436"/>
      <c r="L82" s="458"/>
      <c r="M82" s="458"/>
      <c r="N82" s="458"/>
      <c r="O82" s="439"/>
      <c r="P82" s="306" t="s">
        <v>266</v>
      </c>
      <c r="Q82" s="323" cm="1">
        <f t="array" ref="Q82">INDEX('생산수량Back-Data'!$B$5:$AAA$10041,
       MATCH($B81,'생산수량Back-Data'!$B$5:$B$10041,0)+3,
       MATCH(Q$3,'생산수량Back-Data'!$B$3:$AAA$3,0))</f>
        <v>0</v>
      </c>
      <c r="R82" s="310" cm="1">
        <f t="array" ref="R82">INDEX('생산수량Back-Data'!$B$5:$AAA$10041,
       MATCH($B81,'생산수량Back-Data'!$B$5:$B$10041,0)+3,
       MATCH(R$3,'생산수량Back-Data'!$B$3:$AAA$3,0))</f>
        <v>0</v>
      </c>
      <c r="S82" s="310" cm="1">
        <f t="array" ref="S82">INDEX('생산수량Back-Data'!$B$5:$AAA$10041,
       MATCH($B81,'생산수량Back-Data'!$B$5:$B$10041,0)+3,
       MATCH(S$3,'생산수량Back-Data'!$B$3:$AAA$3,0))</f>
        <v>0</v>
      </c>
      <c r="T82" s="310" cm="1">
        <f t="array" ref="T82">INDEX('생산수량Back-Data'!$B$5:$AAA$10041,
       MATCH($B81,'생산수량Back-Data'!$B$5:$B$10041,0)+3,
       MATCH(T$3,'생산수량Back-Data'!$B$3:$AAA$3,0))</f>
        <v>0</v>
      </c>
      <c r="U82" s="310" cm="1">
        <f t="array" ref="U82">INDEX('생산수량Back-Data'!$B$5:$AAA$10041,
       MATCH($B81,'생산수량Back-Data'!$B$5:$B$10041,0)+3,
       MATCH(U$3,'생산수량Back-Data'!$B$3:$AAA$3,0))</f>
        <v>0</v>
      </c>
      <c r="V82" s="310" cm="1">
        <f t="array" ref="V82">INDEX('생산수량Back-Data'!$B$5:$AAA$10041,
       MATCH($B81,'생산수량Back-Data'!$B$5:$B$10041,0)+3,
       MATCH(V$3,'생산수량Back-Data'!$B$3:$AAA$3,0))</f>
        <v>0</v>
      </c>
      <c r="W82" s="310" cm="1">
        <f t="array" ref="W82">INDEX('생산수량Back-Data'!$B$5:$AAA$10041,
       MATCH($B81,'생산수량Back-Data'!$B$5:$B$10041,0)+3,
       MATCH(W$3,'생산수량Back-Data'!$B$3:$AAA$3,0))</f>
        <v>0</v>
      </c>
      <c r="X82" s="310" cm="1">
        <f t="array" ref="X82">INDEX('생산수량Back-Data'!$B$5:$AAA$10041,
       MATCH($B81,'생산수량Back-Data'!$B$5:$B$10041,0)+3,
       MATCH(X$3,'생산수량Back-Data'!$B$3:$AAA$3,0))</f>
        <v>0</v>
      </c>
      <c r="Y82" s="310" cm="1">
        <f t="array" ref="Y82">INDEX('생산수량Back-Data'!$B$5:$AAA$10041,
       MATCH($B81,'생산수량Back-Data'!$B$5:$B$10041,0)+3,
       MATCH(Y$3,'생산수량Back-Data'!$B$3:$AAA$3,0))</f>
        <v>0</v>
      </c>
      <c r="Z82" s="310" cm="1">
        <f t="array" ref="Z82">INDEX('생산수량Back-Data'!$B$5:$AAA$10041,
       MATCH($B81,'생산수량Back-Data'!$B$5:$B$10041,0)+3,
       MATCH(Z$3,'생산수량Back-Data'!$B$3:$AAA$3,0))</f>
        <v>0</v>
      </c>
      <c r="AA82" s="310" cm="1">
        <f t="array" ref="AA82">INDEX('생산수량Back-Data'!$B$5:$AAA$10041,
       MATCH($B81,'생산수량Back-Data'!$B$5:$B$10041,0)+3,
       MATCH(AA$3,'생산수량Back-Data'!$B$3:$AAA$3,0))</f>
        <v>0</v>
      </c>
      <c r="AB82" s="310" cm="1">
        <f t="array" ref="AB82">INDEX('생산수량Back-Data'!$B$5:$AAA$10041,
       MATCH($B81,'생산수량Back-Data'!$B$5:$B$10041,0)+3,
       MATCH(AB$3,'생산수량Back-Data'!$B$3:$AAA$3,0))</f>
        <v>0</v>
      </c>
      <c r="AC82" s="310" cm="1">
        <f t="array" ref="AC82">INDEX('생산수량Back-Data'!$B$5:$AAA$10041,
       MATCH($B81,'생산수량Back-Data'!$B$5:$B$10041,0)+3,
       MATCH(AC$3,'생산수량Back-Data'!$B$3:$AAA$3,0))</f>
        <v>0</v>
      </c>
      <c r="AD82" s="310" cm="1">
        <f t="array" ref="AD82">INDEX('생산수량Back-Data'!$B$5:$AAA$10041,
       MATCH($B81,'생산수량Back-Data'!$B$5:$B$10041,0)+3,
       MATCH(AD$3,'생산수량Back-Data'!$B$3:$AAA$3,0))</f>
        <v>0</v>
      </c>
      <c r="AE82" s="310" cm="1">
        <f t="array" ref="AE82">INDEX('생산수량Back-Data'!$B$5:$AAA$10041,
       MATCH($B81,'생산수량Back-Data'!$B$5:$B$10041,0)+3,
       MATCH(AE$3,'생산수량Back-Data'!$B$3:$AAA$3,0))</f>
        <v>0</v>
      </c>
      <c r="AF82" s="310" cm="1">
        <f t="array" ref="AF82">INDEX('생산수량Back-Data'!$B$5:$AAA$10041,
       MATCH($B81,'생산수량Back-Data'!$B$5:$B$10041,0)+3,
       MATCH(AF$3,'생산수량Back-Data'!$B$3:$AAA$3,0))</f>
        <v>0</v>
      </c>
      <c r="AG82" s="310" cm="1">
        <f t="array" ref="AG82">INDEX('생산수량Back-Data'!$B$5:$AAA$10041,
       MATCH($B81,'생산수량Back-Data'!$B$5:$B$10041,0)+3,
       MATCH(AG$3,'생산수량Back-Data'!$B$3:$AAA$3,0))</f>
        <v>0</v>
      </c>
      <c r="AH82" s="310" cm="1">
        <f t="array" ref="AH82">INDEX('생산수량Back-Data'!$B$5:$AAA$10041,
       MATCH($B81,'생산수량Back-Data'!$B$5:$B$10041,0)+3,
       MATCH(AH$3,'생산수량Back-Data'!$B$3:$AAA$3,0))</f>
        <v>0</v>
      </c>
      <c r="AI82" s="310" cm="1">
        <f t="array" ref="AI82">INDEX('생산수량Back-Data'!$B$5:$AAA$10041,
       MATCH($B81,'생산수량Back-Data'!$B$5:$B$10041,0)+3,
       MATCH(AI$3,'생산수량Back-Data'!$B$3:$AAA$3,0))</f>
        <v>0</v>
      </c>
      <c r="AJ82" s="310" cm="1">
        <f t="array" ref="AJ82">INDEX('생산수량Back-Data'!$B$5:$AAA$10041,
       MATCH($B81,'생산수량Back-Data'!$B$5:$B$10041,0)+3,
       MATCH(AJ$3,'생산수량Back-Data'!$B$3:$AAA$3,0))</f>
        <v>0</v>
      </c>
      <c r="AK82" s="310" cm="1">
        <f t="array" ref="AK82">INDEX('생산수량Back-Data'!$B$5:$AAA$10041,
       MATCH($B81,'생산수량Back-Data'!$B$5:$B$10041,0)+3,
       MATCH(AK$3,'생산수량Back-Data'!$B$3:$AAA$3,0))</f>
        <v>0</v>
      </c>
      <c r="AL82" s="310" cm="1">
        <f t="array" ref="AL82">INDEX('생산수량Back-Data'!$B$5:$AAA$10041,
       MATCH($B81,'생산수량Back-Data'!$B$5:$B$10041,0)+3,
       MATCH(AL$3,'생산수량Back-Data'!$B$3:$AAA$3,0))</f>
        <v>0</v>
      </c>
      <c r="AM82" s="310" cm="1">
        <f t="array" ref="AM82">INDEX('생산수량Back-Data'!$B$5:$AAA$10041,
       MATCH($B81,'생산수량Back-Data'!$B$5:$B$10041,0)+3,
       MATCH(AM$3,'생산수량Back-Data'!$B$3:$AAA$3,0))</f>
        <v>0</v>
      </c>
      <c r="AN82" s="310" cm="1">
        <f t="array" ref="AN82">INDEX('생산수량Back-Data'!$B$5:$AAA$10041,
       MATCH($B81,'생산수량Back-Data'!$B$5:$B$10041,0)+3,
       MATCH(AN$3,'생산수량Back-Data'!$B$3:$AAA$3,0))</f>
        <v>0</v>
      </c>
      <c r="AO82" s="310" cm="1">
        <f t="array" ref="AO82">INDEX('생산수량Back-Data'!$B$5:$AAA$10041,
       MATCH($B81,'생산수량Back-Data'!$B$5:$B$10041,0)+3,
       MATCH(AO$3,'생산수량Back-Data'!$B$3:$AAA$3,0))</f>
        <v>0</v>
      </c>
      <c r="AP82" s="310" cm="1">
        <f t="array" ref="AP82">INDEX('생산수량Back-Data'!$B$5:$AAA$10041,
       MATCH($B81,'생산수량Back-Data'!$B$5:$B$10041,0)+3,
       MATCH(AP$3,'생산수량Back-Data'!$B$3:$AAA$3,0))</f>
        <v>0</v>
      </c>
      <c r="AQ82" s="310" cm="1">
        <f t="array" ref="AQ82">INDEX('생산수량Back-Data'!$B$5:$AAA$10041,
       MATCH($B81,'생산수량Back-Data'!$B$5:$B$10041,0)+3,
       MATCH(AQ$3,'생산수량Back-Data'!$B$3:$AAA$3,0))</f>
        <v>0</v>
      </c>
      <c r="AR82" s="310" cm="1">
        <f t="array" ref="AR82">INDEX('생산수량Back-Data'!$B$5:$AAA$10041,
       MATCH($B81,'생산수량Back-Data'!$B$5:$B$10041,0)+3,
       MATCH(AR$3,'생산수량Back-Data'!$B$3:$AAA$3,0))</f>
        <v>0</v>
      </c>
      <c r="AS82" s="310" cm="1">
        <f t="array" ref="AS82">INDEX('생산수량Back-Data'!$B$5:$AAA$10041,
       MATCH($B81,'생산수량Back-Data'!$B$5:$B$10041,0)+3,
       MATCH(AS$3,'생산수량Back-Data'!$B$3:$AAA$3,0))</f>
        <v>0</v>
      </c>
      <c r="AT82" s="310" cm="1">
        <f t="array" ref="AT82">INDEX('생산수량Back-Data'!$B$5:$AAA$10041,
       MATCH($B81,'생산수량Back-Data'!$B$5:$B$10041,0)+3,
       MATCH(AT$3,'생산수량Back-Data'!$B$3:$AAA$3,0))</f>
        <v>0</v>
      </c>
      <c r="AU82" s="324" cm="1">
        <f t="array" ref="AU82">INDEX('생산수량Back-Data'!$B$5:$AAA$10041,
       MATCH($B81,'생산수량Back-Data'!$B$5:$B$10041,0)+3,
       MATCH(AU$3,'생산수량Back-Data'!$B$3:$AAA$3,0))</f>
        <v>0</v>
      </c>
    </row>
    <row r="83" spans="2:47" ht="32.1" customHeight="1" x14ac:dyDescent="0.3">
      <c r="B83" s="444" t="s">
        <v>66</v>
      </c>
      <c r="C83" s="444" t="s">
        <v>185</v>
      </c>
      <c r="D83" s="444" t="s">
        <v>206</v>
      </c>
      <c r="E83" s="438">
        <f>ABS(SUMIFS('Fixture 총 발주수량'!V:V,'Fixture 총 발주수량'!B:B,'클린룸 생산계획'!B83,'Fixture 총 발주수량'!V:V,"&lt;0"))</f>
        <v>393</v>
      </c>
      <c r="F83" s="431">
        <f>G83-E83</f>
        <v>-393</v>
      </c>
      <c r="G83" s="437">
        <f>SUMIF(Q83:AU83, "&gt;0")</f>
        <v>0</v>
      </c>
      <c r="H83" s="437">
        <f>SUMIF(Q84:AU84, "&gt;0")</f>
        <v>0</v>
      </c>
      <c r="I83" s="442">
        <f>IFERROR(H83/G83,)</f>
        <v>0</v>
      </c>
      <c r="J83" s="437">
        <f ca="1">IFERROR(SUMIF('Fixture 총 발주수량'!B:AG,'클린룸 생산계획'!B83,'Fixture 총 발주수량'!Y:Y),)</f>
        <v>0</v>
      </c>
      <c r="K83" s="437">
        <f ca="1">IFERROR(SUMIF('Fixture 총 발주수량'!B:AG,'클린룸 생산계획'!B83,'Fixture 총 발주수량'!W:W),)</f>
        <v>0</v>
      </c>
      <c r="L83" s="458">
        <f>ROUNDUP(E83/2000,)</f>
        <v>1</v>
      </c>
      <c r="M83" s="458">
        <f>M81+L83</f>
        <v>75</v>
      </c>
      <c r="N83" s="458">
        <f>M83+L83</f>
        <v>76</v>
      </c>
      <c r="O83" s="438">
        <f>O81+L83</f>
        <v>75</v>
      </c>
      <c r="P83" s="306" t="s">
        <v>264</v>
      </c>
      <c r="Q83" s="325"/>
      <c r="R83" s="312"/>
      <c r="S83" s="312"/>
      <c r="T83" s="312"/>
      <c r="U83" s="312"/>
      <c r="V83" s="312"/>
      <c r="W83" s="312"/>
      <c r="X83" s="312"/>
      <c r="Y83" s="312"/>
      <c r="Z83" s="312"/>
      <c r="AA83" s="312"/>
      <c r="AB83" s="312"/>
      <c r="AC83" s="312"/>
      <c r="AD83" s="312"/>
      <c r="AE83" s="312"/>
      <c r="AF83" s="312"/>
      <c r="AG83" s="312"/>
      <c r="AH83" s="312"/>
      <c r="AI83" s="312"/>
      <c r="AJ83" s="312"/>
      <c r="AK83" s="312"/>
      <c r="AL83" s="312"/>
      <c r="AM83" s="312"/>
      <c r="AN83" s="312"/>
      <c r="AO83" s="312"/>
      <c r="AP83" s="312"/>
      <c r="AQ83" s="312"/>
      <c r="AR83" s="312"/>
      <c r="AS83" s="312"/>
      <c r="AT83" s="312"/>
      <c r="AU83" s="313"/>
    </row>
    <row r="84" spans="2:47" ht="32.1" customHeight="1" x14ac:dyDescent="0.3">
      <c r="B84" s="445"/>
      <c r="C84" s="445"/>
      <c r="D84" s="445"/>
      <c r="E84" s="439"/>
      <c r="F84" s="459"/>
      <c r="G84" s="436"/>
      <c r="H84" s="436"/>
      <c r="I84" s="443"/>
      <c r="J84" s="436"/>
      <c r="K84" s="436"/>
      <c r="L84" s="458"/>
      <c r="M84" s="458"/>
      <c r="N84" s="458"/>
      <c r="O84" s="439"/>
      <c r="P84" s="306" t="s">
        <v>266</v>
      </c>
      <c r="Q84" s="323" cm="1">
        <f t="array" ref="Q84">INDEX('생산수량Back-Data'!$B$5:$AAA$10041,
       MATCH($B83,'생산수량Back-Data'!$B$5:$B$10041,0)+3,
       MATCH(Q$3,'생산수량Back-Data'!$B$3:$AAA$3,0))</f>
        <v>0</v>
      </c>
      <c r="R84" s="310" cm="1">
        <f t="array" ref="R84">INDEX('생산수량Back-Data'!$B$5:$AAA$10041,
       MATCH($B83,'생산수량Back-Data'!$B$5:$B$10041,0)+3,
       MATCH(R$3,'생산수량Back-Data'!$B$3:$AAA$3,0))</f>
        <v>0</v>
      </c>
      <c r="S84" s="310" cm="1">
        <f t="array" ref="S84">INDEX('생산수량Back-Data'!$B$5:$AAA$10041,
       MATCH($B83,'생산수량Back-Data'!$B$5:$B$10041,0)+3,
       MATCH(S$3,'생산수량Back-Data'!$B$3:$AAA$3,0))</f>
        <v>0</v>
      </c>
      <c r="T84" s="310" cm="1">
        <f t="array" ref="T84">INDEX('생산수량Back-Data'!$B$5:$AAA$10041,
       MATCH($B83,'생산수량Back-Data'!$B$5:$B$10041,0)+3,
       MATCH(T$3,'생산수량Back-Data'!$B$3:$AAA$3,0))</f>
        <v>0</v>
      </c>
      <c r="U84" s="310" cm="1">
        <f t="array" ref="U84">INDEX('생산수량Back-Data'!$B$5:$AAA$10041,
       MATCH($B83,'생산수량Back-Data'!$B$5:$B$10041,0)+3,
       MATCH(U$3,'생산수량Back-Data'!$B$3:$AAA$3,0))</f>
        <v>0</v>
      </c>
      <c r="V84" s="310" cm="1">
        <f t="array" ref="V84">INDEX('생산수량Back-Data'!$B$5:$AAA$10041,
       MATCH($B83,'생산수량Back-Data'!$B$5:$B$10041,0)+3,
       MATCH(V$3,'생산수량Back-Data'!$B$3:$AAA$3,0))</f>
        <v>0</v>
      </c>
      <c r="W84" s="310" cm="1">
        <f t="array" ref="W84">INDEX('생산수량Back-Data'!$B$5:$AAA$10041,
       MATCH($B83,'생산수량Back-Data'!$B$5:$B$10041,0)+3,
       MATCH(W$3,'생산수량Back-Data'!$B$3:$AAA$3,0))</f>
        <v>0</v>
      </c>
      <c r="X84" s="310" cm="1">
        <f t="array" ref="X84">INDEX('생산수량Back-Data'!$B$5:$AAA$10041,
       MATCH($B83,'생산수량Back-Data'!$B$5:$B$10041,0)+3,
       MATCH(X$3,'생산수량Back-Data'!$B$3:$AAA$3,0))</f>
        <v>0</v>
      </c>
      <c r="Y84" s="310" cm="1">
        <f t="array" ref="Y84">INDEX('생산수량Back-Data'!$B$5:$AAA$10041,
       MATCH($B83,'생산수량Back-Data'!$B$5:$B$10041,0)+3,
       MATCH(Y$3,'생산수량Back-Data'!$B$3:$AAA$3,0))</f>
        <v>0</v>
      </c>
      <c r="Z84" s="310" cm="1">
        <f t="array" ref="Z84">INDEX('생산수량Back-Data'!$B$5:$AAA$10041,
       MATCH($B83,'생산수량Back-Data'!$B$5:$B$10041,0)+3,
       MATCH(Z$3,'생산수량Back-Data'!$B$3:$AAA$3,0))</f>
        <v>0</v>
      </c>
      <c r="AA84" s="310" cm="1">
        <f t="array" ref="AA84">INDEX('생산수량Back-Data'!$B$5:$AAA$10041,
       MATCH($B83,'생산수량Back-Data'!$B$5:$B$10041,0)+3,
       MATCH(AA$3,'생산수량Back-Data'!$B$3:$AAA$3,0))</f>
        <v>0</v>
      </c>
      <c r="AB84" s="310" cm="1">
        <f t="array" ref="AB84">INDEX('생산수량Back-Data'!$B$5:$AAA$10041,
       MATCH($B83,'생산수량Back-Data'!$B$5:$B$10041,0)+3,
       MATCH(AB$3,'생산수량Back-Data'!$B$3:$AAA$3,0))</f>
        <v>0</v>
      </c>
      <c r="AC84" s="310" cm="1">
        <f t="array" ref="AC84">INDEX('생산수량Back-Data'!$B$5:$AAA$10041,
       MATCH($B83,'생산수량Back-Data'!$B$5:$B$10041,0)+3,
       MATCH(AC$3,'생산수량Back-Data'!$B$3:$AAA$3,0))</f>
        <v>0</v>
      </c>
      <c r="AD84" s="310" cm="1">
        <f t="array" ref="AD84">INDEX('생산수량Back-Data'!$B$5:$AAA$10041,
       MATCH($B83,'생산수량Back-Data'!$B$5:$B$10041,0)+3,
       MATCH(AD$3,'생산수량Back-Data'!$B$3:$AAA$3,0))</f>
        <v>0</v>
      </c>
      <c r="AE84" s="310" cm="1">
        <f t="array" ref="AE84">INDEX('생산수량Back-Data'!$B$5:$AAA$10041,
       MATCH($B83,'생산수량Back-Data'!$B$5:$B$10041,0)+3,
       MATCH(AE$3,'생산수량Back-Data'!$B$3:$AAA$3,0))</f>
        <v>0</v>
      </c>
      <c r="AF84" s="310" cm="1">
        <f t="array" ref="AF84">INDEX('생산수량Back-Data'!$B$5:$AAA$10041,
       MATCH($B83,'생산수량Back-Data'!$B$5:$B$10041,0)+3,
       MATCH(AF$3,'생산수량Back-Data'!$B$3:$AAA$3,0))</f>
        <v>0</v>
      </c>
      <c r="AG84" s="310" cm="1">
        <f t="array" ref="AG84">INDEX('생산수량Back-Data'!$B$5:$AAA$10041,
       MATCH($B83,'생산수량Back-Data'!$B$5:$B$10041,0)+3,
       MATCH(AG$3,'생산수량Back-Data'!$B$3:$AAA$3,0))</f>
        <v>0</v>
      </c>
      <c r="AH84" s="310" cm="1">
        <f t="array" ref="AH84">INDEX('생산수량Back-Data'!$B$5:$AAA$10041,
       MATCH($B83,'생산수량Back-Data'!$B$5:$B$10041,0)+3,
       MATCH(AH$3,'생산수량Back-Data'!$B$3:$AAA$3,0))</f>
        <v>0</v>
      </c>
      <c r="AI84" s="310" cm="1">
        <f t="array" ref="AI84">INDEX('생산수량Back-Data'!$B$5:$AAA$10041,
       MATCH($B83,'생산수량Back-Data'!$B$5:$B$10041,0)+3,
       MATCH(AI$3,'생산수량Back-Data'!$B$3:$AAA$3,0))</f>
        <v>0</v>
      </c>
      <c r="AJ84" s="310" cm="1">
        <f t="array" ref="AJ84">INDEX('생산수량Back-Data'!$B$5:$AAA$10041,
       MATCH($B83,'생산수량Back-Data'!$B$5:$B$10041,0)+3,
       MATCH(AJ$3,'생산수량Back-Data'!$B$3:$AAA$3,0))</f>
        <v>0</v>
      </c>
      <c r="AK84" s="310" cm="1">
        <f t="array" ref="AK84">INDEX('생산수량Back-Data'!$B$5:$AAA$10041,
       MATCH($B83,'생산수량Back-Data'!$B$5:$B$10041,0)+3,
       MATCH(AK$3,'생산수량Back-Data'!$B$3:$AAA$3,0))</f>
        <v>0</v>
      </c>
      <c r="AL84" s="310" cm="1">
        <f t="array" ref="AL84">INDEX('생산수량Back-Data'!$B$5:$AAA$10041,
       MATCH($B83,'생산수량Back-Data'!$B$5:$B$10041,0)+3,
       MATCH(AL$3,'생산수량Back-Data'!$B$3:$AAA$3,0))</f>
        <v>0</v>
      </c>
      <c r="AM84" s="310" cm="1">
        <f t="array" ref="AM84">INDEX('생산수량Back-Data'!$B$5:$AAA$10041,
       MATCH($B83,'생산수량Back-Data'!$B$5:$B$10041,0)+3,
       MATCH(AM$3,'생산수량Back-Data'!$B$3:$AAA$3,0))</f>
        <v>0</v>
      </c>
      <c r="AN84" s="310" cm="1">
        <f t="array" ref="AN84">INDEX('생산수량Back-Data'!$B$5:$AAA$10041,
       MATCH($B83,'생산수량Back-Data'!$B$5:$B$10041,0)+3,
       MATCH(AN$3,'생산수량Back-Data'!$B$3:$AAA$3,0))</f>
        <v>0</v>
      </c>
      <c r="AO84" s="310" cm="1">
        <f t="array" ref="AO84">INDEX('생산수량Back-Data'!$B$5:$AAA$10041,
       MATCH($B83,'생산수량Back-Data'!$B$5:$B$10041,0)+3,
       MATCH(AO$3,'생산수량Back-Data'!$B$3:$AAA$3,0))</f>
        <v>0</v>
      </c>
      <c r="AP84" s="310" cm="1">
        <f t="array" ref="AP84">INDEX('생산수량Back-Data'!$B$5:$AAA$10041,
       MATCH($B83,'생산수량Back-Data'!$B$5:$B$10041,0)+3,
       MATCH(AP$3,'생산수량Back-Data'!$B$3:$AAA$3,0))</f>
        <v>0</v>
      </c>
      <c r="AQ84" s="310" cm="1">
        <f t="array" ref="AQ84">INDEX('생산수량Back-Data'!$B$5:$AAA$10041,
       MATCH($B83,'생산수량Back-Data'!$B$5:$B$10041,0)+3,
       MATCH(AQ$3,'생산수량Back-Data'!$B$3:$AAA$3,0))</f>
        <v>0</v>
      </c>
      <c r="AR84" s="310" cm="1">
        <f t="array" ref="AR84">INDEX('생산수량Back-Data'!$B$5:$AAA$10041,
       MATCH($B83,'생산수량Back-Data'!$B$5:$B$10041,0)+3,
       MATCH(AR$3,'생산수량Back-Data'!$B$3:$AAA$3,0))</f>
        <v>0</v>
      </c>
      <c r="AS84" s="310" cm="1">
        <f t="array" ref="AS84">INDEX('생산수량Back-Data'!$B$5:$AAA$10041,
       MATCH($B83,'생산수량Back-Data'!$B$5:$B$10041,0)+3,
       MATCH(AS$3,'생산수량Back-Data'!$B$3:$AAA$3,0))</f>
        <v>0</v>
      </c>
      <c r="AT84" s="310" cm="1">
        <f t="array" ref="AT84">INDEX('생산수량Back-Data'!$B$5:$AAA$10041,
       MATCH($B83,'생산수량Back-Data'!$B$5:$B$10041,0)+3,
       MATCH(AT$3,'생산수량Back-Data'!$B$3:$AAA$3,0))</f>
        <v>0</v>
      </c>
      <c r="AU84" s="324" cm="1">
        <f t="array" ref="AU84">INDEX('생산수량Back-Data'!$B$5:$AAA$10041,
       MATCH($B83,'생산수량Back-Data'!$B$5:$B$10041,0)+3,
       MATCH(AU$3,'생산수량Back-Data'!$B$3:$AAA$3,0))</f>
        <v>0</v>
      </c>
    </row>
    <row r="85" spans="2:47" ht="32.1" customHeight="1" x14ac:dyDescent="0.3">
      <c r="B85" s="444" t="s">
        <v>67</v>
      </c>
      <c r="C85" s="444" t="s">
        <v>185</v>
      </c>
      <c r="D85" s="444" t="s">
        <v>207</v>
      </c>
      <c r="E85" s="438">
        <f>ABS(SUMIFS('Fixture 총 발주수량'!V:V,'Fixture 총 발주수량'!B:B,'클린룸 생산계획'!B85,'Fixture 총 발주수량'!V:V,"&lt;0"))</f>
        <v>62</v>
      </c>
      <c r="F85" s="431">
        <f>G85-E85</f>
        <v>-62</v>
      </c>
      <c r="G85" s="437">
        <f>SUMIF(Q85:AU85, "&gt;0")</f>
        <v>0</v>
      </c>
      <c r="H85" s="437">
        <f>SUMIF(Q86:AU86, "&gt;0")</f>
        <v>0</v>
      </c>
      <c r="I85" s="442">
        <f>IFERROR(H85/G85,)</f>
        <v>0</v>
      </c>
      <c r="J85" s="437">
        <f ca="1">IFERROR(SUMIF('Fixture 총 발주수량'!B:AG,'클린룸 생산계획'!B85,'Fixture 총 발주수량'!Y:Y),)</f>
        <v>0</v>
      </c>
      <c r="K85" s="437">
        <f ca="1">IFERROR(SUMIF('Fixture 총 발주수량'!B:AG,'클린룸 생산계획'!B85,'Fixture 총 발주수량'!W:W),)</f>
        <v>0</v>
      </c>
      <c r="L85" s="458">
        <f>ROUNDUP(E85/2000,)</f>
        <v>1</v>
      </c>
      <c r="M85" s="458">
        <f>M83+L85</f>
        <v>76</v>
      </c>
      <c r="N85" s="458">
        <f>M85+L85</f>
        <v>77</v>
      </c>
      <c r="O85" s="438">
        <f>O83+L85</f>
        <v>76</v>
      </c>
      <c r="P85" s="306" t="s">
        <v>264</v>
      </c>
      <c r="Q85" s="325"/>
      <c r="R85" s="312"/>
      <c r="S85" s="312"/>
      <c r="T85" s="312"/>
      <c r="U85" s="312"/>
      <c r="V85" s="312"/>
      <c r="W85" s="312"/>
      <c r="X85" s="312"/>
      <c r="Y85" s="312"/>
      <c r="Z85" s="312"/>
      <c r="AA85" s="312"/>
      <c r="AB85" s="312"/>
      <c r="AC85" s="312"/>
      <c r="AD85" s="312"/>
      <c r="AE85" s="312"/>
      <c r="AF85" s="312"/>
      <c r="AG85" s="312"/>
      <c r="AH85" s="312"/>
      <c r="AI85" s="312"/>
      <c r="AJ85" s="312"/>
      <c r="AK85" s="312"/>
      <c r="AL85" s="312"/>
      <c r="AM85" s="312"/>
      <c r="AN85" s="312"/>
      <c r="AO85" s="312"/>
      <c r="AP85" s="312"/>
      <c r="AQ85" s="312"/>
      <c r="AR85" s="312"/>
      <c r="AS85" s="312"/>
      <c r="AT85" s="312"/>
      <c r="AU85" s="313"/>
    </row>
    <row r="86" spans="2:47" ht="32.1" customHeight="1" x14ac:dyDescent="0.3">
      <c r="B86" s="445"/>
      <c r="C86" s="445"/>
      <c r="D86" s="445"/>
      <c r="E86" s="439"/>
      <c r="F86" s="459"/>
      <c r="G86" s="436"/>
      <c r="H86" s="436"/>
      <c r="I86" s="443"/>
      <c r="J86" s="436"/>
      <c r="K86" s="436"/>
      <c r="L86" s="458"/>
      <c r="M86" s="458"/>
      <c r="N86" s="458"/>
      <c r="O86" s="439"/>
      <c r="P86" s="306" t="s">
        <v>266</v>
      </c>
      <c r="Q86" s="327" cm="1">
        <f t="array" ref="Q86">INDEX('생산수량Back-Data'!$B$5:$AAA$10041,
       MATCH($B85,'생산수량Back-Data'!$B$5:$B$10041,0)+3,
       MATCH(Q$3,'생산수량Back-Data'!$B$3:$AAA$3,0))</f>
        <v>0</v>
      </c>
      <c r="R86" s="328" cm="1">
        <f t="array" ref="R86">INDEX('생산수량Back-Data'!$B$5:$AAA$10041,
       MATCH($B85,'생산수량Back-Data'!$B$5:$B$10041,0)+3,
       MATCH(R$3,'생산수량Back-Data'!$B$3:$AAA$3,0))</f>
        <v>0</v>
      </c>
      <c r="S86" s="328" cm="1">
        <f t="array" ref="S86">INDEX('생산수량Back-Data'!$B$5:$AAA$10041,
       MATCH($B85,'생산수량Back-Data'!$B$5:$B$10041,0)+3,
       MATCH(S$3,'생산수량Back-Data'!$B$3:$AAA$3,0))</f>
        <v>0</v>
      </c>
      <c r="T86" s="328" cm="1">
        <f t="array" ref="T86">INDEX('생산수량Back-Data'!$B$5:$AAA$10041,
       MATCH($B85,'생산수량Back-Data'!$B$5:$B$10041,0)+3,
       MATCH(T$3,'생산수량Back-Data'!$B$3:$AAA$3,0))</f>
        <v>0</v>
      </c>
      <c r="U86" s="328" cm="1">
        <f t="array" ref="U86">INDEX('생산수량Back-Data'!$B$5:$AAA$10041,
       MATCH($B85,'생산수량Back-Data'!$B$5:$B$10041,0)+3,
       MATCH(U$3,'생산수량Back-Data'!$B$3:$AAA$3,0))</f>
        <v>0</v>
      </c>
      <c r="V86" s="328" cm="1">
        <f t="array" ref="V86">INDEX('생산수량Back-Data'!$B$5:$AAA$10041,
       MATCH($B85,'생산수량Back-Data'!$B$5:$B$10041,0)+3,
       MATCH(V$3,'생산수량Back-Data'!$B$3:$AAA$3,0))</f>
        <v>0</v>
      </c>
      <c r="W86" s="328" cm="1">
        <f t="array" ref="W86">INDEX('생산수량Back-Data'!$B$5:$AAA$10041,
       MATCH($B85,'생산수량Back-Data'!$B$5:$B$10041,0)+3,
       MATCH(W$3,'생산수량Back-Data'!$B$3:$AAA$3,0))</f>
        <v>0</v>
      </c>
      <c r="X86" s="328" cm="1">
        <f t="array" ref="X86">INDEX('생산수량Back-Data'!$B$5:$AAA$10041,
       MATCH($B85,'생산수량Back-Data'!$B$5:$B$10041,0)+3,
       MATCH(X$3,'생산수량Back-Data'!$B$3:$AAA$3,0))</f>
        <v>0</v>
      </c>
      <c r="Y86" s="328" cm="1">
        <f t="array" ref="Y86">INDEX('생산수량Back-Data'!$B$5:$AAA$10041,
       MATCH($B85,'생산수량Back-Data'!$B$5:$B$10041,0)+3,
       MATCH(Y$3,'생산수량Back-Data'!$B$3:$AAA$3,0))</f>
        <v>0</v>
      </c>
      <c r="Z86" s="328" cm="1">
        <f t="array" ref="Z86">INDEX('생산수량Back-Data'!$B$5:$AAA$10041,
       MATCH($B85,'생산수량Back-Data'!$B$5:$B$10041,0)+3,
       MATCH(Z$3,'생산수량Back-Data'!$B$3:$AAA$3,0))</f>
        <v>0</v>
      </c>
      <c r="AA86" s="328" cm="1">
        <f t="array" ref="AA86">INDEX('생산수량Back-Data'!$B$5:$AAA$10041,
       MATCH($B85,'생산수량Back-Data'!$B$5:$B$10041,0)+3,
       MATCH(AA$3,'생산수량Back-Data'!$B$3:$AAA$3,0))</f>
        <v>0</v>
      </c>
      <c r="AB86" s="328" cm="1">
        <f t="array" ref="AB86">INDEX('생산수량Back-Data'!$B$5:$AAA$10041,
       MATCH($B85,'생산수량Back-Data'!$B$5:$B$10041,0)+3,
       MATCH(AB$3,'생산수량Back-Data'!$B$3:$AAA$3,0))</f>
        <v>0</v>
      </c>
      <c r="AC86" s="328" cm="1">
        <f t="array" ref="AC86">INDEX('생산수량Back-Data'!$B$5:$AAA$10041,
       MATCH($B85,'생산수량Back-Data'!$B$5:$B$10041,0)+3,
       MATCH(AC$3,'생산수량Back-Data'!$B$3:$AAA$3,0))</f>
        <v>0</v>
      </c>
      <c r="AD86" s="328" cm="1">
        <f t="array" ref="AD86">INDEX('생산수량Back-Data'!$B$5:$AAA$10041,
       MATCH($B85,'생산수량Back-Data'!$B$5:$B$10041,0)+3,
       MATCH(AD$3,'생산수량Back-Data'!$B$3:$AAA$3,0))</f>
        <v>0</v>
      </c>
      <c r="AE86" s="328" cm="1">
        <f t="array" ref="AE86">INDEX('생산수량Back-Data'!$B$5:$AAA$10041,
       MATCH($B85,'생산수량Back-Data'!$B$5:$B$10041,0)+3,
       MATCH(AE$3,'생산수량Back-Data'!$B$3:$AAA$3,0))</f>
        <v>0</v>
      </c>
      <c r="AF86" s="328" cm="1">
        <f t="array" ref="AF86">INDEX('생산수량Back-Data'!$B$5:$AAA$10041,
       MATCH($B85,'생산수량Back-Data'!$B$5:$B$10041,0)+3,
       MATCH(AF$3,'생산수량Back-Data'!$B$3:$AAA$3,0))</f>
        <v>0</v>
      </c>
      <c r="AG86" s="328" cm="1">
        <f t="array" ref="AG86">INDEX('생산수량Back-Data'!$B$5:$AAA$10041,
       MATCH($B85,'생산수량Back-Data'!$B$5:$B$10041,0)+3,
       MATCH(AG$3,'생산수량Back-Data'!$B$3:$AAA$3,0))</f>
        <v>0</v>
      </c>
      <c r="AH86" s="328" cm="1">
        <f t="array" ref="AH86">INDEX('생산수량Back-Data'!$B$5:$AAA$10041,
       MATCH($B85,'생산수량Back-Data'!$B$5:$B$10041,0)+3,
       MATCH(AH$3,'생산수량Back-Data'!$B$3:$AAA$3,0))</f>
        <v>0</v>
      </c>
      <c r="AI86" s="328" cm="1">
        <f t="array" ref="AI86">INDEX('생산수량Back-Data'!$B$5:$AAA$10041,
       MATCH($B85,'생산수량Back-Data'!$B$5:$B$10041,0)+3,
       MATCH(AI$3,'생산수량Back-Data'!$B$3:$AAA$3,0))</f>
        <v>0</v>
      </c>
      <c r="AJ86" s="328" cm="1">
        <f t="array" ref="AJ86">INDEX('생산수량Back-Data'!$B$5:$AAA$10041,
       MATCH($B85,'생산수량Back-Data'!$B$5:$B$10041,0)+3,
       MATCH(AJ$3,'생산수량Back-Data'!$B$3:$AAA$3,0))</f>
        <v>0</v>
      </c>
      <c r="AK86" s="328" cm="1">
        <f t="array" ref="AK86">INDEX('생산수량Back-Data'!$B$5:$AAA$10041,
       MATCH($B85,'생산수량Back-Data'!$B$5:$B$10041,0)+3,
       MATCH(AK$3,'생산수량Back-Data'!$B$3:$AAA$3,0))</f>
        <v>0</v>
      </c>
      <c r="AL86" s="328" cm="1">
        <f t="array" ref="AL86">INDEX('생산수량Back-Data'!$B$5:$AAA$10041,
       MATCH($B85,'생산수량Back-Data'!$B$5:$B$10041,0)+3,
       MATCH(AL$3,'생산수량Back-Data'!$B$3:$AAA$3,0))</f>
        <v>0</v>
      </c>
      <c r="AM86" s="328" cm="1">
        <f t="array" ref="AM86">INDEX('생산수량Back-Data'!$B$5:$AAA$10041,
       MATCH($B85,'생산수량Back-Data'!$B$5:$B$10041,0)+3,
       MATCH(AM$3,'생산수량Back-Data'!$B$3:$AAA$3,0))</f>
        <v>0</v>
      </c>
      <c r="AN86" s="328" cm="1">
        <f t="array" ref="AN86">INDEX('생산수량Back-Data'!$B$5:$AAA$10041,
       MATCH($B85,'생산수량Back-Data'!$B$5:$B$10041,0)+3,
       MATCH(AN$3,'생산수량Back-Data'!$B$3:$AAA$3,0))</f>
        <v>0</v>
      </c>
      <c r="AO86" s="328" cm="1">
        <f t="array" ref="AO86">INDEX('생산수량Back-Data'!$B$5:$AAA$10041,
       MATCH($B85,'생산수량Back-Data'!$B$5:$B$10041,0)+3,
       MATCH(AO$3,'생산수량Back-Data'!$B$3:$AAA$3,0))</f>
        <v>0</v>
      </c>
      <c r="AP86" s="328" cm="1">
        <f t="array" ref="AP86">INDEX('생산수량Back-Data'!$B$5:$AAA$10041,
       MATCH($B85,'생산수량Back-Data'!$B$5:$B$10041,0)+3,
       MATCH(AP$3,'생산수량Back-Data'!$B$3:$AAA$3,0))</f>
        <v>0</v>
      </c>
      <c r="AQ86" s="328" cm="1">
        <f t="array" ref="AQ86">INDEX('생산수량Back-Data'!$B$5:$AAA$10041,
       MATCH($B85,'생산수량Back-Data'!$B$5:$B$10041,0)+3,
       MATCH(AQ$3,'생산수량Back-Data'!$B$3:$AAA$3,0))</f>
        <v>0</v>
      </c>
      <c r="AR86" s="328" cm="1">
        <f t="array" ref="AR86">INDEX('생산수량Back-Data'!$B$5:$AAA$10041,
       MATCH($B85,'생산수량Back-Data'!$B$5:$B$10041,0)+3,
       MATCH(AR$3,'생산수량Back-Data'!$B$3:$AAA$3,0))</f>
        <v>0</v>
      </c>
      <c r="AS86" s="328" cm="1">
        <f t="array" ref="AS86">INDEX('생산수량Back-Data'!$B$5:$AAA$10041,
       MATCH($B85,'생산수량Back-Data'!$B$5:$B$10041,0)+3,
       MATCH(AS$3,'생산수량Back-Data'!$B$3:$AAA$3,0))</f>
        <v>0</v>
      </c>
      <c r="AT86" s="328" cm="1">
        <f t="array" ref="AT86">INDEX('생산수량Back-Data'!$B$5:$AAA$10041,
       MATCH($B85,'생산수량Back-Data'!$B$5:$B$10041,0)+3,
       MATCH(AT$3,'생산수량Back-Data'!$B$3:$AAA$3,0))</f>
        <v>0</v>
      </c>
      <c r="AU86" s="329" cm="1">
        <f t="array" ref="AU86">INDEX('생산수량Back-Data'!$B$5:$AAA$10041,
       MATCH($B85,'생산수량Back-Data'!$B$5:$B$10041,0)+3,
       MATCH(AU$3,'생산수량Back-Data'!$B$3:$AAA$3,0))</f>
        <v>0</v>
      </c>
    </row>
    <row r="87" spans="2:47" ht="20.100000000000001" customHeight="1" x14ac:dyDescent="0.3">
      <c r="B87" s="317"/>
      <c r="C87" s="317"/>
      <c r="D87" s="317"/>
      <c r="E87" s="318"/>
      <c r="F87" s="318"/>
      <c r="G87" s="319"/>
      <c r="H87" s="319"/>
      <c r="I87" s="319"/>
      <c r="J87" s="319"/>
      <c r="K87" s="319"/>
      <c r="L87" s="318"/>
      <c r="M87" s="318"/>
      <c r="N87" s="318"/>
      <c r="P87" s="318"/>
      <c r="Q87" s="320"/>
      <c r="R87" s="320"/>
      <c r="S87" s="320"/>
      <c r="T87" s="320"/>
      <c r="U87" s="320"/>
      <c r="V87" s="320"/>
      <c r="W87" s="320"/>
      <c r="X87" s="320"/>
      <c r="Y87" s="320"/>
      <c r="Z87" s="320"/>
      <c r="AA87" s="320"/>
      <c r="AB87" s="320"/>
      <c r="AC87" s="320"/>
      <c r="AD87" s="320"/>
      <c r="AE87" s="320"/>
      <c r="AF87" s="320"/>
      <c r="AG87" s="320"/>
      <c r="AH87" s="320"/>
      <c r="AI87" s="320"/>
      <c r="AJ87" s="320"/>
      <c r="AK87" s="320"/>
      <c r="AL87" s="320"/>
      <c r="AM87" s="320"/>
      <c r="AN87" s="320"/>
      <c r="AO87" s="320"/>
      <c r="AP87" s="320"/>
      <c r="AQ87" s="320"/>
      <c r="AR87" s="320"/>
      <c r="AS87" s="320"/>
      <c r="AT87" s="320"/>
      <c r="AU87" s="320"/>
    </row>
  </sheetData>
  <autoFilter ref="B4:AU86" xr:uid="{518296E8-448F-4C6C-9930-B7046C4E944C}"/>
  <mergeCells count="574">
    <mergeCell ref="H5:H6"/>
    <mergeCell ref="J5:J6"/>
    <mergeCell ref="L5:L6"/>
    <mergeCell ref="M5:M6"/>
    <mergeCell ref="N5:N6"/>
    <mergeCell ref="O5:O6"/>
    <mergeCell ref="I5:I6"/>
    <mergeCell ref="B5:B6"/>
    <mergeCell ref="C5:C6"/>
    <mergeCell ref="D5:D6"/>
    <mergeCell ref="E5:E6"/>
    <mergeCell ref="F5:F6"/>
    <mergeCell ref="G5:G6"/>
    <mergeCell ref="K5:K6"/>
    <mergeCell ref="H7:H8"/>
    <mergeCell ref="J7:J8"/>
    <mergeCell ref="L7:L8"/>
    <mergeCell ref="M7:M8"/>
    <mergeCell ref="N7:N8"/>
    <mergeCell ref="O7:O8"/>
    <mergeCell ref="I7:I8"/>
    <mergeCell ref="B7:B8"/>
    <mergeCell ref="C7:C8"/>
    <mergeCell ref="D7:D8"/>
    <mergeCell ref="E7:E8"/>
    <mergeCell ref="F7:F8"/>
    <mergeCell ref="G7:G8"/>
    <mergeCell ref="K7:K8"/>
    <mergeCell ref="H9:H10"/>
    <mergeCell ref="J9:J10"/>
    <mergeCell ref="L9:L10"/>
    <mergeCell ref="M9:M10"/>
    <mergeCell ref="N9:N10"/>
    <mergeCell ref="O9:O10"/>
    <mergeCell ref="I9:I10"/>
    <mergeCell ref="B9:B10"/>
    <mergeCell ref="C9:C10"/>
    <mergeCell ref="D9:D10"/>
    <mergeCell ref="E9:E10"/>
    <mergeCell ref="F9:F10"/>
    <mergeCell ref="G9:G10"/>
    <mergeCell ref="K9:K10"/>
    <mergeCell ref="H11:H12"/>
    <mergeCell ref="J11:J12"/>
    <mergeCell ref="L11:L12"/>
    <mergeCell ref="M11:M12"/>
    <mergeCell ref="N11:N12"/>
    <mergeCell ref="O11:O12"/>
    <mergeCell ref="I11:I12"/>
    <mergeCell ref="B11:B12"/>
    <mergeCell ref="C11:C12"/>
    <mergeCell ref="D11:D12"/>
    <mergeCell ref="E11:E12"/>
    <mergeCell ref="F11:F12"/>
    <mergeCell ref="G11:G12"/>
    <mergeCell ref="K11:K12"/>
    <mergeCell ref="H13:H14"/>
    <mergeCell ref="J13:J14"/>
    <mergeCell ref="L13:L14"/>
    <mergeCell ref="M13:M14"/>
    <mergeCell ref="N13:N14"/>
    <mergeCell ref="O13:O14"/>
    <mergeCell ref="I13:I14"/>
    <mergeCell ref="B13:B14"/>
    <mergeCell ref="C13:C14"/>
    <mergeCell ref="D13:D14"/>
    <mergeCell ref="E13:E14"/>
    <mergeCell ref="F13:F14"/>
    <mergeCell ref="G13:G14"/>
    <mergeCell ref="K13:K14"/>
    <mergeCell ref="H15:H16"/>
    <mergeCell ref="J15:J16"/>
    <mergeCell ref="L15:L16"/>
    <mergeCell ref="M15:M16"/>
    <mergeCell ref="N15:N16"/>
    <mergeCell ref="O15:O16"/>
    <mergeCell ref="I15:I16"/>
    <mergeCell ref="B15:B16"/>
    <mergeCell ref="C15:C16"/>
    <mergeCell ref="D15:D16"/>
    <mergeCell ref="E15:E16"/>
    <mergeCell ref="F15:F16"/>
    <mergeCell ref="G15:G16"/>
    <mergeCell ref="K15:K16"/>
    <mergeCell ref="H17:H18"/>
    <mergeCell ref="J17:J18"/>
    <mergeCell ref="L17:L18"/>
    <mergeCell ref="M17:M18"/>
    <mergeCell ref="N17:N18"/>
    <mergeCell ref="O17:O18"/>
    <mergeCell ref="I17:I18"/>
    <mergeCell ref="B17:B18"/>
    <mergeCell ref="C17:C18"/>
    <mergeCell ref="D17:D18"/>
    <mergeCell ref="E17:E18"/>
    <mergeCell ref="F17:F18"/>
    <mergeCell ref="G17:G18"/>
    <mergeCell ref="K17:K18"/>
    <mergeCell ref="H19:H20"/>
    <mergeCell ref="J19:J20"/>
    <mergeCell ref="L19:L20"/>
    <mergeCell ref="M19:M20"/>
    <mergeCell ref="N19:N20"/>
    <mergeCell ref="O19:O20"/>
    <mergeCell ref="I19:I20"/>
    <mergeCell ref="B19:B20"/>
    <mergeCell ref="C19:C20"/>
    <mergeCell ref="D19:D20"/>
    <mergeCell ref="E19:E20"/>
    <mergeCell ref="F19:F20"/>
    <mergeCell ref="G19:G20"/>
    <mergeCell ref="K19:K20"/>
    <mergeCell ref="H21:H22"/>
    <mergeCell ref="J21:J22"/>
    <mergeCell ref="L21:L22"/>
    <mergeCell ref="M21:M22"/>
    <mergeCell ref="N21:N22"/>
    <mergeCell ref="O21:O22"/>
    <mergeCell ref="I21:I22"/>
    <mergeCell ref="B21:B22"/>
    <mergeCell ref="C21:C22"/>
    <mergeCell ref="D21:D22"/>
    <mergeCell ref="E21:E22"/>
    <mergeCell ref="F21:F22"/>
    <mergeCell ref="G21:G22"/>
    <mergeCell ref="K21:K22"/>
    <mergeCell ref="H23:H24"/>
    <mergeCell ref="J23:J24"/>
    <mergeCell ref="L23:L24"/>
    <mergeCell ref="M23:M24"/>
    <mergeCell ref="N23:N24"/>
    <mergeCell ref="O23:O24"/>
    <mergeCell ref="I23:I24"/>
    <mergeCell ref="B23:B24"/>
    <mergeCell ref="C23:C24"/>
    <mergeCell ref="D23:D24"/>
    <mergeCell ref="E23:E24"/>
    <mergeCell ref="F23:F24"/>
    <mergeCell ref="G23:G24"/>
    <mergeCell ref="K23:K24"/>
    <mergeCell ref="H25:H26"/>
    <mergeCell ref="J25:J26"/>
    <mergeCell ref="L25:L26"/>
    <mergeCell ref="M25:M26"/>
    <mergeCell ref="N25:N26"/>
    <mergeCell ref="O25:O26"/>
    <mergeCell ref="I25:I26"/>
    <mergeCell ref="B25:B26"/>
    <mergeCell ref="C25:C26"/>
    <mergeCell ref="D25:D26"/>
    <mergeCell ref="E25:E26"/>
    <mergeCell ref="F25:F26"/>
    <mergeCell ref="G25:G26"/>
    <mergeCell ref="K25:K26"/>
    <mergeCell ref="H27:H28"/>
    <mergeCell ref="J27:J28"/>
    <mergeCell ref="L27:L28"/>
    <mergeCell ref="M27:M28"/>
    <mergeCell ref="N27:N28"/>
    <mergeCell ref="O27:O28"/>
    <mergeCell ref="I27:I28"/>
    <mergeCell ref="B27:B28"/>
    <mergeCell ref="C27:C28"/>
    <mergeCell ref="D27:D28"/>
    <mergeCell ref="E27:E28"/>
    <mergeCell ref="F27:F28"/>
    <mergeCell ref="G27:G28"/>
    <mergeCell ref="K27:K28"/>
    <mergeCell ref="H29:H30"/>
    <mergeCell ref="J29:J30"/>
    <mergeCell ref="L29:L30"/>
    <mergeCell ref="M29:M30"/>
    <mergeCell ref="N29:N30"/>
    <mergeCell ref="O29:O30"/>
    <mergeCell ref="I29:I30"/>
    <mergeCell ref="B29:B30"/>
    <mergeCell ref="C29:C30"/>
    <mergeCell ref="D29:D30"/>
    <mergeCell ref="E29:E30"/>
    <mergeCell ref="F29:F30"/>
    <mergeCell ref="G29:G30"/>
    <mergeCell ref="K29:K30"/>
    <mergeCell ref="H31:H32"/>
    <mergeCell ref="J31:J32"/>
    <mergeCell ref="L31:L32"/>
    <mergeCell ref="M31:M32"/>
    <mergeCell ref="N31:N32"/>
    <mergeCell ref="O31:O32"/>
    <mergeCell ref="I31:I32"/>
    <mergeCell ref="B31:B32"/>
    <mergeCell ref="C31:C32"/>
    <mergeCell ref="D31:D32"/>
    <mergeCell ref="E31:E32"/>
    <mergeCell ref="F31:F32"/>
    <mergeCell ref="G31:G32"/>
    <mergeCell ref="K31:K32"/>
    <mergeCell ref="H33:H34"/>
    <mergeCell ref="J33:J34"/>
    <mergeCell ref="L33:L34"/>
    <mergeCell ref="M33:M34"/>
    <mergeCell ref="N33:N34"/>
    <mergeCell ref="O33:O34"/>
    <mergeCell ref="I33:I34"/>
    <mergeCell ref="B33:B34"/>
    <mergeCell ref="C33:C34"/>
    <mergeCell ref="D33:D34"/>
    <mergeCell ref="E33:E34"/>
    <mergeCell ref="F33:F34"/>
    <mergeCell ref="G33:G34"/>
    <mergeCell ref="K33:K34"/>
    <mergeCell ref="H35:H36"/>
    <mergeCell ref="J35:J36"/>
    <mergeCell ref="L35:L36"/>
    <mergeCell ref="M35:M36"/>
    <mergeCell ref="N35:N36"/>
    <mergeCell ref="O35:O36"/>
    <mergeCell ref="I35:I36"/>
    <mergeCell ref="B35:B36"/>
    <mergeCell ref="C35:C36"/>
    <mergeCell ref="D35:D36"/>
    <mergeCell ref="E35:E36"/>
    <mergeCell ref="F35:F36"/>
    <mergeCell ref="G35:G36"/>
    <mergeCell ref="K35:K36"/>
    <mergeCell ref="H37:H38"/>
    <mergeCell ref="J37:J38"/>
    <mergeCell ref="L37:L38"/>
    <mergeCell ref="M37:M38"/>
    <mergeCell ref="N37:N38"/>
    <mergeCell ref="O37:O38"/>
    <mergeCell ref="I37:I38"/>
    <mergeCell ref="B37:B38"/>
    <mergeCell ref="C37:C38"/>
    <mergeCell ref="D37:D38"/>
    <mergeCell ref="E37:E38"/>
    <mergeCell ref="F37:F38"/>
    <mergeCell ref="G37:G38"/>
    <mergeCell ref="K37:K38"/>
    <mergeCell ref="H39:H40"/>
    <mergeCell ref="J39:J40"/>
    <mergeCell ref="L39:L40"/>
    <mergeCell ref="M39:M40"/>
    <mergeCell ref="N39:N40"/>
    <mergeCell ref="O39:O40"/>
    <mergeCell ref="I39:I40"/>
    <mergeCell ref="B39:B40"/>
    <mergeCell ref="C39:C40"/>
    <mergeCell ref="D39:D40"/>
    <mergeCell ref="E39:E40"/>
    <mergeCell ref="F39:F40"/>
    <mergeCell ref="G39:G40"/>
    <mergeCell ref="K39:K40"/>
    <mergeCell ref="H41:H42"/>
    <mergeCell ref="J41:J42"/>
    <mergeCell ref="L41:L42"/>
    <mergeCell ref="M41:M42"/>
    <mergeCell ref="N41:N42"/>
    <mergeCell ref="O41:O42"/>
    <mergeCell ref="I41:I42"/>
    <mergeCell ref="B41:B42"/>
    <mergeCell ref="C41:C42"/>
    <mergeCell ref="D41:D42"/>
    <mergeCell ref="E41:E42"/>
    <mergeCell ref="F41:F42"/>
    <mergeCell ref="G41:G42"/>
    <mergeCell ref="K41:K42"/>
    <mergeCell ref="H43:H44"/>
    <mergeCell ref="J43:J44"/>
    <mergeCell ref="L43:L44"/>
    <mergeCell ref="M43:M44"/>
    <mergeCell ref="N43:N44"/>
    <mergeCell ref="O43:O44"/>
    <mergeCell ref="I43:I44"/>
    <mergeCell ref="B43:B44"/>
    <mergeCell ref="C43:C44"/>
    <mergeCell ref="D43:D44"/>
    <mergeCell ref="E43:E44"/>
    <mergeCell ref="F43:F44"/>
    <mergeCell ref="G43:G44"/>
    <mergeCell ref="K43:K44"/>
    <mergeCell ref="H45:H46"/>
    <mergeCell ref="J45:J46"/>
    <mergeCell ref="L45:L46"/>
    <mergeCell ref="M45:M46"/>
    <mergeCell ref="N45:N46"/>
    <mergeCell ref="O45:O46"/>
    <mergeCell ref="I45:I46"/>
    <mergeCell ref="B45:B46"/>
    <mergeCell ref="C45:C46"/>
    <mergeCell ref="D45:D46"/>
    <mergeCell ref="E45:E46"/>
    <mergeCell ref="F45:F46"/>
    <mergeCell ref="G45:G46"/>
    <mergeCell ref="K45:K46"/>
    <mergeCell ref="H47:H48"/>
    <mergeCell ref="J47:J48"/>
    <mergeCell ref="L47:L48"/>
    <mergeCell ref="M47:M48"/>
    <mergeCell ref="N47:N48"/>
    <mergeCell ref="O47:O48"/>
    <mergeCell ref="I47:I48"/>
    <mergeCell ref="B47:B48"/>
    <mergeCell ref="C47:C48"/>
    <mergeCell ref="D47:D48"/>
    <mergeCell ref="E47:E48"/>
    <mergeCell ref="F47:F48"/>
    <mergeCell ref="G47:G48"/>
    <mergeCell ref="K47:K48"/>
    <mergeCell ref="H49:H50"/>
    <mergeCell ref="J49:J50"/>
    <mergeCell ref="L49:L50"/>
    <mergeCell ref="M49:M50"/>
    <mergeCell ref="N49:N50"/>
    <mergeCell ref="O49:O50"/>
    <mergeCell ref="I49:I50"/>
    <mergeCell ref="B49:B50"/>
    <mergeCell ref="C49:C50"/>
    <mergeCell ref="D49:D50"/>
    <mergeCell ref="E49:E50"/>
    <mergeCell ref="F49:F50"/>
    <mergeCell ref="G49:G50"/>
    <mergeCell ref="K49:K50"/>
    <mergeCell ref="H51:H52"/>
    <mergeCell ref="J51:J52"/>
    <mergeCell ref="L51:L52"/>
    <mergeCell ref="M51:M52"/>
    <mergeCell ref="N51:N52"/>
    <mergeCell ref="O51:O52"/>
    <mergeCell ref="I51:I52"/>
    <mergeCell ref="B51:B52"/>
    <mergeCell ref="C51:C52"/>
    <mergeCell ref="D51:D52"/>
    <mergeCell ref="E51:E52"/>
    <mergeCell ref="F51:F52"/>
    <mergeCell ref="G51:G52"/>
    <mergeCell ref="K51:K52"/>
    <mergeCell ref="H53:H54"/>
    <mergeCell ref="J53:J54"/>
    <mergeCell ref="L53:L54"/>
    <mergeCell ref="M53:M54"/>
    <mergeCell ref="N53:N54"/>
    <mergeCell ref="O53:O54"/>
    <mergeCell ref="I53:I54"/>
    <mergeCell ref="B53:B54"/>
    <mergeCell ref="C53:C54"/>
    <mergeCell ref="D53:D54"/>
    <mergeCell ref="E53:E54"/>
    <mergeCell ref="F53:F54"/>
    <mergeCell ref="G53:G54"/>
    <mergeCell ref="K53:K54"/>
    <mergeCell ref="H55:H56"/>
    <mergeCell ref="J55:J56"/>
    <mergeCell ref="L55:L56"/>
    <mergeCell ref="M55:M56"/>
    <mergeCell ref="N55:N56"/>
    <mergeCell ref="O55:O56"/>
    <mergeCell ref="I55:I56"/>
    <mergeCell ref="B55:B56"/>
    <mergeCell ref="C55:C56"/>
    <mergeCell ref="D55:D56"/>
    <mergeCell ref="E55:E56"/>
    <mergeCell ref="F55:F56"/>
    <mergeCell ref="G55:G56"/>
    <mergeCell ref="K55:K56"/>
    <mergeCell ref="H57:H58"/>
    <mergeCell ref="J57:J58"/>
    <mergeCell ref="L57:L58"/>
    <mergeCell ref="M57:M58"/>
    <mergeCell ref="N57:N58"/>
    <mergeCell ref="O57:O58"/>
    <mergeCell ref="I57:I58"/>
    <mergeCell ref="B57:B58"/>
    <mergeCell ref="C57:C58"/>
    <mergeCell ref="D57:D58"/>
    <mergeCell ref="E57:E58"/>
    <mergeCell ref="F57:F58"/>
    <mergeCell ref="G57:G58"/>
    <mergeCell ref="K57:K58"/>
    <mergeCell ref="H59:H60"/>
    <mergeCell ref="J59:J60"/>
    <mergeCell ref="L59:L60"/>
    <mergeCell ref="M59:M60"/>
    <mergeCell ref="N59:N60"/>
    <mergeCell ref="O59:O60"/>
    <mergeCell ref="I59:I60"/>
    <mergeCell ref="B59:B60"/>
    <mergeCell ref="C59:C60"/>
    <mergeCell ref="D59:D60"/>
    <mergeCell ref="E59:E60"/>
    <mergeCell ref="F59:F60"/>
    <mergeCell ref="G59:G60"/>
    <mergeCell ref="K59:K60"/>
    <mergeCell ref="H61:H62"/>
    <mergeCell ref="J61:J62"/>
    <mergeCell ref="L61:L62"/>
    <mergeCell ref="M61:M62"/>
    <mergeCell ref="N61:N62"/>
    <mergeCell ref="O61:O62"/>
    <mergeCell ref="I61:I62"/>
    <mergeCell ref="B61:B62"/>
    <mergeCell ref="C61:C62"/>
    <mergeCell ref="D61:D62"/>
    <mergeCell ref="E61:E62"/>
    <mergeCell ref="F61:F62"/>
    <mergeCell ref="G61:G62"/>
    <mergeCell ref="K61:K62"/>
    <mergeCell ref="H63:H64"/>
    <mergeCell ref="J63:J64"/>
    <mergeCell ref="L63:L64"/>
    <mergeCell ref="M63:M64"/>
    <mergeCell ref="N63:N64"/>
    <mergeCell ref="O63:O64"/>
    <mergeCell ref="I63:I64"/>
    <mergeCell ref="B63:B64"/>
    <mergeCell ref="C63:C64"/>
    <mergeCell ref="D63:D64"/>
    <mergeCell ref="E63:E64"/>
    <mergeCell ref="F63:F64"/>
    <mergeCell ref="G63:G64"/>
    <mergeCell ref="K63:K64"/>
    <mergeCell ref="H65:H66"/>
    <mergeCell ref="J65:J66"/>
    <mergeCell ref="L65:L66"/>
    <mergeCell ref="M65:M66"/>
    <mergeCell ref="N65:N66"/>
    <mergeCell ref="O65:O66"/>
    <mergeCell ref="I65:I66"/>
    <mergeCell ref="B65:B66"/>
    <mergeCell ref="C65:C66"/>
    <mergeCell ref="D65:D66"/>
    <mergeCell ref="E65:E66"/>
    <mergeCell ref="F65:F66"/>
    <mergeCell ref="G65:G66"/>
    <mergeCell ref="K65:K66"/>
    <mergeCell ref="H67:H68"/>
    <mergeCell ref="J67:J68"/>
    <mergeCell ref="L67:L68"/>
    <mergeCell ref="M67:M68"/>
    <mergeCell ref="N67:N68"/>
    <mergeCell ref="O67:O68"/>
    <mergeCell ref="I67:I68"/>
    <mergeCell ref="B67:B68"/>
    <mergeCell ref="C67:C68"/>
    <mergeCell ref="D67:D68"/>
    <mergeCell ref="E67:E68"/>
    <mergeCell ref="F67:F68"/>
    <mergeCell ref="G67:G68"/>
    <mergeCell ref="K67:K68"/>
    <mergeCell ref="H69:H70"/>
    <mergeCell ref="J69:J70"/>
    <mergeCell ref="L69:L70"/>
    <mergeCell ref="M69:M70"/>
    <mergeCell ref="N69:N70"/>
    <mergeCell ref="O69:O70"/>
    <mergeCell ref="I69:I70"/>
    <mergeCell ref="B69:B70"/>
    <mergeCell ref="C69:C70"/>
    <mergeCell ref="D69:D70"/>
    <mergeCell ref="E69:E70"/>
    <mergeCell ref="F69:F70"/>
    <mergeCell ref="G69:G70"/>
    <mergeCell ref="K69:K70"/>
    <mergeCell ref="H71:H72"/>
    <mergeCell ref="J71:J72"/>
    <mergeCell ref="L71:L72"/>
    <mergeCell ref="M71:M72"/>
    <mergeCell ref="N71:N72"/>
    <mergeCell ref="O71:O72"/>
    <mergeCell ref="I71:I72"/>
    <mergeCell ref="B71:B72"/>
    <mergeCell ref="C71:C72"/>
    <mergeCell ref="D71:D72"/>
    <mergeCell ref="E71:E72"/>
    <mergeCell ref="F71:F72"/>
    <mergeCell ref="G71:G72"/>
    <mergeCell ref="K71:K72"/>
    <mergeCell ref="H73:H74"/>
    <mergeCell ref="J73:J74"/>
    <mergeCell ref="L73:L74"/>
    <mergeCell ref="M73:M74"/>
    <mergeCell ref="N73:N74"/>
    <mergeCell ref="O73:O74"/>
    <mergeCell ref="I73:I74"/>
    <mergeCell ref="B73:B74"/>
    <mergeCell ref="C73:C74"/>
    <mergeCell ref="D73:D74"/>
    <mergeCell ref="E73:E74"/>
    <mergeCell ref="F73:F74"/>
    <mergeCell ref="G73:G74"/>
    <mergeCell ref="K73:K74"/>
    <mergeCell ref="H75:H76"/>
    <mergeCell ref="J75:J76"/>
    <mergeCell ref="L75:L76"/>
    <mergeCell ref="M75:M76"/>
    <mergeCell ref="N75:N76"/>
    <mergeCell ref="O75:O76"/>
    <mergeCell ref="I75:I76"/>
    <mergeCell ref="B75:B76"/>
    <mergeCell ref="C75:C76"/>
    <mergeCell ref="D75:D76"/>
    <mergeCell ref="E75:E76"/>
    <mergeCell ref="F75:F76"/>
    <mergeCell ref="G75:G76"/>
    <mergeCell ref="K75:K76"/>
    <mergeCell ref="H77:H78"/>
    <mergeCell ref="J77:J78"/>
    <mergeCell ref="L77:L78"/>
    <mergeCell ref="M77:M78"/>
    <mergeCell ref="N77:N78"/>
    <mergeCell ref="O77:O78"/>
    <mergeCell ref="I77:I78"/>
    <mergeCell ref="B77:B78"/>
    <mergeCell ref="C77:C78"/>
    <mergeCell ref="D77:D78"/>
    <mergeCell ref="E77:E78"/>
    <mergeCell ref="F77:F78"/>
    <mergeCell ref="G77:G78"/>
    <mergeCell ref="K77:K78"/>
    <mergeCell ref="H79:H80"/>
    <mergeCell ref="J79:J80"/>
    <mergeCell ref="L79:L80"/>
    <mergeCell ref="M79:M80"/>
    <mergeCell ref="N79:N80"/>
    <mergeCell ref="O79:O80"/>
    <mergeCell ref="I79:I80"/>
    <mergeCell ref="B79:B80"/>
    <mergeCell ref="C79:C80"/>
    <mergeCell ref="D79:D80"/>
    <mergeCell ref="E79:E80"/>
    <mergeCell ref="F79:F80"/>
    <mergeCell ref="G79:G80"/>
    <mergeCell ref="K79:K80"/>
    <mergeCell ref="H81:H82"/>
    <mergeCell ref="J81:J82"/>
    <mergeCell ref="L81:L82"/>
    <mergeCell ref="M81:M82"/>
    <mergeCell ref="N81:N82"/>
    <mergeCell ref="O81:O82"/>
    <mergeCell ref="I81:I82"/>
    <mergeCell ref="B81:B82"/>
    <mergeCell ref="C81:C82"/>
    <mergeCell ref="D81:D82"/>
    <mergeCell ref="E81:E82"/>
    <mergeCell ref="F81:F82"/>
    <mergeCell ref="G81:G82"/>
    <mergeCell ref="K81:K82"/>
    <mergeCell ref="H83:H84"/>
    <mergeCell ref="J83:J84"/>
    <mergeCell ref="L83:L84"/>
    <mergeCell ref="M83:M84"/>
    <mergeCell ref="N83:N84"/>
    <mergeCell ref="O83:O84"/>
    <mergeCell ref="I83:I84"/>
    <mergeCell ref="B83:B84"/>
    <mergeCell ref="C83:C84"/>
    <mergeCell ref="D83:D84"/>
    <mergeCell ref="E83:E84"/>
    <mergeCell ref="F83:F84"/>
    <mergeCell ref="G83:G84"/>
    <mergeCell ref="K83:K84"/>
    <mergeCell ref="H85:H86"/>
    <mergeCell ref="J85:J86"/>
    <mergeCell ref="L85:L86"/>
    <mergeCell ref="M85:M86"/>
    <mergeCell ref="N85:N86"/>
    <mergeCell ref="O85:O86"/>
    <mergeCell ref="I85:I86"/>
    <mergeCell ref="B85:B86"/>
    <mergeCell ref="C85:C86"/>
    <mergeCell ref="D85:D86"/>
    <mergeCell ref="E85:E86"/>
    <mergeCell ref="F85:F86"/>
    <mergeCell ref="G85:G86"/>
    <mergeCell ref="K85:K86"/>
  </mergeCells>
  <phoneticPr fontId="2" type="noConversion"/>
  <conditionalFormatting sqref="B87:B1048576 B85 B1:B5 B7 B9 B11 B13 B15 B17 B19 B21 B23 B25 B27 B29 B31 B33 B35 B37 B39 B41 B43 B45 B47 B49 B51 B53 B55 B57 B59 B61 B63 B65 B67 B69 B71 B73 B75 B77 B79 B81 B83">
    <cfRule type="duplicateValues" dxfId="30" priority="28"/>
  </conditionalFormatting>
  <conditionalFormatting sqref="C2">
    <cfRule type="duplicateValues" dxfId="29" priority="26"/>
  </conditionalFormatting>
  <conditionalFormatting sqref="F1:F1048576">
    <cfRule type="cellIs" dxfId="28" priority="1" operator="lessThan">
      <formula>0</formula>
    </cfRule>
  </conditionalFormatting>
  <conditionalFormatting sqref="F4:F5">
    <cfRule type="cellIs" dxfId="27" priority="21" operator="lessThan">
      <formula>0</formula>
    </cfRule>
  </conditionalFormatting>
  <conditionalFormatting sqref="F7">
    <cfRule type="cellIs" dxfId="26" priority="20" operator="lessThan">
      <formula>0</formula>
    </cfRule>
  </conditionalFormatting>
  <conditionalFormatting sqref="F9">
    <cfRule type="cellIs" dxfId="25" priority="19" operator="lessThan">
      <formula>0</formula>
    </cfRule>
  </conditionalFormatting>
  <conditionalFormatting sqref="F11">
    <cfRule type="cellIs" dxfId="24" priority="18" operator="lessThan">
      <formula>0</formula>
    </cfRule>
  </conditionalFormatting>
  <conditionalFormatting sqref="F13">
    <cfRule type="cellIs" dxfId="23" priority="17" operator="lessThan">
      <formula>0</formula>
    </cfRule>
  </conditionalFormatting>
  <conditionalFormatting sqref="F15">
    <cfRule type="cellIs" dxfId="22" priority="16" operator="lessThan">
      <formula>0</formula>
    </cfRule>
  </conditionalFormatting>
  <conditionalFormatting sqref="F17">
    <cfRule type="cellIs" dxfId="21" priority="15" operator="lessThan">
      <formula>0</formula>
    </cfRule>
  </conditionalFormatting>
  <conditionalFormatting sqref="F19">
    <cfRule type="cellIs" dxfId="20" priority="14" operator="lessThan">
      <formula>0</formula>
    </cfRule>
  </conditionalFormatting>
  <conditionalFormatting sqref="F21">
    <cfRule type="cellIs" dxfId="19" priority="13" operator="lessThan">
      <formula>0</formula>
    </cfRule>
  </conditionalFormatting>
  <conditionalFormatting sqref="F23">
    <cfRule type="cellIs" dxfId="18" priority="12" operator="lessThan">
      <formula>0</formula>
    </cfRule>
  </conditionalFormatting>
  <conditionalFormatting sqref="F25">
    <cfRule type="cellIs" dxfId="17" priority="11" operator="lessThan">
      <formula>0</formula>
    </cfRule>
  </conditionalFormatting>
  <conditionalFormatting sqref="F27">
    <cfRule type="cellIs" dxfId="16" priority="10" operator="lessThan">
      <formula>0</formula>
    </cfRule>
  </conditionalFormatting>
  <conditionalFormatting sqref="F29">
    <cfRule type="cellIs" dxfId="15" priority="9" operator="lessThan">
      <formula>0</formula>
    </cfRule>
  </conditionalFormatting>
  <conditionalFormatting sqref="F31">
    <cfRule type="cellIs" dxfId="14" priority="8" operator="lessThan">
      <formula>0</formula>
    </cfRule>
  </conditionalFormatting>
  <conditionalFormatting sqref="F33">
    <cfRule type="cellIs" dxfId="13" priority="7" operator="lessThan">
      <formula>0</formula>
    </cfRule>
  </conditionalFormatting>
  <conditionalFormatting sqref="F35">
    <cfRule type="cellIs" dxfId="12" priority="6" operator="lessThan">
      <formula>0</formula>
    </cfRule>
  </conditionalFormatting>
  <conditionalFormatting sqref="F37">
    <cfRule type="cellIs" dxfId="11" priority="5" operator="lessThan">
      <formula>0</formula>
    </cfRule>
  </conditionalFormatting>
  <conditionalFormatting sqref="F39">
    <cfRule type="cellIs" dxfId="10" priority="4" operator="lessThan">
      <formula>0</formula>
    </cfRule>
  </conditionalFormatting>
  <conditionalFormatting sqref="F41">
    <cfRule type="cellIs" dxfId="9" priority="3" operator="lessThan">
      <formula>0</formula>
    </cfRule>
  </conditionalFormatting>
  <conditionalFormatting sqref="F43">
    <cfRule type="cellIs" dxfId="8" priority="2" operator="lessThan">
      <formula>0</formula>
    </cfRule>
  </conditionalFormatting>
  <conditionalFormatting sqref="J1:K5 J7:K7 J9:K9 J11:K11 J13:K13 J15:K15 J17:K17 J19:K19 J21:K21 J23:K23 J25:K25 J27:K27 J29:K29 J31:K31 J33:K33 J35:K35 J37:K37 J39:K39 J41:K41 J43:K43 J45:K45 J47:K47 J49:K49 J51:K51 J53:K53 J55:K55 J57:K57 J59:K59 J61:K61 J63:K63 J65:K65 J67:K67 J69:K69 J71:K71 J73:K73 J75:K75 J77:K77 J79:K79 J81:K81 J83:K83 J85:K85 J87:K1048576">
    <cfRule type="cellIs" dxfId="7" priority="25" operator="lessThan">
      <formula>0</formula>
    </cfRule>
  </conditionalFormatting>
  <conditionalFormatting sqref="N1:N5 N7 N9 N11 N13 N15 N17 N19 N21 N23 N25 N27 N29 N31 N33 N35 N37 N39 N41 N43 N45 N87:N1048576 N47 N49 N51 N53 N55 N57 N59 N61 N63 N65 N67 N69 N71 N73 N75 N77 N79 N81 N83 N85">
    <cfRule type="top10" dxfId="6" priority="27" rank="3"/>
  </conditionalFormatting>
  <conditionalFormatting sqref="Q4:AU4">
    <cfRule type="expression" dxfId="5" priority="23">
      <formula>WEEKDAY(Q4)=7</formula>
    </cfRule>
    <cfRule type="expression" dxfId="4" priority="24">
      <formula>WEEKDAY(Q4)=1</formula>
    </cfRule>
  </conditionalFormatting>
  <pageMargins left="0.75" right="0.75" top="1" bottom="1" header="0.5" footer="0.5"/>
  <pageSetup paperSize="8" scale="40"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7D981-9D11-42EC-B3E3-2CF6F81B7FD1}">
  <sheetPr>
    <tabColor rgb="FFFFFF00"/>
    <pageSetUpPr fitToPage="1"/>
  </sheetPr>
  <dimension ref="B1:AO214"/>
  <sheetViews>
    <sheetView showGridLines="0" zoomScale="70" zoomScaleNormal="70" workbookViewId="0">
      <pane xSplit="2" topLeftCell="C1" activePane="topRight" state="frozen"/>
      <selection pane="topRight" activeCell="H4" sqref="H4"/>
    </sheetView>
  </sheetViews>
  <sheetFormatPr defaultRowHeight="16.5" x14ac:dyDescent="0.3"/>
  <cols>
    <col min="1" max="1" width="1.625" style="251" customWidth="1"/>
    <col min="2" max="2" width="14" style="251" bestFit="1" customWidth="1"/>
    <col min="3" max="3" width="16.875" style="251" bestFit="1" customWidth="1"/>
    <col min="4" max="9" width="19.625" style="251" customWidth="1"/>
    <col min="10" max="10" width="19.625" style="252" customWidth="1"/>
    <col min="11" max="33" width="9" style="251" customWidth="1"/>
    <col min="34" max="16384" width="9" style="251"/>
  </cols>
  <sheetData>
    <row r="1" spans="2:41" ht="11.25" customHeight="1" x14ac:dyDescent="0.3"/>
    <row r="2" spans="2:41" ht="29.25" customHeight="1" x14ac:dyDescent="0.3">
      <c r="B2" s="287" t="s">
        <v>178</v>
      </c>
      <c r="C2" s="288">
        <v>46143</v>
      </c>
      <c r="D2" s="289" t="s">
        <v>179</v>
      </c>
      <c r="E2" s="290">
        <v>46108</v>
      </c>
      <c r="F2" s="346">
        <v>0.48472222222222222</v>
      </c>
      <c r="G2" s="347"/>
      <c r="H2" s="283"/>
      <c r="I2" s="283"/>
      <c r="J2" s="283"/>
    </row>
    <row r="3" spans="2:41" ht="28.5" customHeight="1" x14ac:dyDescent="0.3">
      <c r="B3" s="256" t="s">
        <v>274</v>
      </c>
      <c r="C3" s="256"/>
      <c r="D3" s="256"/>
      <c r="E3" s="256"/>
      <c r="F3" s="256"/>
      <c r="G3" s="256"/>
      <c r="H3" s="256"/>
      <c r="I3" s="256"/>
      <c r="J3" s="256"/>
      <c r="K3" s="274">
        <f>C2</f>
        <v>46143</v>
      </c>
      <c r="L3" s="271">
        <f t="shared" ref="L3:AO3" si="0">K3+1</f>
        <v>46144</v>
      </c>
      <c r="M3" s="271">
        <f t="shared" si="0"/>
        <v>46145</v>
      </c>
      <c r="N3" s="271">
        <f t="shared" si="0"/>
        <v>46146</v>
      </c>
      <c r="O3" s="271">
        <f t="shared" si="0"/>
        <v>46147</v>
      </c>
      <c r="P3" s="271">
        <f t="shared" si="0"/>
        <v>46148</v>
      </c>
      <c r="Q3" s="271">
        <f t="shared" si="0"/>
        <v>46149</v>
      </c>
      <c r="R3" s="271">
        <f t="shared" si="0"/>
        <v>46150</v>
      </c>
      <c r="S3" s="271">
        <f t="shared" si="0"/>
        <v>46151</v>
      </c>
      <c r="T3" s="271">
        <f t="shared" si="0"/>
        <v>46152</v>
      </c>
      <c r="U3" s="271">
        <f t="shared" si="0"/>
        <v>46153</v>
      </c>
      <c r="V3" s="271">
        <f t="shared" si="0"/>
        <v>46154</v>
      </c>
      <c r="W3" s="271">
        <f t="shared" si="0"/>
        <v>46155</v>
      </c>
      <c r="X3" s="271">
        <f t="shared" si="0"/>
        <v>46156</v>
      </c>
      <c r="Y3" s="271">
        <f t="shared" si="0"/>
        <v>46157</v>
      </c>
      <c r="Z3" s="271">
        <f t="shared" si="0"/>
        <v>46158</v>
      </c>
      <c r="AA3" s="271">
        <f t="shared" si="0"/>
        <v>46159</v>
      </c>
      <c r="AB3" s="271">
        <f t="shared" si="0"/>
        <v>46160</v>
      </c>
      <c r="AC3" s="271">
        <f t="shared" si="0"/>
        <v>46161</v>
      </c>
      <c r="AD3" s="271">
        <f t="shared" si="0"/>
        <v>46162</v>
      </c>
      <c r="AE3" s="271">
        <f t="shared" si="0"/>
        <v>46163</v>
      </c>
      <c r="AF3" s="271">
        <f t="shared" si="0"/>
        <v>46164</v>
      </c>
      <c r="AG3" s="271">
        <f t="shared" si="0"/>
        <v>46165</v>
      </c>
      <c r="AH3" s="271">
        <f t="shared" si="0"/>
        <v>46166</v>
      </c>
      <c r="AI3" s="271">
        <f t="shared" si="0"/>
        <v>46167</v>
      </c>
      <c r="AJ3" s="271">
        <f t="shared" si="0"/>
        <v>46168</v>
      </c>
      <c r="AK3" s="271">
        <f t="shared" si="0"/>
        <v>46169</v>
      </c>
      <c r="AL3" s="271">
        <f t="shared" si="0"/>
        <v>46170</v>
      </c>
      <c r="AM3" s="271">
        <f t="shared" si="0"/>
        <v>46171</v>
      </c>
      <c r="AN3" s="271">
        <f t="shared" si="0"/>
        <v>46172</v>
      </c>
      <c r="AO3" s="271">
        <f t="shared" si="0"/>
        <v>46173</v>
      </c>
    </row>
    <row r="4" spans="2:41" ht="33" customHeight="1" x14ac:dyDescent="0.3">
      <c r="B4" s="255" t="s">
        <v>173</v>
      </c>
      <c r="C4" s="255" t="s">
        <v>181</v>
      </c>
      <c r="D4" s="255" t="s">
        <v>182</v>
      </c>
      <c r="E4" s="255" t="s">
        <v>275</v>
      </c>
      <c r="F4" s="255" t="s">
        <v>327</v>
      </c>
      <c r="G4" s="255" t="s">
        <v>328</v>
      </c>
      <c r="H4" s="255" t="s">
        <v>276</v>
      </c>
      <c r="I4" s="255" t="s">
        <v>277</v>
      </c>
      <c r="J4" s="255" t="s">
        <v>79</v>
      </c>
      <c r="K4" s="273">
        <f t="shared" ref="K4:AO4" si="1">K3</f>
        <v>46143</v>
      </c>
      <c r="L4" s="272">
        <f t="shared" si="1"/>
        <v>46144</v>
      </c>
      <c r="M4" s="272">
        <f t="shared" si="1"/>
        <v>46145</v>
      </c>
      <c r="N4" s="272">
        <f t="shared" si="1"/>
        <v>46146</v>
      </c>
      <c r="O4" s="272">
        <f t="shared" si="1"/>
        <v>46147</v>
      </c>
      <c r="P4" s="272">
        <f t="shared" si="1"/>
        <v>46148</v>
      </c>
      <c r="Q4" s="272">
        <f t="shared" si="1"/>
        <v>46149</v>
      </c>
      <c r="R4" s="272">
        <f t="shared" si="1"/>
        <v>46150</v>
      </c>
      <c r="S4" s="272">
        <f t="shared" si="1"/>
        <v>46151</v>
      </c>
      <c r="T4" s="272">
        <f t="shared" si="1"/>
        <v>46152</v>
      </c>
      <c r="U4" s="272">
        <f t="shared" si="1"/>
        <v>46153</v>
      </c>
      <c r="V4" s="272">
        <f t="shared" si="1"/>
        <v>46154</v>
      </c>
      <c r="W4" s="272">
        <f t="shared" si="1"/>
        <v>46155</v>
      </c>
      <c r="X4" s="272">
        <f t="shared" si="1"/>
        <v>46156</v>
      </c>
      <c r="Y4" s="272">
        <f t="shared" si="1"/>
        <v>46157</v>
      </c>
      <c r="Z4" s="272">
        <f t="shared" si="1"/>
        <v>46158</v>
      </c>
      <c r="AA4" s="272">
        <f t="shared" si="1"/>
        <v>46159</v>
      </c>
      <c r="AB4" s="272">
        <f t="shared" si="1"/>
        <v>46160</v>
      </c>
      <c r="AC4" s="272">
        <f t="shared" si="1"/>
        <v>46161</v>
      </c>
      <c r="AD4" s="272">
        <f t="shared" si="1"/>
        <v>46162</v>
      </c>
      <c r="AE4" s="272">
        <f t="shared" si="1"/>
        <v>46163</v>
      </c>
      <c r="AF4" s="272">
        <f t="shared" si="1"/>
        <v>46164</v>
      </c>
      <c r="AG4" s="272">
        <f t="shared" si="1"/>
        <v>46165</v>
      </c>
      <c r="AH4" s="272">
        <f t="shared" si="1"/>
        <v>46166</v>
      </c>
      <c r="AI4" s="272">
        <f t="shared" si="1"/>
        <v>46167</v>
      </c>
      <c r="AJ4" s="272">
        <f t="shared" si="1"/>
        <v>46168</v>
      </c>
      <c r="AK4" s="272">
        <f t="shared" si="1"/>
        <v>46169</v>
      </c>
      <c r="AL4" s="272">
        <f t="shared" si="1"/>
        <v>46170</v>
      </c>
      <c r="AM4" s="272">
        <f t="shared" si="1"/>
        <v>46171</v>
      </c>
      <c r="AN4" s="272">
        <f t="shared" si="1"/>
        <v>46172</v>
      </c>
      <c r="AO4" s="272">
        <f t="shared" si="1"/>
        <v>46173</v>
      </c>
    </row>
    <row r="5" spans="2:41" ht="19.5" customHeight="1" x14ac:dyDescent="0.3">
      <c r="B5" s="467" t="s">
        <v>33</v>
      </c>
      <c r="C5" s="467" t="s">
        <v>185</v>
      </c>
      <c r="D5" s="467" t="s">
        <v>250</v>
      </c>
      <c r="E5" s="464">
        <f>IFERROR(SUM(K5:AO5),)</f>
        <v>0</v>
      </c>
      <c r="F5" s="464">
        <f>IFERROR(SUM(K6:AO6),)</f>
        <v>0</v>
      </c>
      <c r="G5" s="464">
        <f>IFERROR(SUM(K7:AO7),)</f>
        <v>0</v>
      </c>
      <c r="H5" s="464">
        <f>IFERROR(SUM(K8:AO8),)</f>
        <v>0</v>
      </c>
      <c r="I5" s="464">
        <f>IFERROR(SUM(K9:AO9),)</f>
        <v>0</v>
      </c>
      <c r="J5" s="254" t="s">
        <v>271</v>
      </c>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85"/>
    </row>
    <row r="6" spans="2:41" ht="19.5" customHeight="1" x14ac:dyDescent="0.3">
      <c r="B6" s="468"/>
      <c r="C6" s="468"/>
      <c r="D6" s="468"/>
      <c r="E6" s="465"/>
      <c r="F6" s="465"/>
      <c r="G6" s="465"/>
      <c r="H6" s="465"/>
      <c r="I6" s="465"/>
      <c r="J6" s="254" t="s">
        <v>323</v>
      </c>
      <c r="K6" s="275"/>
      <c r="L6" s="275"/>
      <c r="M6" s="275"/>
      <c r="N6" s="275"/>
      <c r="O6" s="275"/>
      <c r="P6" s="275"/>
      <c r="Q6" s="275"/>
      <c r="R6" s="275"/>
      <c r="S6" s="275"/>
      <c r="T6" s="275"/>
      <c r="U6" s="275"/>
      <c r="V6" s="275"/>
      <c r="W6" s="275"/>
      <c r="X6" s="275"/>
      <c r="Y6" s="275"/>
      <c r="Z6" s="275"/>
      <c r="AA6" s="275"/>
      <c r="AB6" s="275"/>
      <c r="AC6" s="275"/>
      <c r="AD6" s="275"/>
      <c r="AE6" s="275"/>
      <c r="AF6" s="275"/>
      <c r="AG6" s="275"/>
      <c r="AH6" s="275"/>
      <c r="AI6" s="275"/>
      <c r="AJ6" s="275"/>
      <c r="AK6" s="275"/>
      <c r="AL6" s="275"/>
      <c r="AM6" s="275"/>
      <c r="AN6" s="275"/>
      <c r="AO6" s="286"/>
    </row>
    <row r="7" spans="2:41" ht="19.5" customHeight="1" x14ac:dyDescent="0.3">
      <c r="B7" s="468"/>
      <c r="C7" s="468"/>
      <c r="D7" s="468"/>
      <c r="E7" s="465"/>
      <c r="F7" s="465"/>
      <c r="G7" s="465"/>
      <c r="H7" s="465"/>
      <c r="I7" s="465"/>
      <c r="J7" s="254" t="s">
        <v>325</v>
      </c>
      <c r="K7" s="275"/>
      <c r="L7" s="275"/>
      <c r="M7" s="275"/>
      <c r="N7" s="275"/>
      <c r="O7" s="275"/>
      <c r="P7" s="275"/>
      <c r="Q7" s="275"/>
      <c r="R7" s="275"/>
      <c r="S7" s="275"/>
      <c r="T7" s="275"/>
      <c r="U7" s="275"/>
      <c r="V7" s="275"/>
      <c r="W7" s="275"/>
      <c r="X7" s="275"/>
      <c r="Y7" s="275"/>
      <c r="Z7" s="275"/>
      <c r="AA7" s="275"/>
      <c r="AB7" s="275"/>
      <c r="AC7" s="275"/>
      <c r="AD7" s="275"/>
      <c r="AE7" s="275"/>
      <c r="AF7" s="275"/>
      <c r="AG7" s="275"/>
      <c r="AH7" s="275"/>
      <c r="AI7" s="275"/>
      <c r="AJ7" s="275"/>
      <c r="AK7" s="275"/>
      <c r="AL7" s="275"/>
      <c r="AM7" s="275"/>
      <c r="AN7" s="275"/>
      <c r="AO7" s="286"/>
    </row>
    <row r="8" spans="2:41" ht="19.5" customHeight="1" x14ac:dyDescent="0.3">
      <c r="B8" s="468"/>
      <c r="C8" s="468"/>
      <c r="D8" s="468"/>
      <c r="E8" s="465"/>
      <c r="F8" s="465"/>
      <c r="G8" s="465"/>
      <c r="H8" s="465"/>
      <c r="I8" s="465"/>
      <c r="J8" s="254" t="s">
        <v>116</v>
      </c>
      <c r="K8" s="275"/>
      <c r="L8" s="275"/>
      <c r="M8" s="275"/>
      <c r="N8" s="275"/>
      <c r="O8" s="275"/>
      <c r="P8" s="275"/>
      <c r="Q8" s="275"/>
      <c r="R8" s="275"/>
      <c r="S8" s="275"/>
      <c r="T8" s="275"/>
      <c r="U8" s="275"/>
      <c r="V8" s="275"/>
      <c r="W8" s="275"/>
      <c r="X8" s="275"/>
      <c r="Y8" s="275"/>
      <c r="Z8" s="275"/>
      <c r="AA8" s="275"/>
      <c r="AB8" s="275"/>
      <c r="AC8" s="275"/>
      <c r="AD8" s="275"/>
      <c r="AE8" s="275"/>
      <c r="AF8" s="275"/>
      <c r="AG8" s="275"/>
      <c r="AH8" s="275"/>
      <c r="AI8" s="275"/>
      <c r="AJ8" s="275"/>
      <c r="AK8" s="275"/>
      <c r="AL8" s="275"/>
      <c r="AM8" s="275"/>
      <c r="AN8" s="275"/>
      <c r="AO8" s="286"/>
    </row>
    <row r="9" spans="2:41" ht="19.5" customHeight="1" x14ac:dyDescent="0.3">
      <c r="B9" s="469"/>
      <c r="C9" s="469"/>
      <c r="D9" s="469"/>
      <c r="E9" s="466"/>
      <c r="F9" s="466"/>
      <c r="G9" s="466"/>
      <c r="H9" s="466"/>
      <c r="I9" s="466"/>
      <c r="J9" s="254" t="s">
        <v>273</v>
      </c>
      <c r="K9" s="275"/>
      <c r="L9" s="276"/>
      <c r="M9" s="276"/>
      <c r="N9" s="276"/>
      <c r="O9" s="276"/>
      <c r="P9" s="276"/>
      <c r="Q9" s="267"/>
      <c r="R9" s="267"/>
      <c r="S9" s="267"/>
      <c r="T9" s="267"/>
      <c r="U9" s="267"/>
      <c r="V9" s="267"/>
      <c r="W9" s="267"/>
      <c r="X9" s="267"/>
      <c r="Y9" s="267"/>
      <c r="Z9" s="267"/>
      <c r="AA9" s="267"/>
      <c r="AB9" s="267"/>
      <c r="AC9" s="267"/>
      <c r="AD9" s="267"/>
      <c r="AE9" s="267"/>
      <c r="AF9" s="267"/>
      <c r="AG9" s="267"/>
      <c r="AH9" s="267"/>
      <c r="AI9" s="267"/>
      <c r="AJ9" s="267"/>
      <c r="AK9" s="267"/>
      <c r="AL9" s="267"/>
      <c r="AM9" s="267"/>
      <c r="AN9" s="267"/>
      <c r="AO9" s="268"/>
    </row>
    <row r="10" spans="2:41" ht="19.5" customHeight="1" x14ac:dyDescent="0.3">
      <c r="B10" s="467" t="s">
        <v>35</v>
      </c>
      <c r="C10" s="467" t="s">
        <v>185</v>
      </c>
      <c r="D10" s="467" t="s">
        <v>186</v>
      </c>
      <c r="E10" s="464">
        <f>IFERROR(SUM(K10:AO10),)</f>
        <v>2900</v>
      </c>
      <c r="F10" s="464">
        <f>IFERROR(SUM(K11:AO11),)</f>
        <v>0</v>
      </c>
      <c r="G10" s="464">
        <f>IFERROR(SUM(K12:AO12),)</f>
        <v>0</v>
      </c>
      <c r="H10" s="464">
        <f>IFERROR(SUM(K13:AO13),)</f>
        <v>0</v>
      </c>
      <c r="I10" s="464">
        <f>IFERROR(SUM(K14:AO14),)</f>
        <v>0</v>
      </c>
      <c r="J10" s="254" t="s">
        <v>271</v>
      </c>
      <c r="K10" s="279"/>
      <c r="L10" s="279"/>
      <c r="M10" s="279"/>
      <c r="N10" s="279"/>
      <c r="O10" s="279"/>
      <c r="P10" s="279"/>
      <c r="Q10" s="279"/>
      <c r="R10" s="279"/>
      <c r="S10" s="279">
        <v>300</v>
      </c>
      <c r="T10" s="279">
        <v>300</v>
      </c>
      <c r="U10" s="279">
        <v>300</v>
      </c>
      <c r="V10" s="279">
        <v>200</v>
      </c>
      <c r="W10" s="279">
        <v>300</v>
      </c>
      <c r="X10" s="279">
        <v>300</v>
      </c>
      <c r="Y10" s="279">
        <v>300</v>
      </c>
      <c r="Z10" s="279">
        <v>300</v>
      </c>
      <c r="AA10" s="279">
        <v>300</v>
      </c>
      <c r="AB10" s="279">
        <v>300</v>
      </c>
      <c r="AC10" s="279"/>
      <c r="AD10" s="279"/>
      <c r="AE10" s="279"/>
      <c r="AF10" s="279"/>
      <c r="AG10" s="279"/>
      <c r="AH10" s="279"/>
      <c r="AI10" s="279"/>
      <c r="AJ10" s="279"/>
      <c r="AK10" s="279"/>
      <c r="AL10" s="279"/>
      <c r="AM10" s="279"/>
      <c r="AN10" s="279"/>
      <c r="AO10" s="285"/>
    </row>
    <row r="11" spans="2:41" ht="19.5" customHeight="1" x14ac:dyDescent="0.3">
      <c r="B11" s="468"/>
      <c r="C11" s="468"/>
      <c r="D11" s="468"/>
      <c r="E11" s="465"/>
      <c r="F11" s="465"/>
      <c r="G11" s="465"/>
      <c r="H11" s="465"/>
      <c r="I11" s="465"/>
      <c r="J11" s="254" t="s">
        <v>324</v>
      </c>
      <c r="K11" s="275"/>
      <c r="L11" s="275"/>
      <c r="M11" s="275"/>
      <c r="N11" s="275"/>
      <c r="O11" s="275"/>
      <c r="P11" s="275"/>
      <c r="Q11" s="275"/>
      <c r="R11" s="275"/>
      <c r="S11" s="275"/>
      <c r="T11" s="275"/>
      <c r="U11" s="275"/>
      <c r="V11" s="275"/>
      <c r="W11" s="275"/>
      <c r="X11" s="275"/>
      <c r="Y11" s="275"/>
      <c r="Z11" s="275"/>
      <c r="AA11" s="275"/>
      <c r="AB11" s="275"/>
      <c r="AC11" s="275"/>
      <c r="AD11" s="275"/>
      <c r="AE11" s="275"/>
      <c r="AF11" s="275"/>
      <c r="AG11" s="275"/>
      <c r="AH11" s="275"/>
      <c r="AI11" s="275"/>
      <c r="AJ11" s="275"/>
      <c r="AK11" s="275"/>
      <c r="AL11" s="275"/>
      <c r="AM11" s="275"/>
      <c r="AN11" s="275"/>
      <c r="AO11" s="286"/>
    </row>
    <row r="12" spans="2:41" ht="19.5" customHeight="1" x14ac:dyDescent="0.3">
      <c r="B12" s="468"/>
      <c r="C12" s="468"/>
      <c r="D12" s="468"/>
      <c r="E12" s="465"/>
      <c r="F12" s="465"/>
      <c r="G12" s="465"/>
      <c r="H12" s="465"/>
      <c r="I12" s="465"/>
      <c r="J12" s="254" t="s">
        <v>326</v>
      </c>
      <c r="K12" s="275"/>
      <c r="L12" s="275"/>
      <c r="M12" s="275"/>
      <c r="N12" s="275"/>
      <c r="O12" s="275"/>
      <c r="P12" s="275"/>
      <c r="Q12" s="275"/>
      <c r="R12" s="275"/>
      <c r="S12" s="275"/>
      <c r="T12" s="275"/>
      <c r="U12" s="275"/>
      <c r="V12" s="275"/>
      <c r="W12" s="275"/>
      <c r="X12" s="275"/>
      <c r="Y12" s="275"/>
      <c r="Z12" s="275"/>
      <c r="AA12" s="275"/>
      <c r="AB12" s="275"/>
      <c r="AC12" s="275"/>
      <c r="AD12" s="275"/>
      <c r="AE12" s="275"/>
      <c r="AF12" s="275"/>
      <c r="AG12" s="275"/>
      <c r="AH12" s="275"/>
      <c r="AI12" s="275"/>
      <c r="AJ12" s="275"/>
      <c r="AK12" s="275"/>
      <c r="AL12" s="275"/>
      <c r="AM12" s="275"/>
      <c r="AN12" s="275"/>
      <c r="AO12" s="286"/>
    </row>
    <row r="13" spans="2:41" ht="19.5" customHeight="1" x14ac:dyDescent="0.3">
      <c r="B13" s="468"/>
      <c r="C13" s="468"/>
      <c r="D13" s="468"/>
      <c r="E13" s="465"/>
      <c r="F13" s="465"/>
      <c r="G13" s="465"/>
      <c r="H13" s="465"/>
      <c r="I13" s="465"/>
      <c r="J13" s="254" t="s">
        <v>116</v>
      </c>
      <c r="K13" s="275"/>
      <c r="L13" s="276"/>
      <c r="M13" s="276"/>
      <c r="N13" s="276"/>
      <c r="O13" s="276"/>
      <c r="P13" s="276"/>
      <c r="Q13" s="267"/>
      <c r="R13" s="267"/>
      <c r="S13" s="267"/>
      <c r="T13" s="267"/>
      <c r="U13" s="267"/>
      <c r="V13" s="267"/>
      <c r="W13" s="267"/>
      <c r="X13" s="267"/>
      <c r="Y13" s="267"/>
      <c r="Z13" s="267"/>
      <c r="AA13" s="267"/>
      <c r="AB13" s="267"/>
      <c r="AC13" s="267"/>
      <c r="AD13" s="267"/>
      <c r="AE13" s="267"/>
      <c r="AF13" s="267"/>
      <c r="AG13" s="267"/>
      <c r="AH13" s="267"/>
      <c r="AI13" s="267"/>
      <c r="AJ13" s="267"/>
      <c r="AK13" s="267"/>
      <c r="AL13" s="267"/>
      <c r="AM13" s="267"/>
      <c r="AN13" s="267"/>
      <c r="AO13" s="268"/>
    </row>
    <row r="14" spans="2:41" ht="19.5" customHeight="1" x14ac:dyDescent="0.3">
      <c r="B14" s="469"/>
      <c r="C14" s="469"/>
      <c r="D14" s="469"/>
      <c r="E14" s="466"/>
      <c r="F14" s="466"/>
      <c r="G14" s="466"/>
      <c r="H14" s="466"/>
      <c r="I14" s="466"/>
      <c r="J14" s="254" t="s">
        <v>273</v>
      </c>
      <c r="K14" s="275"/>
      <c r="L14" s="276"/>
      <c r="M14" s="276"/>
      <c r="N14" s="276"/>
      <c r="O14" s="276"/>
      <c r="P14" s="276"/>
      <c r="Q14" s="267"/>
      <c r="R14" s="267"/>
      <c r="S14" s="267"/>
      <c r="T14" s="267"/>
      <c r="U14" s="267"/>
      <c r="V14" s="267"/>
      <c r="W14" s="267"/>
      <c r="X14" s="267"/>
      <c r="Y14" s="267"/>
      <c r="Z14" s="267"/>
      <c r="AA14" s="267"/>
      <c r="AB14" s="267"/>
      <c r="AC14" s="267"/>
      <c r="AD14" s="267"/>
      <c r="AE14" s="267"/>
      <c r="AF14" s="267"/>
      <c r="AG14" s="267"/>
      <c r="AH14" s="267"/>
      <c r="AI14" s="267"/>
      <c r="AJ14" s="267"/>
      <c r="AK14" s="267"/>
      <c r="AL14" s="267"/>
      <c r="AM14" s="267"/>
      <c r="AN14" s="267"/>
      <c r="AO14" s="268"/>
    </row>
    <row r="15" spans="2:41" ht="19.5" customHeight="1" x14ac:dyDescent="0.3">
      <c r="B15" s="467" t="s">
        <v>37</v>
      </c>
      <c r="C15" s="467" t="s">
        <v>185</v>
      </c>
      <c r="D15" s="467" t="s">
        <v>187</v>
      </c>
      <c r="E15" s="464">
        <f>IFERROR(SUM(K15:AO15),)</f>
        <v>900</v>
      </c>
      <c r="F15" s="464">
        <f>IFERROR(SUM(K16:AO16),)</f>
        <v>0</v>
      </c>
      <c r="G15" s="464">
        <f>IFERROR(SUM(K17:AO17),)</f>
        <v>0</v>
      </c>
      <c r="H15" s="464">
        <f>IFERROR(SUM(K18:AO18),)</f>
        <v>0</v>
      </c>
      <c r="I15" s="464">
        <f>IFERROR(SUM(K19:AO19),)</f>
        <v>0</v>
      </c>
      <c r="J15" s="254" t="s">
        <v>271</v>
      </c>
      <c r="K15" s="279"/>
      <c r="L15" s="279"/>
      <c r="M15" s="279"/>
      <c r="N15" s="279"/>
      <c r="O15" s="279"/>
      <c r="P15" s="279"/>
      <c r="Q15" s="279"/>
      <c r="R15" s="279"/>
      <c r="S15" s="279"/>
      <c r="T15" s="279"/>
      <c r="U15" s="279"/>
      <c r="V15" s="279"/>
      <c r="W15" s="279"/>
      <c r="X15" s="279"/>
      <c r="Y15" s="279"/>
      <c r="Z15" s="279"/>
      <c r="AA15" s="279"/>
      <c r="AB15" s="279"/>
      <c r="AC15" s="279"/>
      <c r="AD15" s="279"/>
      <c r="AE15" s="279"/>
      <c r="AF15" s="279">
        <v>300</v>
      </c>
      <c r="AG15" s="279">
        <v>300</v>
      </c>
      <c r="AH15" s="279">
        <v>300</v>
      </c>
      <c r="AI15" s="279"/>
      <c r="AJ15" s="279"/>
      <c r="AK15" s="279"/>
      <c r="AL15" s="279"/>
      <c r="AM15" s="279"/>
      <c r="AN15" s="279"/>
      <c r="AO15" s="285"/>
    </row>
    <row r="16" spans="2:41" ht="19.5" customHeight="1" x14ac:dyDescent="0.3">
      <c r="B16" s="468"/>
      <c r="C16" s="468"/>
      <c r="D16" s="468"/>
      <c r="E16" s="465"/>
      <c r="F16" s="465"/>
      <c r="G16" s="465"/>
      <c r="H16" s="465"/>
      <c r="I16" s="465"/>
      <c r="J16" s="254" t="s">
        <v>324</v>
      </c>
      <c r="K16" s="275"/>
      <c r="L16" s="275"/>
      <c r="M16" s="275"/>
      <c r="N16" s="275"/>
      <c r="O16" s="275"/>
      <c r="P16" s="275"/>
      <c r="Q16" s="275"/>
      <c r="R16" s="275"/>
      <c r="S16" s="275"/>
      <c r="T16" s="275"/>
      <c r="U16" s="275"/>
      <c r="V16" s="275"/>
      <c r="W16" s="275"/>
      <c r="X16" s="275"/>
      <c r="Y16" s="275"/>
      <c r="Z16" s="275"/>
      <c r="AA16" s="275"/>
      <c r="AB16" s="275"/>
      <c r="AC16" s="275"/>
      <c r="AD16" s="275"/>
      <c r="AE16" s="275"/>
      <c r="AF16" s="275"/>
      <c r="AG16" s="275"/>
      <c r="AH16" s="275"/>
      <c r="AI16" s="275"/>
      <c r="AJ16" s="275"/>
      <c r="AK16" s="275"/>
      <c r="AL16" s="275"/>
      <c r="AM16" s="275"/>
      <c r="AN16" s="275"/>
      <c r="AO16" s="286"/>
    </row>
    <row r="17" spans="2:41" ht="19.5" customHeight="1" x14ac:dyDescent="0.3">
      <c r="B17" s="468"/>
      <c r="C17" s="468"/>
      <c r="D17" s="468"/>
      <c r="E17" s="465"/>
      <c r="F17" s="465"/>
      <c r="G17" s="465"/>
      <c r="H17" s="465"/>
      <c r="I17" s="465"/>
      <c r="J17" s="254" t="s">
        <v>326</v>
      </c>
      <c r="K17" s="275"/>
      <c r="L17" s="275"/>
      <c r="M17" s="275"/>
      <c r="N17" s="275"/>
      <c r="O17" s="275"/>
      <c r="P17" s="275"/>
      <c r="Q17" s="275"/>
      <c r="R17" s="275"/>
      <c r="S17" s="275"/>
      <c r="T17" s="275"/>
      <c r="U17" s="275"/>
      <c r="V17" s="275"/>
      <c r="W17" s="275"/>
      <c r="X17" s="275"/>
      <c r="Y17" s="275"/>
      <c r="Z17" s="275"/>
      <c r="AA17" s="275"/>
      <c r="AB17" s="275"/>
      <c r="AC17" s="275"/>
      <c r="AD17" s="275"/>
      <c r="AE17" s="275"/>
      <c r="AF17" s="275"/>
      <c r="AG17" s="275"/>
      <c r="AH17" s="275"/>
      <c r="AI17" s="275"/>
      <c r="AJ17" s="275"/>
      <c r="AK17" s="275"/>
      <c r="AL17" s="275"/>
      <c r="AM17" s="275"/>
      <c r="AN17" s="275"/>
      <c r="AO17" s="286"/>
    </row>
    <row r="18" spans="2:41" ht="19.5" customHeight="1" x14ac:dyDescent="0.3">
      <c r="B18" s="468"/>
      <c r="C18" s="468"/>
      <c r="D18" s="468"/>
      <c r="E18" s="465"/>
      <c r="F18" s="465"/>
      <c r="G18" s="465"/>
      <c r="H18" s="465"/>
      <c r="I18" s="465"/>
      <c r="J18" s="254" t="s">
        <v>116</v>
      </c>
      <c r="K18" s="275"/>
      <c r="L18" s="276"/>
      <c r="M18" s="276"/>
      <c r="N18" s="276"/>
      <c r="O18" s="276"/>
      <c r="P18" s="276"/>
      <c r="Q18" s="267"/>
      <c r="R18" s="267"/>
      <c r="S18" s="267"/>
      <c r="T18" s="267"/>
      <c r="U18" s="267"/>
      <c r="V18" s="267"/>
      <c r="W18" s="267"/>
      <c r="X18" s="267"/>
      <c r="Y18" s="267"/>
      <c r="Z18" s="267"/>
      <c r="AA18" s="267"/>
      <c r="AB18" s="267"/>
      <c r="AC18" s="267"/>
      <c r="AD18" s="267"/>
      <c r="AE18" s="267"/>
      <c r="AF18" s="267"/>
      <c r="AG18" s="267"/>
      <c r="AH18" s="267"/>
      <c r="AI18" s="267"/>
      <c r="AJ18" s="267"/>
      <c r="AK18" s="267"/>
      <c r="AL18" s="267"/>
      <c r="AM18" s="267"/>
      <c r="AN18" s="267"/>
      <c r="AO18" s="268"/>
    </row>
    <row r="19" spans="2:41" ht="19.5" customHeight="1" x14ac:dyDescent="0.3">
      <c r="B19" s="469"/>
      <c r="C19" s="469"/>
      <c r="D19" s="469"/>
      <c r="E19" s="466"/>
      <c r="F19" s="466"/>
      <c r="G19" s="466"/>
      <c r="H19" s="466"/>
      <c r="I19" s="466"/>
      <c r="J19" s="254" t="s">
        <v>273</v>
      </c>
      <c r="K19" s="275"/>
      <c r="L19" s="276"/>
      <c r="M19" s="276"/>
      <c r="N19" s="276"/>
      <c r="O19" s="276"/>
      <c r="P19" s="276"/>
      <c r="Q19" s="267"/>
      <c r="R19" s="267"/>
      <c r="S19" s="267"/>
      <c r="T19" s="267"/>
      <c r="U19" s="267"/>
      <c r="V19" s="267"/>
      <c r="W19" s="267"/>
      <c r="X19" s="267"/>
      <c r="Y19" s="267"/>
      <c r="Z19" s="267"/>
      <c r="AA19" s="267"/>
      <c r="AB19" s="267"/>
      <c r="AC19" s="267"/>
      <c r="AD19" s="267"/>
      <c r="AE19" s="267"/>
      <c r="AF19" s="267"/>
      <c r="AG19" s="267"/>
      <c r="AH19" s="267"/>
      <c r="AI19" s="267"/>
      <c r="AJ19" s="267"/>
      <c r="AK19" s="267"/>
      <c r="AL19" s="267"/>
      <c r="AM19" s="267"/>
      <c r="AN19" s="267"/>
      <c r="AO19" s="268"/>
    </row>
    <row r="20" spans="2:41" ht="19.5" customHeight="1" x14ac:dyDescent="0.3">
      <c r="B20" s="467" t="s">
        <v>39</v>
      </c>
      <c r="C20" s="467" t="s">
        <v>185</v>
      </c>
      <c r="D20" s="467" t="s">
        <v>188</v>
      </c>
      <c r="E20" s="464">
        <f>IFERROR(SUM(K20:AO20),)</f>
        <v>900</v>
      </c>
      <c r="F20" s="464">
        <f>IFERROR(SUM(K21:AO21),)</f>
        <v>0</v>
      </c>
      <c r="G20" s="464">
        <f>IFERROR(SUM(K22:AO22),)</f>
        <v>0</v>
      </c>
      <c r="H20" s="464">
        <f>IFERROR(SUM(K23:AO23),)</f>
        <v>0</v>
      </c>
      <c r="I20" s="464">
        <f>IFERROR(SUM(K24:AO24),)</f>
        <v>0</v>
      </c>
      <c r="J20" s="254" t="s">
        <v>271</v>
      </c>
      <c r="K20" s="279"/>
      <c r="L20" s="279"/>
      <c r="M20" s="279"/>
      <c r="N20" s="279"/>
      <c r="O20" s="279"/>
      <c r="P20" s="279"/>
      <c r="Q20" s="279"/>
      <c r="R20" s="279"/>
      <c r="S20" s="279"/>
      <c r="T20" s="279"/>
      <c r="U20" s="279"/>
      <c r="V20" s="279"/>
      <c r="W20" s="279"/>
      <c r="X20" s="279"/>
      <c r="Y20" s="279"/>
      <c r="Z20" s="279"/>
      <c r="AA20" s="279"/>
      <c r="AB20" s="279"/>
      <c r="AC20" s="279">
        <v>300</v>
      </c>
      <c r="AD20" s="279">
        <v>300</v>
      </c>
      <c r="AE20" s="279">
        <v>300</v>
      </c>
      <c r="AF20" s="279"/>
      <c r="AG20" s="279"/>
      <c r="AH20" s="279"/>
      <c r="AI20" s="279"/>
      <c r="AJ20" s="279"/>
      <c r="AK20" s="279"/>
      <c r="AL20" s="279"/>
      <c r="AM20" s="279"/>
      <c r="AN20" s="279"/>
      <c r="AO20" s="285"/>
    </row>
    <row r="21" spans="2:41" ht="19.5" customHeight="1" x14ac:dyDescent="0.3">
      <c r="B21" s="468"/>
      <c r="C21" s="468"/>
      <c r="D21" s="468"/>
      <c r="E21" s="465"/>
      <c r="F21" s="465"/>
      <c r="G21" s="465"/>
      <c r="H21" s="465"/>
      <c r="I21" s="465"/>
      <c r="J21" s="254" t="s">
        <v>324</v>
      </c>
      <c r="K21" s="275"/>
      <c r="L21" s="275"/>
      <c r="M21" s="275"/>
      <c r="N21" s="275"/>
      <c r="O21" s="275"/>
      <c r="P21" s="275"/>
      <c r="Q21" s="275"/>
      <c r="R21" s="275"/>
      <c r="S21" s="275"/>
      <c r="T21" s="275"/>
      <c r="U21" s="275"/>
      <c r="V21" s="275"/>
      <c r="W21" s="275"/>
      <c r="X21" s="275"/>
      <c r="Y21" s="275"/>
      <c r="Z21" s="275"/>
      <c r="AA21" s="275"/>
      <c r="AB21" s="275"/>
      <c r="AC21" s="275"/>
      <c r="AD21" s="275"/>
      <c r="AE21" s="275"/>
      <c r="AF21" s="275"/>
      <c r="AG21" s="275"/>
      <c r="AH21" s="275"/>
      <c r="AI21" s="275"/>
      <c r="AJ21" s="275"/>
      <c r="AK21" s="275"/>
      <c r="AL21" s="275"/>
      <c r="AM21" s="275"/>
      <c r="AN21" s="275"/>
      <c r="AO21" s="286"/>
    </row>
    <row r="22" spans="2:41" ht="19.5" customHeight="1" x14ac:dyDescent="0.3">
      <c r="B22" s="468"/>
      <c r="C22" s="468"/>
      <c r="D22" s="468"/>
      <c r="E22" s="465"/>
      <c r="F22" s="465"/>
      <c r="G22" s="465"/>
      <c r="H22" s="465"/>
      <c r="I22" s="465"/>
      <c r="J22" s="254" t="s">
        <v>326</v>
      </c>
      <c r="K22" s="275"/>
      <c r="L22" s="275"/>
      <c r="M22" s="275"/>
      <c r="N22" s="275"/>
      <c r="O22" s="275"/>
      <c r="P22" s="275"/>
      <c r="Q22" s="275"/>
      <c r="R22" s="275"/>
      <c r="S22" s="275"/>
      <c r="T22" s="275"/>
      <c r="U22" s="275"/>
      <c r="V22" s="275"/>
      <c r="W22" s="275"/>
      <c r="X22" s="275"/>
      <c r="Y22" s="275"/>
      <c r="Z22" s="275"/>
      <c r="AA22" s="275"/>
      <c r="AB22" s="275"/>
      <c r="AC22" s="275"/>
      <c r="AD22" s="275"/>
      <c r="AE22" s="275"/>
      <c r="AF22" s="275"/>
      <c r="AG22" s="275"/>
      <c r="AH22" s="275"/>
      <c r="AI22" s="275"/>
      <c r="AJ22" s="275"/>
      <c r="AK22" s="275"/>
      <c r="AL22" s="275"/>
      <c r="AM22" s="275"/>
      <c r="AN22" s="275"/>
      <c r="AO22" s="286"/>
    </row>
    <row r="23" spans="2:41" ht="19.5" customHeight="1" x14ac:dyDescent="0.3">
      <c r="B23" s="468"/>
      <c r="C23" s="468"/>
      <c r="D23" s="468"/>
      <c r="E23" s="465"/>
      <c r="F23" s="465"/>
      <c r="G23" s="465"/>
      <c r="H23" s="465"/>
      <c r="I23" s="465"/>
      <c r="J23" s="254" t="s">
        <v>116</v>
      </c>
      <c r="K23" s="275"/>
      <c r="L23" s="276"/>
      <c r="M23" s="276"/>
      <c r="N23" s="276"/>
      <c r="O23" s="276"/>
      <c r="P23" s="276"/>
      <c r="Q23" s="267"/>
      <c r="R23" s="267"/>
      <c r="S23" s="267"/>
      <c r="T23" s="267"/>
      <c r="U23" s="267"/>
      <c r="V23" s="267"/>
      <c r="W23" s="267"/>
      <c r="X23" s="267"/>
      <c r="Y23" s="267"/>
      <c r="Z23" s="267"/>
      <c r="AA23" s="267"/>
      <c r="AB23" s="267"/>
      <c r="AC23" s="267"/>
      <c r="AD23" s="267"/>
      <c r="AE23" s="267"/>
      <c r="AF23" s="267"/>
      <c r="AG23" s="267"/>
      <c r="AH23" s="267"/>
      <c r="AI23" s="267"/>
      <c r="AJ23" s="267"/>
      <c r="AK23" s="267"/>
      <c r="AL23" s="267"/>
      <c r="AM23" s="267"/>
      <c r="AN23" s="267"/>
      <c r="AO23" s="268"/>
    </row>
    <row r="24" spans="2:41" ht="19.5" customHeight="1" x14ac:dyDescent="0.3">
      <c r="B24" s="469"/>
      <c r="C24" s="469"/>
      <c r="D24" s="469"/>
      <c r="E24" s="466"/>
      <c r="F24" s="466"/>
      <c r="G24" s="466"/>
      <c r="H24" s="466"/>
      <c r="I24" s="466"/>
      <c r="J24" s="254" t="s">
        <v>273</v>
      </c>
      <c r="K24" s="275"/>
      <c r="L24" s="276"/>
      <c r="M24" s="276"/>
      <c r="N24" s="276"/>
      <c r="O24" s="276"/>
      <c r="P24" s="276"/>
      <c r="Q24" s="267"/>
      <c r="R24" s="267"/>
      <c r="S24" s="267"/>
      <c r="T24" s="267"/>
      <c r="U24" s="267"/>
      <c r="V24" s="267"/>
      <c r="W24" s="267"/>
      <c r="X24" s="267"/>
      <c r="Y24" s="267"/>
      <c r="Z24" s="267"/>
      <c r="AA24" s="267"/>
      <c r="AB24" s="267"/>
      <c r="AC24" s="267"/>
      <c r="AD24" s="267"/>
      <c r="AE24" s="267"/>
      <c r="AF24" s="267"/>
      <c r="AG24" s="267"/>
      <c r="AH24" s="267"/>
      <c r="AI24" s="267"/>
      <c r="AJ24" s="267"/>
      <c r="AK24" s="267"/>
      <c r="AL24" s="267"/>
      <c r="AM24" s="267"/>
      <c r="AN24" s="267"/>
      <c r="AO24" s="268"/>
    </row>
    <row r="25" spans="2:41" ht="19.5" customHeight="1" x14ac:dyDescent="0.3">
      <c r="B25" s="467" t="s">
        <v>44</v>
      </c>
      <c r="C25" s="467" t="s">
        <v>185</v>
      </c>
      <c r="D25" s="467" t="s">
        <v>189</v>
      </c>
      <c r="E25" s="464">
        <f>IFERROR(SUM(K25:AO25),)</f>
        <v>0</v>
      </c>
      <c r="F25" s="464">
        <f>IFERROR(SUM(K26:AO26),)</f>
        <v>0</v>
      </c>
      <c r="G25" s="464">
        <f>IFERROR(SUM(K27:AO27),)</f>
        <v>0</v>
      </c>
      <c r="H25" s="464">
        <f>IFERROR(SUM(K28:AO28),)</f>
        <v>0</v>
      </c>
      <c r="I25" s="464">
        <f>IFERROR(SUM(K29:AO29),)</f>
        <v>0</v>
      </c>
      <c r="J25" s="254" t="s">
        <v>271</v>
      </c>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85"/>
    </row>
    <row r="26" spans="2:41" ht="19.5" customHeight="1" x14ac:dyDescent="0.3">
      <c r="B26" s="468"/>
      <c r="C26" s="468"/>
      <c r="D26" s="468"/>
      <c r="E26" s="465"/>
      <c r="F26" s="465"/>
      <c r="G26" s="465"/>
      <c r="H26" s="465"/>
      <c r="I26" s="465"/>
      <c r="J26" s="254" t="s">
        <v>324</v>
      </c>
      <c r="K26" s="275"/>
      <c r="L26" s="275"/>
      <c r="M26" s="275"/>
      <c r="N26" s="275"/>
      <c r="O26" s="275"/>
      <c r="P26" s="275"/>
      <c r="Q26" s="275"/>
      <c r="R26" s="275"/>
      <c r="S26" s="275"/>
      <c r="T26" s="275"/>
      <c r="U26" s="275"/>
      <c r="V26" s="275"/>
      <c r="W26" s="275"/>
      <c r="X26" s="275"/>
      <c r="Y26" s="275"/>
      <c r="Z26" s="275"/>
      <c r="AA26" s="275"/>
      <c r="AB26" s="275"/>
      <c r="AC26" s="275"/>
      <c r="AD26" s="275"/>
      <c r="AE26" s="275"/>
      <c r="AF26" s="275"/>
      <c r="AG26" s="275"/>
      <c r="AH26" s="275"/>
      <c r="AI26" s="275"/>
      <c r="AJ26" s="275"/>
      <c r="AK26" s="275"/>
      <c r="AL26" s="275"/>
      <c r="AM26" s="275"/>
      <c r="AN26" s="275"/>
      <c r="AO26" s="286"/>
    </row>
    <row r="27" spans="2:41" ht="19.5" customHeight="1" x14ac:dyDescent="0.3">
      <c r="B27" s="468"/>
      <c r="C27" s="468"/>
      <c r="D27" s="468"/>
      <c r="E27" s="465"/>
      <c r="F27" s="465"/>
      <c r="G27" s="465"/>
      <c r="H27" s="465"/>
      <c r="I27" s="465"/>
      <c r="J27" s="254" t="s">
        <v>326</v>
      </c>
      <c r="K27" s="275"/>
      <c r="L27" s="275"/>
      <c r="M27" s="275"/>
      <c r="N27" s="275"/>
      <c r="O27" s="275"/>
      <c r="P27" s="275"/>
      <c r="Q27" s="275"/>
      <c r="R27" s="275"/>
      <c r="S27" s="275"/>
      <c r="T27" s="275"/>
      <c r="U27" s="275"/>
      <c r="V27" s="275"/>
      <c r="W27" s="275"/>
      <c r="X27" s="275"/>
      <c r="Y27" s="275"/>
      <c r="Z27" s="275"/>
      <c r="AA27" s="275"/>
      <c r="AB27" s="275"/>
      <c r="AC27" s="275"/>
      <c r="AD27" s="275"/>
      <c r="AE27" s="275"/>
      <c r="AF27" s="275"/>
      <c r="AG27" s="275"/>
      <c r="AH27" s="275"/>
      <c r="AI27" s="275"/>
      <c r="AJ27" s="275"/>
      <c r="AK27" s="275"/>
      <c r="AL27" s="275"/>
      <c r="AM27" s="275"/>
      <c r="AN27" s="275"/>
      <c r="AO27" s="286"/>
    </row>
    <row r="28" spans="2:41" ht="19.5" customHeight="1" x14ac:dyDescent="0.3">
      <c r="B28" s="468"/>
      <c r="C28" s="468"/>
      <c r="D28" s="468"/>
      <c r="E28" s="465"/>
      <c r="F28" s="465"/>
      <c r="G28" s="465"/>
      <c r="H28" s="465"/>
      <c r="I28" s="465"/>
      <c r="J28" s="254" t="s">
        <v>116</v>
      </c>
      <c r="K28" s="275"/>
      <c r="L28" s="276"/>
      <c r="M28" s="276"/>
      <c r="N28" s="276"/>
      <c r="O28" s="276"/>
      <c r="P28" s="276"/>
      <c r="Q28" s="267"/>
      <c r="R28" s="267"/>
      <c r="S28" s="267"/>
      <c r="T28" s="267"/>
      <c r="U28" s="267"/>
      <c r="V28" s="267"/>
      <c r="W28" s="267"/>
      <c r="X28" s="267"/>
      <c r="Y28" s="267"/>
      <c r="Z28" s="267"/>
      <c r="AA28" s="267"/>
      <c r="AB28" s="267"/>
      <c r="AC28" s="267"/>
      <c r="AD28" s="267"/>
      <c r="AE28" s="267"/>
      <c r="AF28" s="267"/>
      <c r="AG28" s="267"/>
      <c r="AH28" s="267"/>
      <c r="AI28" s="267"/>
      <c r="AJ28" s="267"/>
      <c r="AK28" s="267"/>
      <c r="AL28" s="267"/>
      <c r="AM28" s="267"/>
      <c r="AN28" s="267"/>
      <c r="AO28" s="268"/>
    </row>
    <row r="29" spans="2:41" ht="19.5" customHeight="1" x14ac:dyDescent="0.3">
      <c r="B29" s="469"/>
      <c r="C29" s="469"/>
      <c r="D29" s="469"/>
      <c r="E29" s="466"/>
      <c r="F29" s="466"/>
      <c r="G29" s="466"/>
      <c r="H29" s="466"/>
      <c r="I29" s="466"/>
      <c r="J29" s="254" t="s">
        <v>273</v>
      </c>
      <c r="K29" s="275"/>
      <c r="L29" s="276"/>
      <c r="M29" s="276"/>
      <c r="N29" s="276"/>
      <c r="O29" s="276"/>
      <c r="P29" s="276"/>
      <c r="Q29" s="267"/>
      <c r="R29" s="267"/>
      <c r="S29" s="267"/>
      <c r="T29" s="267"/>
      <c r="U29" s="267"/>
      <c r="V29" s="267"/>
      <c r="W29" s="267"/>
      <c r="X29" s="267"/>
      <c r="Y29" s="267"/>
      <c r="Z29" s="267"/>
      <c r="AA29" s="267"/>
      <c r="AB29" s="267"/>
      <c r="AC29" s="267"/>
      <c r="AD29" s="267"/>
      <c r="AE29" s="267"/>
      <c r="AF29" s="267"/>
      <c r="AG29" s="267"/>
      <c r="AH29" s="267"/>
      <c r="AI29" s="267"/>
      <c r="AJ29" s="267"/>
      <c r="AK29" s="267"/>
      <c r="AL29" s="267"/>
      <c r="AM29" s="267"/>
      <c r="AN29" s="267"/>
      <c r="AO29" s="268"/>
    </row>
    <row r="30" spans="2:41" ht="19.5" customHeight="1" x14ac:dyDescent="0.3">
      <c r="B30" s="467" t="s">
        <v>45</v>
      </c>
      <c r="C30" s="467" t="s">
        <v>185</v>
      </c>
      <c r="D30" s="467" t="s">
        <v>190</v>
      </c>
      <c r="E30" s="464">
        <f>IFERROR(SUM(K30:AO30),)</f>
        <v>0</v>
      </c>
      <c r="F30" s="464">
        <f>IFERROR(SUM(K31:AO31),)</f>
        <v>0</v>
      </c>
      <c r="G30" s="464">
        <f>IFERROR(SUM(K32:AO32),)</f>
        <v>0</v>
      </c>
      <c r="H30" s="464">
        <f>IFERROR(SUM(K33:AO33),)</f>
        <v>0</v>
      </c>
      <c r="I30" s="464">
        <f>IFERROR(SUM(K34:AO34),)</f>
        <v>0</v>
      </c>
      <c r="J30" s="254" t="s">
        <v>271</v>
      </c>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285"/>
    </row>
    <row r="31" spans="2:41" ht="19.5" customHeight="1" x14ac:dyDescent="0.3">
      <c r="B31" s="468"/>
      <c r="C31" s="468"/>
      <c r="D31" s="468"/>
      <c r="E31" s="465"/>
      <c r="F31" s="465"/>
      <c r="G31" s="465"/>
      <c r="H31" s="465"/>
      <c r="I31" s="465"/>
      <c r="J31" s="254" t="s">
        <v>324</v>
      </c>
      <c r="K31" s="275"/>
      <c r="L31" s="275"/>
      <c r="M31" s="275"/>
      <c r="N31" s="275"/>
      <c r="O31" s="275"/>
      <c r="P31" s="275"/>
      <c r="Q31" s="275"/>
      <c r="R31" s="275"/>
      <c r="S31" s="275"/>
      <c r="T31" s="275"/>
      <c r="U31" s="275"/>
      <c r="V31" s="275"/>
      <c r="W31" s="275"/>
      <c r="X31" s="275"/>
      <c r="Y31" s="275"/>
      <c r="Z31" s="275"/>
      <c r="AA31" s="275"/>
      <c r="AB31" s="275"/>
      <c r="AC31" s="275"/>
      <c r="AD31" s="275"/>
      <c r="AE31" s="275"/>
      <c r="AF31" s="275"/>
      <c r="AG31" s="275"/>
      <c r="AH31" s="275"/>
      <c r="AI31" s="275"/>
      <c r="AJ31" s="275"/>
      <c r="AK31" s="275"/>
      <c r="AL31" s="275"/>
      <c r="AM31" s="275"/>
      <c r="AN31" s="275"/>
      <c r="AO31" s="286"/>
    </row>
    <row r="32" spans="2:41" ht="19.5" customHeight="1" x14ac:dyDescent="0.3">
      <c r="B32" s="468"/>
      <c r="C32" s="468"/>
      <c r="D32" s="468"/>
      <c r="E32" s="465"/>
      <c r="F32" s="465"/>
      <c r="G32" s="465"/>
      <c r="H32" s="465"/>
      <c r="I32" s="465"/>
      <c r="J32" s="254" t="s">
        <v>326</v>
      </c>
      <c r="K32" s="275"/>
      <c r="L32" s="275"/>
      <c r="M32" s="275"/>
      <c r="N32" s="275"/>
      <c r="O32" s="275"/>
      <c r="P32" s="275"/>
      <c r="Q32" s="275"/>
      <c r="R32" s="275"/>
      <c r="S32" s="275"/>
      <c r="T32" s="275"/>
      <c r="U32" s="275"/>
      <c r="V32" s="275"/>
      <c r="W32" s="275"/>
      <c r="X32" s="275"/>
      <c r="Y32" s="275"/>
      <c r="Z32" s="275"/>
      <c r="AA32" s="275"/>
      <c r="AB32" s="275"/>
      <c r="AC32" s="275"/>
      <c r="AD32" s="275"/>
      <c r="AE32" s="275"/>
      <c r="AF32" s="275"/>
      <c r="AG32" s="275"/>
      <c r="AH32" s="275"/>
      <c r="AI32" s="275"/>
      <c r="AJ32" s="275"/>
      <c r="AK32" s="275"/>
      <c r="AL32" s="275"/>
      <c r="AM32" s="275"/>
      <c r="AN32" s="275"/>
      <c r="AO32" s="286"/>
    </row>
    <row r="33" spans="2:41" ht="19.5" customHeight="1" x14ac:dyDescent="0.3">
      <c r="B33" s="468"/>
      <c r="C33" s="468"/>
      <c r="D33" s="468"/>
      <c r="E33" s="465"/>
      <c r="F33" s="465"/>
      <c r="G33" s="465"/>
      <c r="H33" s="465"/>
      <c r="I33" s="465"/>
      <c r="J33" s="254" t="s">
        <v>116</v>
      </c>
      <c r="K33" s="275"/>
      <c r="L33" s="276"/>
      <c r="M33" s="276"/>
      <c r="N33" s="276"/>
      <c r="O33" s="276"/>
      <c r="P33" s="276"/>
      <c r="Q33" s="267"/>
      <c r="R33" s="267"/>
      <c r="S33" s="267"/>
      <c r="T33" s="267"/>
      <c r="U33" s="267"/>
      <c r="V33" s="267"/>
      <c r="W33" s="267"/>
      <c r="X33" s="267"/>
      <c r="Y33" s="267"/>
      <c r="Z33" s="267"/>
      <c r="AA33" s="267"/>
      <c r="AB33" s="267"/>
      <c r="AC33" s="267"/>
      <c r="AD33" s="267"/>
      <c r="AE33" s="267"/>
      <c r="AF33" s="267"/>
      <c r="AG33" s="267"/>
      <c r="AH33" s="267"/>
      <c r="AI33" s="267"/>
      <c r="AJ33" s="267"/>
      <c r="AK33" s="267"/>
      <c r="AL33" s="267"/>
      <c r="AM33" s="267"/>
      <c r="AN33" s="267"/>
      <c r="AO33" s="268"/>
    </row>
    <row r="34" spans="2:41" ht="19.5" customHeight="1" x14ac:dyDescent="0.3">
      <c r="B34" s="469"/>
      <c r="C34" s="469"/>
      <c r="D34" s="469"/>
      <c r="E34" s="466"/>
      <c r="F34" s="466"/>
      <c r="G34" s="466"/>
      <c r="H34" s="466"/>
      <c r="I34" s="466"/>
      <c r="J34" s="254" t="s">
        <v>273</v>
      </c>
      <c r="K34" s="275"/>
      <c r="L34" s="276"/>
      <c r="M34" s="276"/>
      <c r="N34" s="276"/>
      <c r="O34" s="276"/>
      <c r="P34" s="276"/>
      <c r="Q34" s="267"/>
      <c r="R34" s="267"/>
      <c r="S34" s="267"/>
      <c r="T34" s="267"/>
      <c r="U34" s="267"/>
      <c r="V34" s="267"/>
      <c r="W34" s="267"/>
      <c r="X34" s="267"/>
      <c r="Y34" s="267"/>
      <c r="Z34" s="267"/>
      <c r="AA34" s="267"/>
      <c r="AB34" s="267"/>
      <c r="AC34" s="267"/>
      <c r="AD34" s="267"/>
      <c r="AE34" s="267"/>
      <c r="AF34" s="267"/>
      <c r="AG34" s="267"/>
      <c r="AH34" s="267"/>
      <c r="AI34" s="267"/>
      <c r="AJ34" s="267"/>
      <c r="AK34" s="267"/>
      <c r="AL34" s="267"/>
      <c r="AM34" s="267"/>
      <c r="AN34" s="267"/>
      <c r="AO34" s="268"/>
    </row>
    <row r="35" spans="2:41" ht="19.5" customHeight="1" x14ac:dyDescent="0.3">
      <c r="B35" s="467" t="s">
        <v>46</v>
      </c>
      <c r="C35" s="467" t="s">
        <v>185</v>
      </c>
      <c r="D35" s="467" t="s">
        <v>191</v>
      </c>
      <c r="E35" s="464">
        <f>IFERROR(SUM(K35:AO35),)</f>
        <v>0</v>
      </c>
      <c r="F35" s="464">
        <f>IFERROR(SUM(K36:AO36),)</f>
        <v>0</v>
      </c>
      <c r="G35" s="464">
        <f>IFERROR(SUM(K37:AO37),)</f>
        <v>0</v>
      </c>
      <c r="H35" s="464">
        <f>IFERROR(SUM(K38:AO38),)</f>
        <v>0</v>
      </c>
      <c r="I35" s="464">
        <f>IFERROR(SUM(K39:AO39),)</f>
        <v>0</v>
      </c>
      <c r="J35" s="254" t="s">
        <v>271</v>
      </c>
      <c r="K35" s="279"/>
      <c r="L35" s="279"/>
      <c r="M35" s="279"/>
      <c r="N35" s="279"/>
      <c r="O35" s="279"/>
      <c r="P35" s="279"/>
      <c r="Q35" s="279"/>
      <c r="R35" s="279"/>
      <c r="S35" s="279"/>
      <c r="T35" s="279"/>
      <c r="U35" s="279"/>
      <c r="V35" s="279"/>
      <c r="W35" s="279"/>
      <c r="X35" s="279"/>
      <c r="Y35" s="279"/>
      <c r="Z35" s="279"/>
      <c r="AA35" s="279"/>
      <c r="AB35" s="279"/>
      <c r="AC35" s="279"/>
      <c r="AD35" s="279"/>
      <c r="AE35" s="279"/>
      <c r="AF35" s="279"/>
      <c r="AG35" s="279"/>
      <c r="AH35" s="279"/>
      <c r="AI35" s="279"/>
      <c r="AJ35" s="279"/>
      <c r="AK35" s="279"/>
      <c r="AL35" s="279"/>
      <c r="AM35" s="279"/>
      <c r="AN35" s="279"/>
      <c r="AO35" s="285"/>
    </row>
    <row r="36" spans="2:41" ht="19.5" customHeight="1" x14ac:dyDescent="0.3">
      <c r="B36" s="468"/>
      <c r="C36" s="468"/>
      <c r="D36" s="468"/>
      <c r="E36" s="465"/>
      <c r="F36" s="465"/>
      <c r="G36" s="465"/>
      <c r="H36" s="465"/>
      <c r="I36" s="465"/>
      <c r="J36" s="254" t="s">
        <v>324</v>
      </c>
      <c r="K36" s="275"/>
      <c r="L36" s="275"/>
      <c r="M36" s="275"/>
      <c r="N36" s="275"/>
      <c r="O36" s="275"/>
      <c r="P36" s="275"/>
      <c r="Q36" s="275"/>
      <c r="R36" s="275"/>
      <c r="S36" s="275"/>
      <c r="T36" s="275"/>
      <c r="U36" s="275"/>
      <c r="V36" s="275"/>
      <c r="W36" s="275"/>
      <c r="X36" s="275"/>
      <c r="Y36" s="275"/>
      <c r="Z36" s="275"/>
      <c r="AA36" s="275"/>
      <c r="AB36" s="275"/>
      <c r="AC36" s="275"/>
      <c r="AD36" s="275"/>
      <c r="AE36" s="275"/>
      <c r="AF36" s="275"/>
      <c r="AG36" s="275"/>
      <c r="AH36" s="275"/>
      <c r="AI36" s="275"/>
      <c r="AJ36" s="275"/>
      <c r="AK36" s="275"/>
      <c r="AL36" s="275"/>
      <c r="AM36" s="275"/>
      <c r="AN36" s="275"/>
      <c r="AO36" s="286"/>
    </row>
    <row r="37" spans="2:41" ht="19.5" customHeight="1" x14ac:dyDescent="0.3">
      <c r="B37" s="468"/>
      <c r="C37" s="468"/>
      <c r="D37" s="468"/>
      <c r="E37" s="465"/>
      <c r="F37" s="465"/>
      <c r="G37" s="465"/>
      <c r="H37" s="465"/>
      <c r="I37" s="465"/>
      <c r="J37" s="254" t="s">
        <v>326</v>
      </c>
      <c r="K37" s="275"/>
      <c r="L37" s="275"/>
      <c r="M37" s="275"/>
      <c r="N37" s="275"/>
      <c r="O37" s="275"/>
      <c r="P37" s="275"/>
      <c r="Q37" s="275"/>
      <c r="R37" s="275"/>
      <c r="S37" s="275"/>
      <c r="T37" s="275"/>
      <c r="U37" s="275"/>
      <c r="V37" s="275"/>
      <c r="W37" s="275"/>
      <c r="X37" s="275"/>
      <c r="Y37" s="275"/>
      <c r="Z37" s="275"/>
      <c r="AA37" s="275"/>
      <c r="AB37" s="275"/>
      <c r="AC37" s="275"/>
      <c r="AD37" s="275"/>
      <c r="AE37" s="275"/>
      <c r="AF37" s="275"/>
      <c r="AG37" s="275"/>
      <c r="AH37" s="275"/>
      <c r="AI37" s="275"/>
      <c r="AJ37" s="275"/>
      <c r="AK37" s="275"/>
      <c r="AL37" s="275"/>
      <c r="AM37" s="275"/>
      <c r="AN37" s="275"/>
      <c r="AO37" s="286"/>
    </row>
    <row r="38" spans="2:41" ht="19.5" customHeight="1" x14ac:dyDescent="0.3">
      <c r="B38" s="468"/>
      <c r="C38" s="468"/>
      <c r="D38" s="468"/>
      <c r="E38" s="465"/>
      <c r="F38" s="465"/>
      <c r="G38" s="465"/>
      <c r="H38" s="465"/>
      <c r="I38" s="465"/>
      <c r="J38" s="254" t="s">
        <v>116</v>
      </c>
      <c r="K38" s="275"/>
      <c r="L38" s="276"/>
      <c r="M38" s="276"/>
      <c r="N38" s="276"/>
      <c r="O38" s="276"/>
      <c r="P38" s="276"/>
      <c r="Q38" s="267"/>
      <c r="R38" s="267"/>
      <c r="S38" s="267"/>
      <c r="T38" s="267"/>
      <c r="U38" s="267"/>
      <c r="V38" s="267"/>
      <c r="W38" s="267"/>
      <c r="X38" s="267"/>
      <c r="Y38" s="267"/>
      <c r="Z38" s="267"/>
      <c r="AA38" s="267"/>
      <c r="AB38" s="267"/>
      <c r="AC38" s="267"/>
      <c r="AD38" s="267"/>
      <c r="AE38" s="267"/>
      <c r="AF38" s="267"/>
      <c r="AG38" s="267"/>
      <c r="AH38" s="267"/>
      <c r="AI38" s="267"/>
      <c r="AJ38" s="267"/>
      <c r="AK38" s="267"/>
      <c r="AL38" s="267"/>
      <c r="AM38" s="267"/>
      <c r="AN38" s="267"/>
      <c r="AO38" s="268"/>
    </row>
    <row r="39" spans="2:41" ht="19.5" customHeight="1" x14ac:dyDescent="0.3">
      <c r="B39" s="469"/>
      <c r="C39" s="469"/>
      <c r="D39" s="469"/>
      <c r="E39" s="466"/>
      <c r="F39" s="466"/>
      <c r="G39" s="466"/>
      <c r="H39" s="466"/>
      <c r="I39" s="466"/>
      <c r="J39" s="254" t="s">
        <v>273</v>
      </c>
      <c r="K39" s="275"/>
      <c r="L39" s="276"/>
      <c r="M39" s="276"/>
      <c r="N39" s="276"/>
      <c r="O39" s="276"/>
      <c r="P39" s="276"/>
      <c r="Q39" s="267"/>
      <c r="R39" s="267"/>
      <c r="S39" s="267"/>
      <c r="T39" s="267"/>
      <c r="U39" s="267"/>
      <c r="V39" s="267"/>
      <c r="W39" s="267"/>
      <c r="X39" s="267"/>
      <c r="Y39" s="267"/>
      <c r="Z39" s="267"/>
      <c r="AA39" s="267"/>
      <c r="AB39" s="267"/>
      <c r="AC39" s="267"/>
      <c r="AD39" s="267"/>
      <c r="AE39" s="267"/>
      <c r="AF39" s="267"/>
      <c r="AG39" s="267"/>
      <c r="AH39" s="267"/>
      <c r="AI39" s="267"/>
      <c r="AJ39" s="267"/>
      <c r="AK39" s="267"/>
      <c r="AL39" s="267"/>
      <c r="AM39" s="267"/>
      <c r="AN39" s="267"/>
      <c r="AO39" s="268"/>
    </row>
    <row r="40" spans="2:41" ht="19.5" customHeight="1" x14ac:dyDescent="0.3">
      <c r="B40" s="467" t="s">
        <v>47</v>
      </c>
      <c r="C40" s="467" t="s">
        <v>185</v>
      </c>
      <c r="D40" s="467" t="s">
        <v>192</v>
      </c>
      <c r="E40" s="464">
        <f>IFERROR(SUM(K40:AO40),)</f>
        <v>0</v>
      </c>
      <c r="F40" s="464">
        <f>IFERROR(SUM(K41:AO41),)</f>
        <v>0</v>
      </c>
      <c r="G40" s="464">
        <f>IFERROR(SUM(K42:AO42),)</f>
        <v>0</v>
      </c>
      <c r="H40" s="464">
        <f>IFERROR(SUM(K43:AO43),)</f>
        <v>0</v>
      </c>
      <c r="I40" s="464">
        <f>IFERROR(SUM(K44:AO44),)</f>
        <v>0</v>
      </c>
      <c r="J40" s="254" t="s">
        <v>271</v>
      </c>
      <c r="K40" s="279"/>
      <c r="L40" s="279"/>
      <c r="M40" s="279"/>
      <c r="N40" s="279"/>
      <c r="O40" s="279"/>
      <c r="P40" s="279"/>
      <c r="Q40" s="279"/>
      <c r="R40" s="279"/>
      <c r="S40" s="279"/>
      <c r="T40" s="279"/>
      <c r="U40" s="279"/>
      <c r="V40" s="279"/>
      <c r="W40" s="279"/>
      <c r="X40" s="279"/>
      <c r="Y40" s="279"/>
      <c r="Z40" s="279"/>
      <c r="AA40" s="279"/>
      <c r="AB40" s="279"/>
      <c r="AC40" s="279"/>
      <c r="AD40" s="279"/>
      <c r="AE40" s="279"/>
      <c r="AF40" s="279"/>
      <c r="AG40" s="279"/>
      <c r="AH40" s="279"/>
      <c r="AI40" s="279"/>
      <c r="AJ40" s="279"/>
      <c r="AK40" s="279"/>
      <c r="AL40" s="279"/>
      <c r="AM40" s="279"/>
      <c r="AN40" s="279"/>
      <c r="AO40" s="285"/>
    </row>
    <row r="41" spans="2:41" ht="19.5" customHeight="1" x14ac:dyDescent="0.3">
      <c r="B41" s="468"/>
      <c r="C41" s="468"/>
      <c r="D41" s="468"/>
      <c r="E41" s="465"/>
      <c r="F41" s="465"/>
      <c r="G41" s="465"/>
      <c r="H41" s="465"/>
      <c r="I41" s="465"/>
      <c r="J41" s="254" t="s">
        <v>324</v>
      </c>
      <c r="K41" s="275"/>
      <c r="L41" s="275"/>
      <c r="M41" s="275"/>
      <c r="N41" s="275"/>
      <c r="O41" s="275"/>
      <c r="P41" s="275"/>
      <c r="Q41" s="275"/>
      <c r="R41" s="275"/>
      <c r="S41" s="275"/>
      <c r="T41" s="275"/>
      <c r="U41" s="275"/>
      <c r="V41" s="275"/>
      <c r="W41" s="275"/>
      <c r="X41" s="275"/>
      <c r="Y41" s="275"/>
      <c r="Z41" s="275"/>
      <c r="AA41" s="275"/>
      <c r="AB41" s="275"/>
      <c r="AC41" s="275"/>
      <c r="AD41" s="275"/>
      <c r="AE41" s="275"/>
      <c r="AF41" s="275"/>
      <c r="AG41" s="275"/>
      <c r="AH41" s="275"/>
      <c r="AI41" s="275"/>
      <c r="AJ41" s="275"/>
      <c r="AK41" s="275"/>
      <c r="AL41" s="275"/>
      <c r="AM41" s="275"/>
      <c r="AN41" s="275"/>
      <c r="AO41" s="286"/>
    </row>
    <row r="42" spans="2:41" ht="19.5" customHeight="1" x14ac:dyDescent="0.3">
      <c r="B42" s="468"/>
      <c r="C42" s="468"/>
      <c r="D42" s="468"/>
      <c r="E42" s="465"/>
      <c r="F42" s="465"/>
      <c r="G42" s="465"/>
      <c r="H42" s="465"/>
      <c r="I42" s="465"/>
      <c r="J42" s="254" t="s">
        <v>326</v>
      </c>
      <c r="K42" s="275"/>
      <c r="L42" s="275"/>
      <c r="M42" s="275"/>
      <c r="N42" s="275"/>
      <c r="O42" s="275"/>
      <c r="P42" s="275"/>
      <c r="Q42" s="275"/>
      <c r="R42" s="275"/>
      <c r="S42" s="275"/>
      <c r="T42" s="275"/>
      <c r="U42" s="275"/>
      <c r="V42" s="275"/>
      <c r="W42" s="275"/>
      <c r="X42" s="275"/>
      <c r="Y42" s="275"/>
      <c r="Z42" s="275"/>
      <c r="AA42" s="275"/>
      <c r="AB42" s="275"/>
      <c r="AC42" s="275"/>
      <c r="AD42" s="275"/>
      <c r="AE42" s="275"/>
      <c r="AF42" s="275"/>
      <c r="AG42" s="275"/>
      <c r="AH42" s="275"/>
      <c r="AI42" s="275"/>
      <c r="AJ42" s="275"/>
      <c r="AK42" s="275"/>
      <c r="AL42" s="275"/>
      <c r="AM42" s="275"/>
      <c r="AN42" s="275"/>
      <c r="AO42" s="286"/>
    </row>
    <row r="43" spans="2:41" ht="19.5" customHeight="1" x14ac:dyDescent="0.3">
      <c r="B43" s="468"/>
      <c r="C43" s="468"/>
      <c r="D43" s="468"/>
      <c r="E43" s="465"/>
      <c r="F43" s="465"/>
      <c r="G43" s="465"/>
      <c r="H43" s="465"/>
      <c r="I43" s="465"/>
      <c r="J43" s="254" t="s">
        <v>116</v>
      </c>
      <c r="K43" s="275"/>
      <c r="L43" s="276"/>
      <c r="M43" s="276"/>
      <c r="N43" s="276"/>
      <c r="O43" s="276"/>
      <c r="P43" s="276"/>
      <c r="Q43" s="267"/>
      <c r="R43" s="267"/>
      <c r="S43" s="267"/>
      <c r="T43" s="267"/>
      <c r="U43" s="267"/>
      <c r="V43" s="267"/>
      <c r="W43" s="267"/>
      <c r="X43" s="267"/>
      <c r="Y43" s="267"/>
      <c r="Z43" s="267"/>
      <c r="AA43" s="267"/>
      <c r="AB43" s="267"/>
      <c r="AC43" s="267"/>
      <c r="AD43" s="267"/>
      <c r="AE43" s="267"/>
      <c r="AF43" s="267"/>
      <c r="AG43" s="267"/>
      <c r="AH43" s="267"/>
      <c r="AI43" s="267"/>
      <c r="AJ43" s="267"/>
      <c r="AK43" s="267"/>
      <c r="AL43" s="267"/>
      <c r="AM43" s="267"/>
      <c r="AN43" s="267"/>
      <c r="AO43" s="268"/>
    </row>
    <row r="44" spans="2:41" ht="19.5" customHeight="1" x14ac:dyDescent="0.3">
      <c r="B44" s="469"/>
      <c r="C44" s="469"/>
      <c r="D44" s="469"/>
      <c r="E44" s="466"/>
      <c r="F44" s="466"/>
      <c r="G44" s="466"/>
      <c r="H44" s="466"/>
      <c r="I44" s="466"/>
      <c r="J44" s="254" t="s">
        <v>273</v>
      </c>
      <c r="K44" s="275"/>
      <c r="L44" s="276"/>
      <c r="M44" s="276"/>
      <c r="N44" s="276"/>
      <c r="O44" s="276"/>
      <c r="P44" s="276"/>
      <c r="Q44" s="267"/>
      <c r="R44" s="267"/>
      <c r="S44" s="267"/>
      <c r="T44" s="267"/>
      <c r="U44" s="267"/>
      <c r="V44" s="267"/>
      <c r="W44" s="267"/>
      <c r="X44" s="267"/>
      <c r="Y44" s="267"/>
      <c r="Z44" s="267"/>
      <c r="AA44" s="267"/>
      <c r="AB44" s="267"/>
      <c r="AC44" s="267"/>
      <c r="AD44" s="267"/>
      <c r="AE44" s="267"/>
      <c r="AF44" s="267"/>
      <c r="AG44" s="267"/>
      <c r="AH44" s="267"/>
      <c r="AI44" s="267"/>
      <c r="AJ44" s="267"/>
      <c r="AK44" s="267"/>
      <c r="AL44" s="267"/>
      <c r="AM44" s="267"/>
      <c r="AN44" s="267"/>
      <c r="AO44" s="268"/>
    </row>
    <row r="45" spans="2:41" ht="19.5" customHeight="1" x14ac:dyDescent="0.3">
      <c r="B45" s="467" t="s">
        <v>40</v>
      </c>
      <c r="C45" s="467" t="s">
        <v>185</v>
      </c>
      <c r="D45" s="467" t="s">
        <v>189</v>
      </c>
      <c r="E45" s="464">
        <f>IFERROR(SUM(K45:AO45),)</f>
        <v>1200</v>
      </c>
      <c r="F45" s="464">
        <f>IFERROR(SUM(K46:AO46),)</f>
        <v>0</v>
      </c>
      <c r="G45" s="464">
        <f>IFERROR(SUM(K47:AO47),)</f>
        <v>0</v>
      </c>
      <c r="H45" s="464">
        <f>IFERROR(SUM(K48:AO48),)</f>
        <v>0</v>
      </c>
      <c r="I45" s="464">
        <f>IFERROR(SUM(K49:AO49),)</f>
        <v>0</v>
      </c>
      <c r="J45" s="254" t="s">
        <v>271</v>
      </c>
      <c r="K45" s="279">
        <v>300</v>
      </c>
      <c r="L45" s="279"/>
      <c r="M45" s="279"/>
      <c r="N45" s="279"/>
      <c r="O45" s="279"/>
      <c r="P45" s="279">
        <v>300</v>
      </c>
      <c r="Q45" s="279">
        <v>300</v>
      </c>
      <c r="R45" s="279">
        <v>300</v>
      </c>
      <c r="S45" s="279"/>
      <c r="T45" s="279"/>
      <c r="U45" s="279"/>
      <c r="V45" s="279"/>
      <c r="W45" s="279"/>
      <c r="X45" s="279"/>
      <c r="Y45" s="279"/>
      <c r="Z45" s="279"/>
      <c r="AA45" s="279"/>
      <c r="AB45" s="279"/>
      <c r="AC45" s="279"/>
      <c r="AD45" s="279"/>
      <c r="AE45" s="279"/>
      <c r="AF45" s="279"/>
      <c r="AG45" s="279"/>
      <c r="AH45" s="279"/>
      <c r="AI45" s="279"/>
      <c r="AJ45" s="279"/>
      <c r="AK45" s="279"/>
      <c r="AL45" s="279"/>
      <c r="AM45" s="279"/>
      <c r="AN45" s="279"/>
      <c r="AO45" s="285"/>
    </row>
    <row r="46" spans="2:41" ht="19.5" customHeight="1" x14ac:dyDescent="0.3">
      <c r="B46" s="468"/>
      <c r="C46" s="468"/>
      <c r="D46" s="468"/>
      <c r="E46" s="465"/>
      <c r="F46" s="465"/>
      <c r="G46" s="465"/>
      <c r="H46" s="465"/>
      <c r="I46" s="465"/>
      <c r="J46" s="254" t="s">
        <v>324</v>
      </c>
      <c r="K46" s="275"/>
      <c r="L46" s="275"/>
      <c r="M46" s="275"/>
      <c r="N46" s="275"/>
      <c r="O46" s="275"/>
      <c r="P46" s="275"/>
      <c r="Q46" s="275"/>
      <c r="R46" s="275"/>
      <c r="S46" s="275"/>
      <c r="T46" s="275"/>
      <c r="U46" s="275"/>
      <c r="V46" s="275"/>
      <c r="W46" s="275"/>
      <c r="X46" s="275"/>
      <c r="Y46" s="275"/>
      <c r="Z46" s="275"/>
      <c r="AA46" s="275"/>
      <c r="AB46" s="275"/>
      <c r="AC46" s="275"/>
      <c r="AD46" s="275"/>
      <c r="AE46" s="275"/>
      <c r="AF46" s="275"/>
      <c r="AG46" s="275"/>
      <c r="AH46" s="275"/>
      <c r="AI46" s="275"/>
      <c r="AJ46" s="275"/>
      <c r="AK46" s="275"/>
      <c r="AL46" s="275"/>
      <c r="AM46" s="275"/>
      <c r="AN46" s="275"/>
      <c r="AO46" s="286"/>
    </row>
    <row r="47" spans="2:41" ht="19.5" customHeight="1" x14ac:dyDescent="0.3">
      <c r="B47" s="468"/>
      <c r="C47" s="468"/>
      <c r="D47" s="468"/>
      <c r="E47" s="465"/>
      <c r="F47" s="465"/>
      <c r="G47" s="465"/>
      <c r="H47" s="465"/>
      <c r="I47" s="465"/>
      <c r="J47" s="254" t="s">
        <v>326</v>
      </c>
      <c r="K47" s="275"/>
      <c r="L47" s="275"/>
      <c r="M47" s="275"/>
      <c r="N47" s="275"/>
      <c r="O47" s="275"/>
      <c r="P47" s="275"/>
      <c r="Q47" s="275"/>
      <c r="R47" s="275"/>
      <c r="S47" s="275"/>
      <c r="T47" s="275"/>
      <c r="U47" s="275"/>
      <c r="V47" s="275"/>
      <c r="W47" s="275"/>
      <c r="X47" s="275"/>
      <c r="Y47" s="275"/>
      <c r="Z47" s="275"/>
      <c r="AA47" s="275"/>
      <c r="AB47" s="275"/>
      <c r="AC47" s="275"/>
      <c r="AD47" s="275"/>
      <c r="AE47" s="275"/>
      <c r="AF47" s="275"/>
      <c r="AG47" s="275"/>
      <c r="AH47" s="275"/>
      <c r="AI47" s="275"/>
      <c r="AJ47" s="275"/>
      <c r="AK47" s="275"/>
      <c r="AL47" s="275"/>
      <c r="AM47" s="275"/>
      <c r="AN47" s="275"/>
      <c r="AO47" s="286"/>
    </row>
    <row r="48" spans="2:41" ht="19.5" customHeight="1" x14ac:dyDescent="0.3">
      <c r="B48" s="468"/>
      <c r="C48" s="468"/>
      <c r="D48" s="468"/>
      <c r="E48" s="465"/>
      <c r="F48" s="465"/>
      <c r="G48" s="465"/>
      <c r="H48" s="465"/>
      <c r="I48" s="465"/>
      <c r="J48" s="254" t="s">
        <v>116</v>
      </c>
      <c r="K48" s="275"/>
      <c r="L48" s="276"/>
      <c r="M48" s="276"/>
      <c r="N48" s="276"/>
      <c r="O48" s="276"/>
      <c r="P48" s="276"/>
      <c r="Q48" s="267"/>
      <c r="R48" s="267"/>
      <c r="S48" s="267"/>
      <c r="T48" s="267"/>
      <c r="U48" s="267"/>
      <c r="V48" s="267"/>
      <c r="W48" s="267"/>
      <c r="X48" s="267"/>
      <c r="Y48" s="267"/>
      <c r="Z48" s="267"/>
      <c r="AA48" s="267"/>
      <c r="AB48" s="267"/>
      <c r="AC48" s="267"/>
      <c r="AD48" s="267"/>
      <c r="AE48" s="267"/>
      <c r="AF48" s="267"/>
      <c r="AG48" s="267"/>
      <c r="AH48" s="267"/>
      <c r="AI48" s="267"/>
      <c r="AJ48" s="267"/>
      <c r="AK48" s="267"/>
      <c r="AL48" s="267"/>
      <c r="AM48" s="267"/>
      <c r="AN48" s="267"/>
      <c r="AO48" s="268"/>
    </row>
    <row r="49" spans="2:41" ht="19.5" customHeight="1" x14ac:dyDescent="0.3">
      <c r="B49" s="469"/>
      <c r="C49" s="469"/>
      <c r="D49" s="469"/>
      <c r="E49" s="466"/>
      <c r="F49" s="466"/>
      <c r="G49" s="466"/>
      <c r="H49" s="466"/>
      <c r="I49" s="466"/>
      <c r="J49" s="254" t="s">
        <v>273</v>
      </c>
      <c r="K49" s="275"/>
      <c r="L49" s="276"/>
      <c r="M49" s="276"/>
      <c r="N49" s="276"/>
      <c r="O49" s="276"/>
      <c r="P49" s="276"/>
      <c r="Q49" s="267"/>
      <c r="R49" s="267"/>
      <c r="S49" s="267"/>
      <c r="T49" s="267"/>
      <c r="U49" s="267"/>
      <c r="V49" s="267"/>
      <c r="W49" s="267"/>
      <c r="X49" s="267"/>
      <c r="Y49" s="267"/>
      <c r="Z49" s="267"/>
      <c r="AA49" s="267"/>
      <c r="AB49" s="267"/>
      <c r="AC49" s="267"/>
      <c r="AD49" s="267"/>
      <c r="AE49" s="267"/>
      <c r="AF49" s="267"/>
      <c r="AG49" s="267"/>
      <c r="AH49" s="267"/>
      <c r="AI49" s="267"/>
      <c r="AJ49" s="267"/>
      <c r="AK49" s="267"/>
      <c r="AL49" s="267"/>
      <c r="AM49" s="267"/>
      <c r="AN49" s="267"/>
      <c r="AO49" s="268"/>
    </row>
    <row r="50" spans="2:41" ht="19.5" customHeight="1" x14ac:dyDescent="0.3">
      <c r="B50" s="467" t="s">
        <v>41</v>
      </c>
      <c r="C50" s="467" t="s">
        <v>185</v>
      </c>
      <c r="D50" s="467" t="s">
        <v>190</v>
      </c>
      <c r="E50" s="464">
        <f>IFERROR(SUM(K50:AO50),)</f>
        <v>0</v>
      </c>
      <c r="F50" s="464">
        <f>IFERROR(SUM(K51:AO51),)</f>
        <v>0</v>
      </c>
      <c r="G50" s="464">
        <f>IFERROR(SUM(K52:AO52),)</f>
        <v>0</v>
      </c>
      <c r="H50" s="464">
        <f>IFERROR(SUM(K53:AO53),)</f>
        <v>0</v>
      </c>
      <c r="I50" s="464">
        <f>IFERROR(SUM(K54:AO54),)</f>
        <v>0</v>
      </c>
      <c r="J50" s="254" t="s">
        <v>271</v>
      </c>
      <c r="K50" s="279"/>
      <c r="L50" s="279"/>
      <c r="M50" s="279"/>
      <c r="N50" s="279"/>
      <c r="O50" s="279"/>
      <c r="P50" s="279"/>
      <c r="Q50" s="279"/>
      <c r="R50" s="279"/>
      <c r="S50" s="279"/>
      <c r="T50" s="279"/>
      <c r="U50" s="279"/>
      <c r="V50" s="279"/>
      <c r="W50" s="279"/>
      <c r="X50" s="279"/>
      <c r="Y50" s="279"/>
      <c r="Z50" s="279"/>
      <c r="AA50" s="279"/>
      <c r="AB50" s="279"/>
      <c r="AC50" s="279"/>
      <c r="AD50" s="279"/>
      <c r="AE50" s="279"/>
      <c r="AF50" s="279"/>
      <c r="AG50" s="279"/>
      <c r="AH50" s="279"/>
      <c r="AI50" s="279"/>
      <c r="AJ50" s="279"/>
      <c r="AK50" s="279"/>
      <c r="AL50" s="279"/>
      <c r="AM50" s="279"/>
      <c r="AN50" s="279"/>
      <c r="AO50" s="285"/>
    </row>
    <row r="51" spans="2:41" ht="19.5" customHeight="1" x14ac:dyDescent="0.3">
      <c r="B51" s="468"/>
      <c r="C51" s="468"/>
      <c r="D51" s="468"/>
      <c r="E51" s="465"/>
      <c r="F51" s="465"/>
      <c r="G51" s="465"/>
      <c r="H51" s="465"/>
      <c r="I51" s="465"/>
      <c r="J51" s="254" t="s">
        <v>324</v>
      </c>
      <c r="K51" s="275"/>
      <c r="L51" s="275"/>
      <c r="M51" s="275"/>
      <c r="N51" s="275"/>
      <c r="O51" s="275"/>
      <c r="P51" s="275"/>
      <c r="Q51" s="275"/>
      <c r="R51" s="275"/>
      <c r="S51" s="275"/>
      <c r="T51" s="275"/>
      <c r="U51" s="275"/>
      <c r="V51" s="275"/>
      <c r="W51" s="275"/>
      <c r="X51" s="275"/>
      <c r="Y51" s="275"/>
      <c r="Z51" s="275"/>
      <c r="AA51" s="275"/>
      <c r="AB51" s="275"/>
      <c r="AC51" s="275"/>
      <c r="AD51" s="275"/>
      <c r="AE51" s="275"/>
      <c r="AF51" s="275"/>
      <c r="AG51" s="275"/>
      <c r="AH51" s="275"/>
      <c r="AI51" s="275"/>
      <c r="AJ51" s="275"/>
      <c r="AK51" s="275"/>
      <c r="AL51" s="275"/>
      <c r="AM51" s="275"/>
      <c r="AN51" s="275"/>
      <c r="AO51" s="286"/>
    </row>
    <row r="52" spans="2:41" ht="19.5" customHeight="1" x14ac:dyDescent="0.3">
      <c r="B52" s="468"/>
      <c r="C52" s="468"/>
      <c r="D52" s="468"/>
      <c r="E52" s="465"/>
      <c r="F52" s="465"/>
      <c r="G52" s="465"/>
      <c r="H52" s="465"/>
      <c r="I52" s="465"/>
      <c r="J52" s="254" t="s">
        <v>326</v>
      </c>
      <c r="K52" s="275"/>
      <c r="L52" s="275"/>
      <c r="M52" s="275"/>
      <c r="N52" s="275"/>
      <c r="O52" s="275"/>
      <c r="P52" s="275"/>
      <c r="Q52" s="275"/>
      <c r="R52" s="275"/>
      <c r="S52" s="275"/>
      <c r="T52" s="275"/>
      <c r="U52" s="275"/>
      <c r="V52" s="275"/>
      <c r="W52" s="275"/>
      <c r="X52" s="275"/>
      <c r="Y52" s="275"/>
      <c r="Z52" s="275"/>
      <c r="AA52" s="275"/>
      <c r="AB52" s="275"/>
      <c r="AC52" s="275"/>
      <c r="AD52" s="275"/>
      <c r="AE52" s="275"/>
      <c r="AF52" s="275"/>
      <c r="AG52" s="275"/>
      <c r="AH52" s="275"/>
      <c r="AI52" s="275"/>
      <c r="AJ52" s="275"/>
      <c r="AK52" s="275"/>
      <c r="AL52" s="275"/>
      <c r="AM52" s="275"/>
      <c r="AN52" s="275"/>
      <c r="AO52" s="286"/>
    </row>
    <row r="53" spans="2:41" ht="19.5" customHeight="1" x14ac:dyDescent="0.3">
      <c r="B53" s="468"/>
      <c r="C53" s="468"/>
      <c r="D53" s="468"/>
      <c r="E53" s="465"/>
      <c r="F53" s="465"/>
      <c r="G53" s="465"/>
      <c r="H53" s="465"/>
      <c r="I53" s="465"/>
      <c r="J53" s="254" t="s">
        <v>116</v>
      </c>
      <c r="K53" s="275"/>
      <c r="L53" s="276"/>
      <c r="M53" s="276"/>
      <c r="N53" s="276"/>
      <c r="O53" s="276"/>
      <c r="P53" s="276"/>
      <c r="Q53" s="267"/>
      <c r="R53" s="267"/>
      <c r="S53" s="267"/>
      <c r="T53" s="267"/>
      <c r="U53" s="267"/>
      <c r="V53" s="267"/>
      <c r="W53" s="267"/>
      <c r="X53" s="267"/>
      <c r="Y53" s="267"/>
      <c r="Z53" s="267"/>
      <c r="AA53" s="267"/>
      <c r="AB53" s="267"/>
      <c r="AC53" s="267"/>
      <c r="AD53" s="267"/>
      <c r="AE53" s="267"/>
      <c r="AF53" s="267"/>
      <c r="AG53" s="267"/>
      <c r="AH53" s="267"/>
      <c r="AI53" s="267"/>
      <c r="AJ53" s="267"/>
      <c r="AK53" s="267"/>
      <c r="AL53" s="267"/>
      <c r="AM53" s="267"/>
      <c r="AN53" s="280"/>
      <c r="AO53" s="268"/>
    </row>
    <row r="54" spans="2:41" ht="19.5" customHeight="1" x14ac:dyDescent="0.3">
      <c r="B54" s="469"/>
      <c r="C54" s="469"/>
      <c r="D54" s="469"/>
      <c r="E54" s="466"/>
      <c r="F54" s="466"/>
      <c r="G54" s="466"/>
      <c r="H54" s="466"/>
      <c r="I54" s="466"/>
      <c r="J54" s="254" t="s">
        <v>273</v>
      </c>
      <c r="K54" s="275"/>
      <c r="L54" s="276"/>
      <c r="M54" s="276"/>
      <c r="N54" s="276"/>
      <c r="O54" s="276"/>
      <c r="P54" s="276"/>
      <c r="Q54" s="267"/>
      <c r="R54" s="267"/>
      <c r="S54" s="267"/>
      <c r="T54" s="267"/>
      <c r="U54" s="267"/>
      <c r="V54" s="267"/>
      <c r="W54" s="267"/>
      <c r="X54" s="267"/>
      <c r="Y54" s="267"/>
      <c r="Z54" s="267"/>
      <c r="AA54" s="267"/>
      <c r="AB54" s="267"/>
      <c r="AC54" s="267"/>
      <c r="AD54" s="267"/>
      <c r="AE54" s="267"/>
      <c r="AF54" s="267"/>
      <c r="AG54" s="267"/>
      <c r="AH54" s="267"/>
      <c r="AI54" s="267"/>
      <c r="AJ54" s="267"/>
      <c r="AK54" s="267"/>
      <c r="AL54" s="267"/>
      <c r="AM54" s="267"/>
      <c r="AN54" s="280"/>
      <c r="AO54" s="268"/>
    </row>
    <row r="55" spans="2:41" ht="19.5" customHeight="1" x14ac:dyDescent="0.3">
      <c r="B55" s="467" t="s">
        <v>42</v>
      </c>
      <c r="C55" s="467" t="s">
        <v>185</v>
      </c>
      <c r="D55" s="467" t="s">
        <v>191</v>
      </c>
      <c r="E55" s="464">
        <f>IFERROR(SUM(K55:AO55),)</f>
        <v>0</v>
      </c>
      <c r="F55" s="464">
        <f>IFERROR(SUM(K56:AO56),)</f>
        <v>0</v>
      </c>
      <c r="G55" s="464">
        <f>IFERROR(SUM(K57:AO57),)</f>
        <v>0</v>
      </c>
      <c r="H55" s="464">
        <f>IFERROR(SUM(K58:AO58),)</f>
        <v>0</v>
      </c>
      <c r="I55" s="464">
        <f>IFERROR(SUM(K59:AO59),)</f>
        <v>0</v>
      </c>
      <c r="J55" s="254" t="s">
        <v>271</v>
      </c>
      <c r="K55" s="279"/>
      <c r="L55" s="279"/>
      <c r="M55" s="279"/>
      <c r="N55" s="279"/>
      <c r="O55" s="279"/>
      <c r="P55" s="279"/>
      <c r="Q55" s="279"/>
      <c r="R55" s="279"/>
      <c r="S55" s="279"/>
      <c r="T55" s="279"/>
      <c r="U55" s="279"/>
      <c r="V55" s="279"/>
      <c r="W55" s="279"/>
      <c r="X55" s="279"/>
      <c r="Y55" s="279"/>
      <c r="Z55" s="279"/>
      <c r="AA55" s="279"/>
      <c r="AB55" s="279"/>
      <c r="AC55" s="279"/>
      <c r="AD55" s="279"/>
      <c r="AE55" s="279"/>
      <c r="AF55" s="279"/>
      <c r="AG55" s="279"/>
      <c r="AH55" s="279"/>
      <c r="AI55" s="279"/>
      <c r="AJ55" s="279"/>
      <c r="AK55" s="279"/>
      <c r="AL55" s="279"/>
      <c r="AM55" s="279"/>
      <c r="AN55" s="279"/>
      <c r="AO55" s="285"/>
    </row>
    <row r="56" spans="2:41" ht="19.5" customHeight="1" x14ac:dyDescent="0.3">
      <c r="B56" s="468"/>
      <c r="C56" s="468"/>
      <c r="D56" s="468"/>
      <c r="E56" s="465"/>
      <c r="F56" s="465"/>
      <c r="G56" s="465"/>
      <c r="H56" s="465"/>
      <c r="I56" s="465"/>
      <c r="J56" s="254" t="s">
        <v>324</v>
      </c>
      <c r="K56" s="275"/>
      <c r="L56" s="275"/>
      <c r="M56" s="275"/>
      <c r="N56" s="275"/>
      <c r="O56" s="275"/>
      <c r="P56" s="275"/>
      <c r="Q56" s="275"/>
      <c r="R56" s="275"/>
      <c r="S56" s="275"/>
      <c r="T56" s="275"/>
      <c r="U56" s="275"/>
      <c r="V56" s="275"/>
      <c r="W56" s="275"/>
      <c r="X56" s="275"/>
      <c r="Y56" s="275"/>
      <c r="Z56" s="275"/>
      <c r="AA56" s="275"/>
      <c r="AB56" s="275"/>
      <c r="AC56" s="275"/>
      <c r="AD56" s="275"/>
      <c r="AE56" s="275"/>
      <c r="AF56" s="275"/>
      <c r="AG56" s="275"/>
      <c r="AH56" s="275"/>
      <c r="AI56" s="275"/>
      <c r="AJ56" s="275"/>
      <c r="AK56" s="275"/>
      <c r="AL56" s="275"/>
      <c r="AM56" s="275"/>
      <c r="AN56" s="275"/>
      <c r="AO56" s="286"/>
    </row>
    <row r="57" spans="2:41" ht="19.5" customHeight="1" x14ac:dyDescent="0.3">
      <c r="B57" s="468"/>
      <c r="C57" s="468"/>
      <c r="D57" s="468"/>
      <c r="E57" s="465"/>
      <c r="F57" s="465"/>
      <c r="G57" s="465"/>
      <c r="H57" s="465"/>
      <c r="I57" s="465"/>
      <c r="J57" s="254" t="s">
        <v>326</v>
      </c>
      <c r="K57" s="275"/>
      <c r="L57" s="275"/>
      <c r="M57" s="275"/>
      <c r="N57" s="275"/>
      <c r="O57" s="275"/>
      <c r="P57" s="275"/>
      <c r="Q57" s="275"/>
      <c r="R57" s="275"/>
      <c r="S57" s="275"/>
      <c r="T57" s="275"/>
      <c r="U57" s="275"/>
      <c r="V57" s="275"/>
      <c r="W57" s="275"/>
      <c r="X57" s="275"/>
      <c r="Y57" s="275"/>
      <c r="Z57" s="275"/>
      <c r="AA57" s="275"/>
      <c r="AB57" s="275"/>
      <c r="AC57" s="275"/>
      <c r="AD57" s="275"/>
      <c r="AE57" s="275"/>
      <c r="AF57" s="275"/>
      <c r="AG57" s="275"/>
      <c r="AH57" s="275"/>
      <c r="AI57" s="275"/>
      <c r="AJ57" s="275"/>
      <c r="AK57" s="275"/>
      <c r="AL57" s="275"/>
      <c r="AM57" s="275"/>
      <c r="AN57" s="275"/>
      <c r="AO57" s="286"/>
    </row>
    <row r="58" spans="2:41" ht="19.5" customHeight="1" x14ac:dyDescent="0.3">
      <c r="B58" s="468"/>
      <c r="C58" s="468"/>
      <c r="D58" s="468"/>
      <c r="E58" s="465"/>
      <c r="F58" s="465"/>
      <c r="G58" s="465"/>
      <c r="H58" s="465"/>
      <c r="I58" s="465"/>
      <c r="J58" s="254" t="s">
        <v>116</v>
      </c>
      <c r="K58" s="275"/>
      <c r="L58" s="276"/>
      <c r="M58" s="276"/>
      <c r="N58" s="276"/>
      <c r="O58" s="276"/>
      <c r="P58" s="276"/>
      <c r="Q58" s="267"/>
      <c r="R58" s="267"/>
      <c r="S58" s="267"/>
      <c r="T58" s="267"/>
      <c r="U58" s="267"/>
      <c r="V58" s="267"/>
      <c r="W58" s="267"/>
      <c r="X58" s="267"/>
      <c r="Y58" s="267"/>
      <c r="Z58" s="267"/>
      <c r="AA58" s="267"/>
      <c r="AB58" s="267"/>
      <c r="AC58" s="267"/>
      <c r="AD58" s="267"/>
      <c r="AE58" s="267"/>
      <c r="AF58" s="267"/>
      <c r="AG58" s="267"/>
      <c r="AH58" s="267"/>
      <c r="AI58" s="267"/>
      <c r="AJ58" s="267"/>
      <c r="AK58" s="267"/>
      <c r="AL58" s="267"/>
      <c r="AM58" s="267"/>
      <c r="AN58" s="280"/>
      <c r="AO58" s="268"/>
    </row>
    <row r="59" spans="2:41" ht="19.5" customHeight="1" x14ac:dyDescent="0.3">
      <c r="B59" s="469"/>
      <c r="C59" s="469"/>
      <c r="D59" s="469"/>
      <c r="E59" s="466"/>
      <c r="F59" s="466"/>
      <c r="G59" s="466"/>
      <c r="H59" s="466"/>
      <c r="I59" s="466"/>
      <c r="J59" s="254" t="s">
        <v>273</v>
      </c>
      <c r="K59" s="275"/>
      <c r="L59" s="276"/>
      <c r="M59" s="276"/>
      <c r="N59" s="276"/>
      <c r="O59" s="276"/>
      <c r="P59" s="276"/>
      <c r="Q59" s="267"/>
      <c r="R59" s="267"/>
      <c r="S59" s="267"/>
      <c r="T59" s="267"/>
      <c r="U59" s="267"/>
      <c r="V59" s="267"/>
      <c r="W59" s="267"/>
      <c r="X59" s="267"/>
      <c r="Y59" s="267"/>
      <c r="Z59" s="267"/>
      <c r="AA59" s="267"/>
      <c r="AB59" s="267"/>
      <c r="AC59" s="267"/>
      <c r="AD59" s="267"/>
      <c r="AE59" s="267"/>
      <c r="AF59" s="267"/>
      <c r="AG59" s="267"/>
      <c r="AH59" s="267"/>
      <c r="AI59" s="267"/>
      <c r="AJ59" s="267"/>
      <c r="AK59" s="267"/>
      <c r="AL59" s="267"/>
      <c r="AM59" s="267"/>
      <c r="AN59" s="280"/>
      <c r="AO59" s="268"/>
    </row>
    <row r="60" spans="2:41" ht="19.5" customHeight="1" x14ac:dyDescent="0.3">
      <c r="B60" s="467" t="s">
        <v>43</v>
      </c>
      <c r="C60" s="467" t="s">
        <v>185</v>
      </c>
      <c r="D60" s="467" t="s">
        <v>192</v>
      </c>
      <c r="E60" s="464">
        <f>IFERROR(SUM(K60:AO60),)</f>
        <v>0</v>
      </c>
      <c r="F60" s="464">
        <f>IFERROR(SUM(K61:AO61),)</f>
        <v>0</v>
      </c>
      <c r="G60" s="464">
        <f>IFERROR(SUM(K62:AO62),)</f>
        <v>0</v>
      </c>
      <c r="H60" s="464">
        <f>IFERROR(SUM(K63:AO63),)</f>
        <v>0</v>
      </c>
      <c r="I60" s="464">
        <f>IFERROR(SUM(K64:AO64),)</f>
        <v>0</v>
      </c>
      <c r="J60" s="254" t="s">
        <v>271</v>
      </c>
      <c r="K60" s="279"/>
      <c r="L60" s="279"/>
      <c r="M60" s="279"/>
      <c r="N60" s="279"/>
      <c r="O60" s="279"/>
      <c r="P60" s="279"/>
      <c r="Q60" s="279"/>
      <c r="R60" s="279"/>
      <c r="S60" s="279"/>
      <c r="T60" s="279"/>
      <c r="U60" s="279"/>
      <c r="V60" s="279"/>
      <c r="W60" s="279"/>
      <c r="X60" s="279"/>
      <c r="Y60" s="279"/>
      <c r="Z60" s="279"/>
      <c r="AA60" s="279"/>
      <c r="AB60" s="279"/>
      <c r="AC60" s="279"/>
      <c r="AD60" s="279"/>
      <c r="AE60" s="279"/>
      <c r="AF60" s="279"/>
      <c r="AG60" s="279"/>
      <c r="AH60" s="279"/>
      <c r="AI60" s="279"/>
      <c r="AJ60" s="279"/>
      <c r="AK60" s="279"/>
      <c r="AL60" s="279"/>
      <c r="AM60" s="279"/>
      <c r="AN60" s="279"/>
      <c r="AO60" s="285"/>
    </row>
    <row r="61" spans="2:41" ht="19.5" customHeight="1" x14ac:dyDescent="0.3">
      <c r="B61" s="468"/>
      <c r="C61" s="468"/>
      <c r="D61" s="468"/>
      <c r="E61" s="465"/>
      <c r="F61" s="465"/>
      <c r="G61" s="465"/>
      <c r="H61" s="465"/>
      <c r="I61" s="465"/>
      <c r="J61" s="254" t="s">
        <v>324</v>
      </c>
      <c r="K61" s="275"/>
      <c r="L61" s="275"/>
      <c r="M61" s="275"/>
      <c r="N61" s="275"/>
      <c r="O61" s="275"/>
      <c r="P61" s="275"/>
      <c r="Q61" s="275"/>
      <c r="R61" s="275"/>
      <c r="S61" s="275"/>
      <c r="T61" s="275"/>
      <c r="U61" s="275"/>
      <c r="V61" s="275"/>
      <c r="W61" s="275"/>
      <c r="X61" s="275"/>
      <c r="Y61" s="275"/>
      <c r="Z61" s="275"/>
      <c r="AA61" s="275"/>
      <c r="AB61" s="275"/>
      <c r="AC61" s="275"/>
      <c r="AD61" s="275"/>
      <c r="AE61" s="275"/>
      <c r="AF61" s="275"/>
      <c r="AG61" s="275"/>
      <c r="AH61" s="275"/>
      <c r="AI61" s="275"/>
      <c r="AJ61" s="275"/>
      <c r="AK61" s="275"/>
      <c r="AL61" s="275"/>
      <c r="AM61" s="275"/>
      <c r="AN61" s="275"/>
      <c r="AO61" s="286"/>
    </row>
    <row r="62" spans="2:41" ht="19.5" customHeight="1" x14ac:dyDescent="0.3">
      <c r="B62" s="468"/>
      <c r="C62" s="468"/>
      <c r="D62" s="468"/>
      <c r="E62" s="465"/>
      <c r="F62" s="465"/>
      <c r="G62" s="465"/>
      <c r="H62" s="465"/>
      <c r="I62" s="465"/>
      <c r="J62" s="254" t="s">
        <v>326</v>
      </c>
      <c r="K62" s="277"/>
      <c r="L62" s="277"/>
      <c r="M62" s="277"/>
      <c r="N62" s="277"/>
      <c r="O62" s="277"/>
      <c r="P62" s="277"/>
      <c r="Q62" s="277"/>
      <c r="R62" s="277"/>
      <c r="S62" s="277"/>
      <c r="T62" s="277"/>
      <c r="U62" s="277"/>
      <c r="V62" s="277"/>
      <c r="W62" s="277"/>
      <c r="X62" s="277"/>
      <c r="Y62" s="277"/>
      <c r="Z62" s="277"/>
      <c r="AA62" s="277"/>
      <c r="AB62" s="277"/>
      <c r="AC62" s="277"/>
      <c r="AD62" s="277"/>
      <c r="AE62" s="277"/>
      <c r="AF62" s="277"/>
      <c r="AG62" s="277"/>
      <c r="AH62" s="277"/>
      <c r="AI62" s="277"/>
      <c r="AJ62" s="277"/>
      <c r="AK62" s="277"/>
      <c r="AL62" s="277"/>
      <c r="AM62" s="277"/>
      <c r="AN62" s="277"/>
      <c r="AO62" s="284"/>
    </row>
    <row r="63" spans="2:41" ht="19.5" customHeight="1" x14ac:dyDescent="0.3">
      <c r="B63" s="468"/>
      <c r="C63" s="468"/>
      <c r="D63" s="468"/>
      <c r="E63" s="465"/>
      <c r="F63" s="465"/>
      <c r="G63" s="465"/>
      <c r="H63" s="465"/>
      <c r="I63" s="465"/>
      <c r="J63" s="254" t="s">
        <v>116</v>
      </c>
      <c r="K63" s="277"/>
      <c r="L63" s="278"/>
      <c r="M63" s="278"/>
      <c r="N63" s="278"/>
      <c r="O63" s="278"/>
      <c r="P63" s="278"/>
      <c r="Q63" s="269"/>
      <c r="R63" s="269"/>
      <c r="S63" s="269"/>
      <c r="T63" s="269"/>
      <c r="U63" s="269"/>
      <c r="V63" s="269"/>
      <c r="W63" s="269"/>
      <c r="X63" s="269"/>
      <c r="Y63" s="269"/>
      <c r="Z63" s="269"/>
      <c r="AA63" s="269"/>
      <c r="AB63" s="269"/>
      <c r="AC63" s="269"/>
      <c r="AD63" s="269"/>
      <c r="AE63" s="269"/>
      <c r="AF63" s="269"/>
      <c r="AG63" s="269"/>
      <c r="AH63" s="269"/>
      <c r="AI63" s="269"/>
      <c r="AJ63" s="269"/>
      <c r="AK63" s="269"/>
      <c r="AL63" s="269"/>
      <c r="AM63" s="269"/>
      <c r="AN63" s="269"/>
      <c r="AO63" s="270"/>
    </row>
    <row r="64" spans="2:41" ht="19.5" customHeight="1" x14ac:dyDescent="0.3">
      <c r="B64" s="469"/>
      <c r="C64" s="469"/>
      <c r="D64" s="469"/>
      <c r="E64" s="466"/>
      <c r="F64" s="466"/>
      <c r="G64" s="466"/>
      <c r="H64" s="466"/>
      <c r="I64" s="466"/>
      <c r="J64" s="254" t="s">
        <v>273</v>
      </c>
      <c r="K64" s="277"/>
      <c r="L64" s="278"/>
      <c r="M64" s="278"/>
      <c r="N64" s="278"/>
      <c r="O64" s="278"/>
      <c r="P64" s="278"/>
      <c r="Q64" s="269"/>
      <c r="R64" s="269"/>
      <c r="S64" s="269"/>
      <c r="T64" s="269"/>
      <c r="U64" s="269"/>
      <c r="V64" s="269"/>
      <c r="W64" s="269"/>
      <c r="X64" s="269"/>
      <c r="Y64" s="269"/>
      <c r="Z64" s="269"/>
      <c r="AA64" s="269"/>
      <c r="AB64" s="269"/>
      <c r="AC64" s="269"/>
      <c r="AD64" s="269"/>
      <c r="AE64" s="269"/>
      <c r="AF64" s="269"/>
      <c r="AG64" s="269"/>
      <c r="AH64" s="269"/>
      <c r="AI64" s="269"/>
      <c r="AJ64" s="269"/>
      <c r="AK64" s="269"/>
      <c r="AL64" s="269"/>
      <c r="AM64" s="269"/>
      <c r="AN64" s="269"/>
      <c r="AO64" s="270"/>
    </row>
    <row r="65" spans="2:41" ht="19.5" customHeight="1" x14ac:dyDescent="0.3">
      <c r="B65" s="467" t="s">
        <v>74</v>
      </c>
      <c r="C65" s="467" t="s">
        <v>185</v>
      </c>
      <c r="D65" s="467" t="s">
        <v>208</v>
      </c>
      <c r="E65" s="464">
        <f>IFERROR(SUM(K65:AO65),)</f>
        <v>0</v>
      </c>
      <c r="F65" s="464">
        <f>IFERROR(SUM(K66:AO66),)</f>
        <v>0</v>
      </c>
      <c r="G65" s="464">
        <f>IFERROR(SUM(K67:AO67),)</f>
        <v>0</v>
      </c>
      <c r="H65" s="464">
        <f>IFERROR(SUM(K68:AO68),)</f>
        <v>0</v>
      </c>
      <c r="I65" s="464">
        <f>IFERROR(SUM(K69:AO69),)</f>
        <v>0</v>
      </c>
      <c r="J65" s="254" t="s">
        <v>271</v>
      </c>
      <c r="K65" s="279"/>
      <c r="L65" s="279"/>
      <c r="M65" s="279"/>
      <c r="N65" s="279"/>
      <c r="O65" s="279"/>
      <c r="P65" s="279"/>
      <c r="Q65" s="279"/>
      <c r="R65" s="279"/>
      <c r="S65" s="279"/>
      <c r="T65" s="279"/>
      <c r="U65" s="279"/>
      <c r="V65" s="279"/>
      <c r="W65" s="279"/>
      <c r="X65" s="279"/>
      <c r="Y65" s="279"/>
      <c r="Z65" s="279"/>
      <c r="AA65" s="279"/>
      <c r="AB65" s="279"/>
      <c r="AC65" s="279"/>
      <c r="AD65" s="279"/>
      <c r="AE65" s="279"/>
      <c r="AF65" s="279"/>
      <c r="AG65" s="279"/>
      <c r="AH65" s="279"/>
      <c r="AI65" s="279"/>
      <c r="AJ65" s="279"/>
      <c r="AK65" s="279"/>
      <c r="AL65" s="279"/>
      <c r="AM65" s="279"/>
      <c r="AN65" s="279"/>
      <c r="AO65" s="285"/>
    </row>
    <row r="66" spans="2:41" ht="19.5" customHeight="1" x14ac:dyDescent="0.3">
      <c r="B66" s="468"/>
      <c r="C66" s="468"/>
      <c r="D66" s="468"/>
      <c r="E66" s="465"/>
      <c r="F66" s="465"/>
      <c r="G66" s="465"/>
      <c r="H66" s="465"/>
      <c r="I66" s="465"/>
      <c r="J66" s="254" t="s">
        <v>324</v>
      </c>
      <c r="K66" s="275"/>
      <c r="L66" s="275"/>
      <c r="M66" s="275"/>
      <c r="N66" s="275"/>
      <c r="O66" s="275"/>
      <c r="P66" s="275"/>
      <c r="Q66" s="275"/>
      <c r="R66" s="275"/>
      <c r="S66" s="275"/>
      <c r="T66" s="275"/>
      <c r="U66" s="275"/>
      <c r="V66" s="275"/>
      <c r="W66" s="275"/>
      <c r="X66" s="275"/>
      <c r="Y66" s="275"/>
      <c r="Z66" s="275"/>
      <c r="AA66" s="275"/>
      <c r="AB66" s="275"/>
      <c r="AC66" s="275"/>
      <c r="AD66" s="275"/>
      <c r="AE66" s="275"/>
      <c r="AF66" s="275"/>
      <c r="AG66" s="275"/>
      <c r="AH66" s="275"/>
      <c r="AI66" s="275"/>
      <c r="AJ66" s="275"/>
      <c r="AK66" s="275"/>
      <c r="AL66" s="275"/>
      <c r="AM66" s="275"/>
      <c r="AN66" s="275"/>
      <c r="AO66" s="286"/>
    </row>
    <row r="67" spans="2:41" ht="19.5" customHeight="1" x14ac:dyDescent="0.3">
      <c r="B67" s="468"/>
      <c r="C67" s="468"/>
      <c r="D67" s="468"/>
      <c r="E67" s="465"/>
      <c r="F67" s="465"/>
      <c r="G67" s="465"/>
      <c r="H67" s="465"/>
      <c r="I67" s="465"/>
      <c r="J67" s="254" t="s">
        <v>326</v>
      </c>
      <c r="K67" s="275"/>
      <c r="L67" s="275"/>
      <c r="M67" s="275"/>
      <c r="N67" s="275"/>
      <c r="O67" s="275"/>
      <c r="P67" s="275"/>
      <c r="Q67" s="275"/>
      <c r="R67" s="275"/>
      <c r="S67" s="275"/>
      <c r="T67" s="275"/>
      <c r="U67" s="275"/>
      <c r="V67" s="275"/>
      <c r="W67" s="275"/>
      <c r="X67" s="275"/>
      <c r="Y67" s="275"/>
      <c r="Z67" s="275"/>
      <c r="AA67" s="275"/>
      <c r="AB67" s="275"/>
      <c r="AC67" s="275"/>
      <c r="AD67" s="275"/>
      <c r="AE67" s="275"/>
      <c r="AF67" s="275"/>
      <c r="AG67" s="275"/>
      <c r="AH67" s="275"/>
      <c r="AI67" s="275"/>
      <c r="AJ67" s="275"/>
      <c r="AK67" s="275"/>
      <c r="AL67" s="275"/>
      <c r="AM67" s="275"/>
      <c r="AN67" s="275"/>
      <c r="AO67" s="286"/>
    </row>
    <row r="68" spans="2:41" ht="19.5" customHeight="1" x14ac:dyDescent="0.3">
      <c r="B68" s="468"/>
      <c r="C68" s="468"/>
      <c r="D68" s="468"/>
      <c r="E68" s="465"/>
      <c r="F68" s="465"/>
      <c r="G68" s="465"/>
      <c r="H68" s="465"/>
      <c r="I68" s="465"/>
      <c r="J68" s="254" t="s">
        <v>116</v>
      </c>
      <c r="K68" s="275"/>
      <c r="L68" s="276"/>
      <c r="M68" s="276"/>
      <c r="N68" s="276"/>
      <c r="O68" s="276"/>
      <c r="P68" s="276"/>
      <c r="Q68" s="267"/>
      <c r="R68" s="267"/>
      <c r="S68" s="267"/>
      <c r="T68" s="267"/>
      <c r="U68" s="267"/>
      <c r="V68" s="267"/>
      <c r="W68" s="267"/>
      <c r="X68" s="267"/>
      <c r="Y68" s="267"/>
      <c r="Z68" s="267"/>
      <c r="AA68" s="267"/>
      <c r="AB68" s="267"/>
      <c r="AC68" s="267"/>
      <c r="AD68" s="267"/>
      <c r="AE68" s="267"/>
      <c r="AF68" s="267"/>
      <c r="AG68" s="267"/>
      <c r="AH68" s="267"/>
      <c r="AI68" s="267"/>
      <c r="AJ68" s="267"/>
      <c r="AK68" s="267"/>
      <c r="AL68" s="267"/>
      <c r="AM68" s="267"/>
      <c r="AN68" s="267"/>
      <c r="AO68" s="268"/>
    </row>
    <row r="69" spans="2:41" ht="19.5" customHeight="1" x14ac:dyDescent="0.3">
      <c r="B69" s="469"/>
      <c r="C69" s="469"/>
      <c r="D69" s="469"/>
      <c r="E69" s="466"/>
      <c r="F69" s="466"/>
      <c r="G69" s="466"/>
      <c r="H69" s="466"/>
      <c r="I69" s="466"/>
      <c r="J69" s="254" t="s">
        <v>273</v>
      </c>
      <c r="K69" s="275"/>
      <c r="L69" s="276"/>
      <c r="M69" s="276"/>
      <c r="N69" s="276"/>
      <c r="O69" s="276"/>
      <c r="P69" s="276"/>
      <c r="Q69" s="267"/>
      <c r="R69" s="267"/>
      <c r="S69" s="267"/>
      <c r="T69" s="267"/>
      <c r="U69" s="267"/>
      <c r="V69" s="267"/>
      <c r="W69" s="267"/>
      <c r="X69" s="267"/>
      <c r="Y69" s="267"/>
      <c r="Z69" s="267"/>
      <c r="AA69" s="267"/>
      <c r="AB69" s="267"/>
      <c r="AC69" s="267"/>
      <c r="AD69" s="267"/>
      <c r="AE69" s="267"/>
      <c r="AF69" s="267"/>
      <c r="AG69" s="267"/>
      <c r="AH69" s="267"/>
      <c r="AI69" s="267"/>
      <c r="AJ69" s="267"/>
      <c r="AK69" s="267"/>
      <c r="AL69" s="267"/>
      <c r="AM69" s="267"/>
      <c r="AN69" s="267"/>
      <c r="AO69" s="268"/>
    </row>
    <row r="70" spans="2:41" ht="19.5" customHeight="1" x14ac:dyDescent="0.3">
      <c r="B70" s="467" t="s">
        <v>75</v>
      </c>
      <c r="C70" s="467" t="s">
        <v>185</v>
      </c>
      <c r="D70" s="467" t="s">
        <v>209</v>
      </c>
      <c r="E70" s="464">
        <f>IFERROR(SUM(K70:AO70),)</f>
        <v>0</v>
      </c>
      <c r="F70" s="464">
        <f>IFERROR(SUM(K71:AO71),)</f>
        <v>0</v>
      </c>
      <c r="G70" s="464">
        <f>IFERROR(SUM(K72:AO72),)</f>
        <v>0</v>
      </c>
      <c r="H70" s="464">
        <f>IFERROR(SUM(K73:AO73),)</f>
        <v>0</v>
      </c>
      <c r="I70" s="464">
        <f>IFERROR(SUM(K74:AO74),)</f>
        <v>0</v>
      </c>
      <c r="J70" s="254" t="s">
        <v>271</v>
      </c>
      <c r="K70" s="279"/>
      <c r="L70" s="279"/>
      <c r="M70" s="279"/>
      <c r="N70" s="279"/>
      <c r="O70" s="279"/>
      <c r="P70" s="279"/>
      <c r="Q70" s="279"/>
      <c r="R70" s="279"/>
      <c r="S70" s="279"/>
      <c r="T70" s="279"/>
      <c r="U70" s="279"/>
      <c r="V70" s="279"/>
      <c r="W70" s="279"/>
      <c r="X70" s="279"/>
      <c r="Y70" s="279"/>
      <c r="Z70" s="279"/>
      <c r="AA70" s="279"/>
      <c r="AB70" s="279"/>
      <c r="AC70" s="279"/>
      <c r="AD70" s="279"/>
      <c r="AE70" s="279"/>
      <c r="AF70" s="279"/>
      <c r="AG70" s="279"/>
      <c r="AH70" s="279"/>
      <c r="AI70" s="279"/>
      <c r="AJ70" s="279"/>
      <c r="AK70" s="279"/>
      <c r="AL70" s="279"/>
      <c r="AM70" s="279"/>
      <c r="AN70" s="279"/>
      <c r="AO70" s="285"/>
    </row>
    <row r="71" spans="2:41" ht="19.5" customHeight="1" x14ac:dyDescent="0.3">
      <c r="B71" s="468"/>
      <c r="C71" s="468"/>
      <c r="D71" s="468"/>
      <c r="E71" s="465"/>
      <c r="F71" s="465"/>
      <c r="G71" s="465"/>
      <c r="H71" s="465"/>
      <c r="I71" s="465"/>
      <c r="J71" s="254" t="s">
        <v>324</v>
      </c>
      <c r="K71" s="275"/>
      <c r="L71" s="275"/>
      <c r="M71" s="275"/>
      <c r="N71" s="275"/>
      <c r="O71" s="275"/>
      <c r="P71" s="275"/>
      <c r="Q71" s="275"/>
      <c r="R71" s="275"/>
      <c r="S71" s="275"/>
      <c r="T71" s="275"/>
      <c r="U71" s="275"/>
      <c r="V71" s="275"/>
      <c r="W71" s="275"/>
      <c r="X71" s="275"/>
      <c r="Y71" s="275"/>
      <c r="Z71" s="275"/>
      <c r="AA71" s="275"/>
      <c r="AB71" s="275"/>
      <c r="AC71" s="275"/>
      <c r="AD71" s="275"/>
      <c r="AE71" s="275"/>
      <c r="AF71" s="275"/>
      <c r="AG71" s="275"/>
      <c r="AH71" s="275"/>
      <c r="AI71" s="275"/>
      <c r="AJ71" s="275"/>
      <c r="AK71" s="275"/>
      <c r="AL71" s="275"/>
      <c r="AM71" s="275"/>
      <c r="AN71" s="275"/>
      <c r="AO71" s="286"/>
    </row>
    <row r="72" spans="2:41" ht="19.5" customHeight="1" x14ac:dyDescent="0.3">
      <c r="B72" s="468"/>
      <c r="C72" s="468"/>
      <c r="D72" s="468"/>
      <c r="E72" s="465"/>
      <c r="F72" s="465"/>
      <c r="G72" s="465"/>
      <c r="H72" s="465"/>
      <c r="I72" s="465"/>
      <c r="J72" s="254" t="s">
        <v>326</v>
      </c>
      <c r="K72" s="275"/>
      <c r="L72" s="275"/>
      <c r="M72" s="275"/>
      <c r="N72" s="275"/>
      <c r="O72" s="275"/>
      <c r="P72" s="275"/>
      <c r="Q72" s="275"/>
      <c r="R72" s="275"/>
      <c r="S72" s="275"/>
      <c r="T72" s="275"/>
      <c r="U72" s="275"/>
      <c r="V72" s="275"/>
      <c r="W72" s="275"/>
      <c r="X72" s="275"/>
      <c r="Y72" s="275"/>
      <c r="Z72" s="275"/>
      <c r="AA72" s="275"/>
      <c r="AB72" s="275"/>
      <c r="AC72" s="275"/>
      <c r="AD72" s="275"/>
      <c r="AE72" s="275"/>
      <c r="AF72" s="275"/>
      <c r="AG72" s="275"/>
      <c r="AH72" s="275"/>
      <c r="AI72" s="275"/>
      <c r="AJ72" s="275"/>
      <c r="AK72" s="275"/>
      <c r="AL72" s="275"/>
      <c r="AM72" s="275"/>
      <c r="AN72" s="275"/>
      <c r="AO72" s="286"/>
    </row>
    <row r="73" spans="2:41" ht="19.5" customHeight="1" x14ac:dyDescent="0.3">
      <c r="B73" s="468"/>
      <c r="C73" s="468"/>
      <c r="D73" s="468"/>
      <c r="E73" s="465"/>
      <c r="F73" s="465"/>
      <c r="G73" s="465"/>
      <c r="H73" s="465"/>
      <c r="I73" s="465"/>
      <c r="J73" s="254" t="s">
        <v>116</v>
      </c>
      <c r="K73" s="275"/>
      <c r="L73" s="276"/>
      <c r="M73" s="276"/>
      <c r="N73" s="276"/>
      <c r="O73" s="276"/>
      <c r="P73" s="276"/>
      <c r="Q73" s="267"/>
      <c r="R73" s="267"/>
      <c r="S73" s="267"/>
      <c r="T73" s="267"/>
      <c r="U73" s="267"/>
      <c r="V73" s="267"/>
      <c r="W73" s="267"/>
      <c r="X73" s="267"/>
      <c r="Y73" s="267"/>
      <c r="Z73" s="267"/>
      <c r="AA73" s="267"/>
      <c r="AB73" s="267"/>
      <c r="AC73" s="267"/>
      <c r="AD73" s="267"/>
      <c r="AE73" s="267"/>
      <c r="AF73" s="267"/>
      <c r="AG73" s="267"/>
      <c r="AH73" s="267"/>
      <c r="AI73" s="267"/>
      <c r="AJ73" s="267"/>
      <c r="AK73" s="267"/>
      <c r="AL73" s="267"/>
      <c r="AM73" s="267"/>
      <c r="AN73" s="267"/>
      <c r="AO73" s="268"/>
    </row>
    <row r="74" spans="2:41" ht="19.5" customHeight="1" x14ac:dyDescent="0.3">
      <c r="B74" s="469"/>
      <c r="C74" s="469"/>
      <c r="D74" s="469"/>
      <c r="E74" s="466"/>
      <c r="F74" s="466"/>
      <c r="G74" s="466"/>
      <c r="H74" s="466"/>
      <c r="I74" s="466"/>
      <c r="J74" s="254" t="s">
        <v>273</v>
      </c>
      <c r="K74" s="275"/>
      <c r="L74" s="276"/>
      <c r="M74" s="276"/>
      <c r="N74" s="276"/>
      <c r="O74" s="276"/>
      <c r="P74" s="276"/>
      <c r="Q74" s="267"/>
      <c r="R74" s="267"/>
      <c r="S74" s="267"/>
      <c r="T74" s="267"/>
      <c r="U74" s="267"/>
      <c r="V74" s="267"/>
      <c r="W74" s="267"/>
      <c r="X74" s="267"/>
      <c r="Y74" s="267"/>
      <c r="Z74" s="267"/>
      <c r="AA74" s="267"/>
      <c r="AB74" s="267"/>
      <c r="AC74" s="267"/>
      <c r="AD74" s="267"/>
      <c r="AE74" s="267"/>
      <c r="AF74" s="267"/>
      <c r="AG74" s="267"/>
      <c r="AH74" s="267"/>
      <c r="AI74" s="267"/>
      <c r="AJ74" s="267"/>
      <c r="AK74" s="267"/>
      <c r="AL74" s="267"/>
      <c r="AM74" s="267"/>
      <c r="AN74" s="267"/>
      <c r="AO74" s="268"/>
    </row>
    <row r="75" spans="2:41" ht="19.5" customHeight="1" x14ac:dyDescent="0.3">
      <c r="B75" s="467" t="s">
        <v>76</v>
      </c>
      <c r="C75" s="467" t="s">
        <v>185</v>
      </c>
      <c r="D75" s="467" t="s">
        <v>210</v>
      </c>
      <c r="E75" s="464">
        <f>IFERROR(SUM(K75:AO75),)</f>
        <v>0</v>
      </c>
      <c r="F75" s="464">
        <f>IFERROR(SUM(K76:AO76),)</f>
        <v>0</v>
      </c>
      <c r="G75" s="464">
        <f>IFERROR(SUM(K77:AO77),)</f>
        <v>0</v>
      </c>
      <c r="H75" s="464">
        <f>IFERROR(SUM(K78:AO78),)</f>
        <v>0</v>
      </c>
      <c r="I75" s="464">
        <f>IFERROR(SUM(K79:AO79),)</f>
        <v>0</v>
      </c>
      <c r="J75" s="254" t="s">
        <v>271</v>
      </c>
      <c r="K75" s="279"/>
      <c r="L75" s="279"/>
      <c r="M75" s="279"/>
      <c r="N75" s="279"/>
      <c r="O75" s="279"/>
      <c r="P75" s="279"/>
      <c r="Q75" s="279"/>
      <c r="R75" s="279"/>
      <c r="S75" s="279"/>
      <c r="T75" s="279"/>
      <c r="U75" s="279"/>
      <c r="V75" s="279"/>
      <c r="W75" s="279"/>
      <c r="X75" s="279"/>
      <c r="Y75" s="279"/>
      <c r="Z75" s="279"/>
      <c r="AA75" s="279"/>
      <c r="AB75" s="279"/>
      <c r="AC75" s="279"/>
      <c r="AD75" s="279"/>
      <c r="AE75" s="279"/>
      <c r="AF75" s="279"/>
      <c r="AG75" s="279"/>
      <c r="AH75" s="279"/>
      <c r="AI75" s="279"/>
      <c r="AJ75" s="279"/>
      <c r="AK75" s="279"/>
      <c r="AL75" s="279"/>
      <c r="AM75" s="279"/>
      <c r="AN75" s="279"/>
      <c r="AO75" s="285"/>
    </row>
    <row r="76" spans="2:41" ht="19.5" customHeight="1" x14ac:dyDescent="0.3">
      <c r="B76" s="468"/>
      <c r="C76" s="468"/>
      <c r="D76" s="468"/>
      <c r="E76" s="465"/>
      <c r="F76" s="465"/>
      <c r="G76" s="465"/>
      <c r="H76" s="465"/>
      <c r="I76" s="465"/>
      <c r="J76" s="254" t="s">
        <v>324</v>
      </c>
      <c r="K76" s="275"/>
      <c r="L76" s="275"/>
      <c r="M76" s="275"/>
      <c r="N76" s="275"/>
      <c r="O76" s="275"/>
      <c r="P76" s="275"/>
      <c r="Q76" s="275"/>
      <c r="R76" s="275"/>
      <c r="S76" s="275"/>
      <c r="T76" s="275"/>
      <c r="U76" s="275"/>
      <c r="V76" s="275"/>
      <c r="W76" s="275"/>
      <c r="X76" s="275"/>
      <c r="Y76" s="275"/>
      <c r="Z76" s="275"/>
      <c r="AA76" s="275"/>
      <c r="AB76" s="275"/>
      <c r="AC76" s="275"/>
      <c r="AD76" s="275"/>
      <c r="AE76" s="275"/>
      <c r="AF76" s="275"/>
      <c r="AG76" s="275"/>
      <c r="AH76" s="275"/>
      <c r="AI76" s="275"/>
      <c r="AJ76" s="275"/>
      <c r="AK76" s="275"/>
      <c r="AL76" s="275"/>
      <c r="AM76" s="275"/>
      <c r="AN76" s="275"/>
      <c r="AO76" s="286"/>
    </row>
    <row r="77" spans="2:41" ht="19.5" customHeight="1" x14ac:dyDescent="0.3">
      <c r="B77" s="468"/>
      <c r="C77" s="468"/>
      <c r="D77" s="468"/>
      <c r="E77" s="465"/>
      <c r="F77" s="465"/>
      <c r="G77" s="465"/>
      <c r="H77" s="465"/>
      <c r="I77" s="465"/>
      <c r="J77" s="254" t="s">
        <v>326</v>
      </c>
      <c r="K77" s="275"/>
      <c r="L77" s="275"/>
      <c r="M77" s="275"/>
      <c r="N77" s="275"/>
      <c r="O77" s="275"/>
      <c r="P77" s="275"/>
      <c r="Q77" s="275"/>
      <c r="R77" s="275"/>
      <c r="S77" s="275"/>
      <c r="T77" s="275"/>
      <c r="U77" s="275"/>
      <c r="V77" s="275"/>
      <c r="W77" s="275"/>
      <c r="X77" s="275"/>
      <c r="Y77" s="275"/>
      <c r="Z77" s="275"/>
      <c r="AA77" s="275"/>
      <c r="AB77" s="275"/>
      <c r="AC77" s="275"/>
      <c r="AD77" s="275"/>
      <c r="AE77" s="275"/>
      <c r="AF77" s="275"/>
      <c r="AG77" s="275"/>
      <c r="AH77" s="275"/>
      <c r="AI77" s="275"/>
      <c r="AJ77" s="275"/>
      <c r="AK77" s="275"/>
      <c r="AL77" s="275"/>
      <c r="AM77" s="275"/>
      <c r="AN77" s="275"/>
      <c r="AO77" s="286"/>
    </row>
    <row r="78" spans="2:41" ht="19.5" customHeight="1" x14ac:dyDescent="0.3">
      <c r="B78" s="468"/>
      <c r="C78" s="468"/>
      <c r="D78" s="468"/>
      <c r="E78" s="465"/>
      <c r="F78" s="465"/>
      <c r="G78" s="465"/>
      <c r="H78" s="465"/>
      <c r="I78" s="465"/>
      <c r="J78" s="254" t="s">
        <v>116</v>
      </c>
      <c r="K78" s="275"/>
      <c r="L78" s="276"/>
      <c r="M78" s="276"/>
      <c r="N78" s="276"/>
      <c r="O78" s="276"/>
      <c r="P78" s="276"/>
      <c r="Q78" s="267"/>
      <c r="R78" s="267"/>
      <c r="S78" s="267"/>
      <c r="T78" s="267"/>
      <c r="U78" s="267"/>
      <c r="V78" s="267"/>
      <c r="W78" s="267"/>
      <c r="X78" s="267"/>
      <c r="Y78" s="267"/>
      <c r="Z78" s="267"/>
      <c r="AA78" s="267"/>
      <c r="AB78" s="267"/>
      <c r="AC78" s="267"/>
      <c r="AD78" s="267"/>
      <c r="AE78" s="267"/>
      <c r="AF78" s="267"/>
      <c r="AG78" s="267"/>
      <c r="AH78" s="267"/>
      <c r="AI78" s="267"/>
      <c r="AJ78" s="267"/>
      <c r="AK78" s="267"/>
      <c r="AL78" s="267"/>
      <c r="AM78" s="267"/>
      <c r="AN78" s="267"/>
      <c r="AO78" s="268"/>
    </row>
    <row r="79" spans="2:41" ht="19.5" customHeight="1" x14ac:dyDescent="0.3">
      <c r="B79" s="469"/>
      <c r="C79" s="469"/>
      <c r="D79" s="469"/>
      <c r="E79" s="466"/>
      <c r="F79" s="466"/>
      <c r="G79" s="466"/>
      <c r="H79" s="466"/>
      <c r="I79" s="466"/>
      <c r="J79" s="254" t="s">
        <v>273</v>
      </c>
      <c r="K79" s="275"/>
      <c r="L79" s="276"/>
      <c r="M79" s="276"/>
      <c r="N79" s="276"/>
      <c r="O79" s="276"/>
      <c r="P79" s="276"/>
      <c r="Q79" s="267"/>
      <c r="R79" s="267"/>
      <c r="S79" s="267"/>
      <c r="T79" s="267"/>
      <c r="U79" s="267"/>
      <c r="V79" s="267"/>
      <c r="W79" s="267"/>
      <c r="X79" s="267"/>
      <c r="Y79" s="267"/>
      <c r="Z79" s="267"/>
      <c r="AA79" s="267"/>
      <c r="AB79" s="267"/>
      <c r="AC79" s="267"/>
      <c r="AD79" s="267"/>
      <c r="AE79" s="267"/>
      <c r="AF79" s="267"/>
      <c r="AG79" s="267"/>
      <c r="AH79" s="267"/>
      <c r="AI79" s="267"/>
      <c r="AJ79" s="267"/>
      <c r="AK79" s="267"/>
      <c r="AL79" s="267"/>
      <c r="AM79" s="267"/>
      <c r="AN79" s="267"/>
      <c r="AO79" s="268"/>
    </row>
    <row r="80" spans="2:41" ht="19.5" customHeight="1" x14ac:dyDescent="0.3">
      <c r="B80" s="467" t="s">
        <v>71</v>
      </c>
      <c r="C80" s="467" t="s">
        <v>185</v>
      </c>
      <c r="D80" s="467" t="s">
        <v>211</v>
      </c>
      <c r="E80" s="464">
        <f>IFERROR(SUM(K80:AO80),)</f>
        <v>0</v>
      </c>
      <c r="F80" s="464">
        <f>IFERROR(SUM(K81:AO81),)</f>
        <v>0</v>
      </c>
      <c r="G80" s="464">
        <f>IFERROR(SUM(K82:AO82),)</f>
        <v>0</v>
      </c>
      <c r="H80" s="464">
        <f>IFERROR(SUM(K83:AO83),)</f>
        <v>0</v>
      </c>
      <c r="I80" s="464">
        <f>IFERROR(SUM(K84:AO84),)</f>
        <v>0</v>
      </c>
      <c r="J80" s="254" t="s">
        <v>271</v>
      </c>
      <c r="K80" s="279"/>
      <c r="L80" s="279"/>
      <c r="M80" s="279"/>
      <c r="N80" s="279"/>
      <c r="O80" s="279"/>
      <c r="P80" s="279"/>
      <c r="Q80" s="279"/>
      <c r="R80" s="279"/>
      <c r="S80" s="279"/>
      <c r="T80" s="279"/>
      <c r="U80" s="279"/>
      <c r="V80" s="279"/>
      <c r="W80" s="279"/>
      <c r="X80" s="279"/>
      <c r="Y80" s="279"/>
      <c r="Z80" s="279"/>
      <c r="AA80" s="279"/>
      <c r="AB80" s="279"/>
      <c r="AC80" s="279"/>
      <c r="AD80" s="279"/>
      <c r="AE80" s="279"/>
      <c r="AF80" s="279"/>
      <c r="AG80" s="279"/>
      <c r="AH80" s="279"/>
      <c r="AI80" s="279"/>
      <c r="AJ80" s="279"/>
      <c r="AK80" s="279"/>
      <c r="AL80" s="279"/>
      <c r="AM80" s="279"/>
      <c r="AN80" s="279"/>
      <c r="AO80" s="285"/>
    </row>
    <row r="81" spans="2:41" ht="19.5" customHeight="1" x14ac:dyDescent="0.3">
      <c r="B81" s="468"/>
      <c r="C81" s="468"/>
      <c r="D81" s="468"/>
      <c r="E81" s="465"/>
      <c r="F81" s="465"/>
      <c r="G81" s="465"/>
      <c r="H81" s="465"/>
      <c r="I81" s="465"/>
      <c r="J81" s="254" t="s">
        <v>324</v>
      </c>
      <c r="K81" s="275"/>
      <c r="L81" s="275"/>
      <c r="M81" s="275"/>
      <c r="N81" s="275"/>
      <c r="O81" s="275"/>
      <c r="P81" s="275"/>
      <c r="Q81" s="275"/>
      <c r="R81" s="275"/>
      <c r="S81" s="275"/>
      <c r="T81" s="275"/>
      <c r="U81" s="275"/>
      <c r="V81" s="275"/>
      <c r="W81" s="275"/>
      <c r="X81" s="275"/>
      <c r="Y81" s="275"/>
      <c r="Z81" s="275"/>
      <c r="AA81" s="275"/>
      <c r="AB81" s="275"/>
      <c r="AC81" s="275"/>
      <c r="AD81" s="275"/>
      <c r="AE81" s="275"/>
      <c r="AF81" s="275"/>
      <c r="AG81" s="275"/>
      <c r="AH81" s="275"/>
      <c r="AI81" s="275"/>
      <c r="AJ81" s="275"/>
      <c r="AK81" s="275"/>
      <c r="AL81" s="275"/>
      <c r="AM81" s="275"/>
      <c r="AN81" s="275"/>
      <c r="AO81" s="286"/>
    </row>
    <row r="82" spans="2:41" ht="19.5" customHeight="1" x14ac:dyDescent="0.3">
      <c r="B82" s="468"/>
      <c r="C82" s="468"/>
      <c r="D82" s="468"/>
      <c r="E82" s="465"/>
      <c r="F82" s="465"/>
      <c r="G82" s="465"/>
      <c r="H82" s="465"/>
      <c r="I82" s="465"/>
      <c r="J82" s="254" t="s">
        <v>326</v>
      </c>
      <c r="K82" s="275"/>
      <c r="L82" s="275"/>
      <c r="M82" s="275"/>
      <c r="N82" s="275"/>
      <c r="O82" s="275"/>
      <c r="P82" s="275"/>
      <c r="Q82" s="275"/>
      <c r="R82" s="275"/>
      <c r="S82" s="275"/>
      <c r="T82" s="275"/>
      <c r="U82" s="275"/>
      <c r="V82" s="275"/>
      <c r="W82" s="275"/>
      <c r="X82" s="275"/>
      <c r="Y82" s="275"/>
      <c r="Z82" s="275"/>
      <c r="AA82" s="275"/>
      <c r="AB82" s="275"/>
      <c r="AC82" s="275"/>
      <c r="AD82" s="275"/>
      <c r="AE82" s="275"/>
      <c r="AF82" s="275"/>
      <c r="AG82" s="275"/>
      <c r="AH82" s="275"/>
      <c r="AI82" s="275"/>
      <c r="AJ82" s="275"/>
      <c r="AK82" s="275"/>
      <c r="AL82" s="275"/>
      <c r="AM82" s="275"/>
      <c r="AN82" s="275"/>
      <c r="AO82" s="286"/>
    </row>
    <row r="83" spans="2:41" ht="19.5" customHeight="1" x14ac:dyDescent="0.3">
      <c r="B83" s="468"/>
      <c r="C83" s="468"/>
      <c r="D83" s="468"/>
      <c r="E83" s="465"/>
      <c r="F83" s="465"/>
      <c r="G83" s="465"/>
      <c r="H83" s="465"/>
      <c r="I83" s="465"/>
      <c r="J83" s="254" t="s">
        <v>116</v>
      </c>
      <c r="K83" s="275"/>
      <c r="L83" s="276"/>
      <c r="M83" s="276"/>
      <c r="N83" s="276"/>
      <c r="O83" s="276"/>
      <c r="P83" s="276"/>
      <c r="Q83" s="267"/>
      <c r="R83" s="267"/>
      <c r="S83" s="267"/>
      <c r="T83" s="267"/>
      <c r="U83" s="267"/>
      <c r="V83" s="267"/>
      <c r="W83" s="267"/>
      <c r="X83" s="267"/>
      <c r="Y83" s="267"/>
      <c r="Z83" s="267"/>
      <c r="AA83" s="267"/>
      <c r="AB83" s="267"/>
      <c r="AC83" s="267"/>
      <c r="AD83" s="267"/>
      <c r="AE83" s="267"/>
      <c r="AF83" s="267"/>
      <c r="AG83" s="267"/>
      <c r="AH83" s="267"/>
      <c r="AI83" s="267"/>
      <c r="AJ83" s="267"/>
      <c r="AK83" s="267"/>
      <c r="AL83" s="267"/>
      <c r="AM83" s="267"/>
      <c r="AN83" s="267"/>
      <c r="AO83" s="268"/>
    </row>
    <row r="84" spans="2:41" ht="19.5" customHeight="1" x14ac:dyDescent="0.3">
      <c r="B84" s="469"/>
      <c r="C84" s="469"/>
      <c r="D84" s="469"/>
      <c r="E84" s="466"/>
      <c r="F84" s="466"/>
      <c r="G84" s="466"/>
      <c r="H84" s="466"/>
      <c r="I84" s="466"/>
      <c r="J84" s="254" t="s">
        <v>273</v>
      </c>
      <c r="K84" s="275"/>
      <c r="L84" s="276"/>
      <c r="M84" s="276"/>
      <c r="N84" s="276"/>
      <c r="O84" s="276"/>
      <c r="P84" s="276"/>
      <c r="Q84" s="267"/>
      <c r="R84" s="267"/>
      <c r="S84" s="267"/>
      <c r="T84" s="267"/>
      <c r="U84" s="267"/>
      <c r="V84" s="267"/>
      <c r="W84" s="267"/>
      <c r="X84" s="267"/>
      <c r="Y84" s="267"/>
      <c r="Z84" s="267"/>
      <c r="AA84" s="267"/>
      <c r="AB84" s="267"/>
      <c r="AC84" s="267"/>
      <c r="AD84" s="267"/>
      <c r="AE84" s="267"/>
      <c r="AF84" s="267"/>
      <c r="AG84" s="267"/>
      <c r="AH84" s="267"/>
      <c r="AI84" s="267"/>
      <c r="AJ84" s="267"/>
      <c r="AK84" s="267"/>
      <c r="AL84" s="267"/>
      <c r="AM84" s="267"/>
      <c r="AN84" s="267"/>
      <c r="AO84" s="268"/>
    </row>
    <row r="85" spans="2:41" ht="19.5" customHeight="1" x14ac:dyDescent="0.3">
      <c r="B85" s="467" t="s">
        <v>72</v>
      </c>
      <c r="C85" s="467" t="s">
        <v>185</v>
      </c>
      <c r="D85" s="467" t="s">
        <v>212</v>
      </c>
      <c r="E85" s="464">
        <f>IFERROR(SUM(K85:AO85),)</f>
        <v>0</v>
      </c>
      <c r="F85" s="464">
        <f>IFERROR(SUM(K86:AO86),)</f>
        <v>0</v>
      </c>
      <c r="G85" s="464">
        <f>IFERROR(SUM(K87:AO87),)</f>
        <v>0</v>
      </c>
      <c r="H85" s="464">
        <f>IFERROR(SUM(K88:AO88),)</f>
        <v>0</v>
      </c>
      <c r="I85" s="464">
        <f>IFERROR(SUM(K89:AO89),)</f>
        <v>0</v>
      </c>
      <c r="J85" s="254" t="s">
        <v>271</v>
      </c>
      <c r="K85" s="279"/>
      <c r="L85" s="279"/>
      <c r="M85" s="279"/>
      <c r="N85" s="279"/>
      <c r="O85" s="279"/>
      <c r="P85" s="279"/>
      <c r="Q85" s="279"/>
      <c r="R85" s="279"/>
      <c r="S85" s="279"/>
      <c r="T85" s="279"/>
      <c r="U85" s="279"/>
      <c r="V85" s="279"/>
      <c r="W85" s="279"/>
      <c r="X85" s="279"/>
      <c r="Y85" s="279"/>
      <c r="Z85" s="279"/>
      <c r="AA85" s="279"/>
      <c r="AB85" s="279"/>
      <c r="AC85" s="279"/>
      <c r="AD85" s="279"/>
      <c r="AE85" s="279"/>
      <c r="AF85" s="279"/>
      <c r="AG85" s="279"/>
      <c r="AH85" s="279"/>
      <c r="AI85" s="279"/>
      <c r="AJ85" s="279"/>
      <c r="AK85" s="279"/>
      <c r="AL85" s="279"/>
      <c r="AM85" s="279"/>
      <c r="AN85" s="279"/>
      <c r="AO85" s="285"/>
    </row>
    <row r="86" spans="2:41" ht="19.5" customHeight="1" x14ac:dyDescent="0.3">
      <c r="B86" s="468"/>
      <c r="C86" s="468"/>
      <c r="D86" s="468"/>
      <c r="E86" s="465"/>
      <c r="F86" s="465"/>
      <c r="G86" s="465"/>
      <c r="H86" s="465"/>
      <c r="I86" s="465"/>
      <c r="J86" s="254" t="s">
        <v>324</v>
      </c>
      <c r="K86" s="275"/>
      <c r="L86" s="275"/>
      <c r="M86" s="275"/>
      <c r="N86" s="275"/>
      <c r="O86" s="275"/>
      <c r="P86" s="275"/>
      <c r="Q86" s="275"/>
      <c r="R86" s="275"/>
      <c r="S86" s="275"/>
      <c r="T86" s="275"/>
      <c r="U86" s="275"/>
      <c r="V86" s="275"/>
      <c r="W86" s="275"/>
      <c r="X86" s="275"/>
      <c r="Y86" s="275"/>
      <c r="Z86" s="275"/>
      <c r="AA86" s="275"/>
      <c r="AB86" s="275"/>
      <c r="AC86" s="275"/>
      <c r="AD86" s="275"/>
      <c r="AE86" s="275"/>
      <c r="AF86" s="275"/>
      <c r="AG86" s="275"/>
      <c r="AH86" s="275"/>
      <c r="AI86" s="275"/>
      <c r="AJ86" s="275"/>
      <c r="AK86" s="275"/>
      <c r="AL86" s="275"/>
      <c r="AM86" s="275"/>
      <c r="AN86" s="275"/>
      <c r="AO86" s="286"/>
    </row>
    <row r="87" spans="2:41" ht="19.5" customHeight="1" x14ac:dyDescent="0.3">
      <c r="B87" s="468"/>
      <c r="C87" s="468"/>
      <c r="D87" s="468"/>
      <c r="E87" s="465"/>
      <c r="F87" s="465"/>
      <c r="G87" s="465"/>
      <c r="H87" s="465"/>
      <c r="I87" s="465"/>
      <c r="J87" s="254" t="s">
        <v>326</v>
      </c>
      <c r="K87" s="275"/>
      <c r="L87" s="275"/>
      <c r="M87" s="275"/>
      <c r="N87" s="275"/>
      <c r="O87" s="275"/>
      <c r="P87" s="275"/>
      <c r="Q87" s="275"/>
      <c r="R87" s="275"/>
      <c r="S87" s="275"/>
      <c r="T87" s="275"/>
      <c r="U87" s="275"/>
      <c r="V87" s="275"/>
      <c r="W87" s="275"/>
      <c r="X87" s="275"/>
      <c r="Y87" s="275"/>
      <c r="Z87" s="275"/>
      <c r="AA87" s="275"/>
      <c r="AB87" s="275"/>
      <c r="AC87" s="275"/>
      <c r="AD87" s="275"/>
      <c r="AE87" s="275"/>
      <c r="AF87" s="275"/>
      <c r="AG87" s="275"/>
      <c r="AH87" s="275"/>
      <c r="AI87" s="275"/>
      <c r="AJ87" s="275"/>
      <c r="AK87" s="275"/>
      <c r="AL87" s="275"/>
      <c r="AM87" s="275"/>
      <c r="AN87" s="275"/>
      <c r="AO87" s="286"/>
    </row>
    <row r="88" spans="2:41" ht="19.5" customHeight="1" x14ac:dyDescent="0.3">
      <c r="B88" s="468"/>
      <c r="C88" s="468"/>
      <c r="D88" s="468"/>
      <c r="E88" s="465"/>
      <c r="F88" s="465"/>
      <c r="G88" s="465"/>
      <c r="H88" s="465"/>
      <c r="I88" s="465"/>
      <c r="J88" s="254" t="s">
        <v>116</v>
      </c>
      <c r="K88" s="275"/>
      <c r="L88" s="276"/>
      <c r="M88" s="276"/>
      <c r="N88" s="276"/>
      <c r="O88" s="276"/>
      <c r="P88" s="276"/>
      <c r="Q88" s="267"/>
      <c r="R88" s="267"/>
      <c r="S88" s="267"/>
      <c r="T88" s="267"/>
      <c r="U88" s="267"/>
      <c r="V88" s="267"/>
      <c r="W88" s="267"/>
      <c r="X88" s="267"/>
      <c r="Y88" s="267"/>
      <c r="Z88" s="267"/>
      <c r="AA88" s="267"/>
      <c r="AB88" s="267"/>
      <c r="AC88" s="267"/>
      <c r="AD88" s="267"/>
      <c r="AE88" s="267"/>
      <c r="AF88" s="267"/>
      <c r="AG88" s="267"/>
      <c r="AH88" s="267"/>
      <c r="AI88" s="267"/>
      <c r="AJ88" s="267"/>
      <c r="AK88" s="267"/>
      <c r="AL88" s="267"/>
      <c r="AM88" s="267"/>
      <c r="AN88" s="267"/>
      <c r="AO88" s="268"/>
    </row>
    <row r="89" spans="2:41" ht="19.5" customHeight="1" x14ac:dyDescent="0.3">
      <c r="B89" s="469"/>
      <c r="C89" s="469"/>
      <c r="D89" s="469"/>
      <c r="E89" s="466"/>
      <c r="F89" s="466"/>
      <c r="G89" s="466"/>
      <c r="H89" s="466"/>
      <c r="I89" s="466"/>
      <c r="J89" s="254" t="s">
        <v>273</v>
      </c>
      <c r="K89" s="275"/>
      <c r="L89" s="276"/>
      <c r="M89" s="276"/>
      <c r="N89" s="276"/>
      <c r="O89" s="276"/>
      <c r="P89" s="276"/>
      <c r="Q89" s="267"/>
      <c r="R89" s="267"/>
      <c r="S89" s="267"/>
      <c r="T89" s="267"/>
      <c r="U89" s="267"/>
      <c r="V89" s="267"/>
      <c r="W89" s="267"/>
      <c r="X89" s="267"/>
      <c r="Y89" s="267"/>
      <c r="Z89" s="267"/>
      <c r="AA89" s="267"/>
      <c r="AB89" s="267"/>
      <c r="AC89" s="267"/>
      <c r="AD89" s="267"/>
      <c r="AE89" s="267"/>
      <c r="AF89" s="267"/>
      <c r="AG89" s="267"/>
      <c r="AH89" s="267"/>
      <c r="AI89" s="267"/>
      <c r="AJ89" s="267"/>
      <c r="AK89" s="267"/>
      <c r="AL89" s="267"/>
      <c r="AM89" s="267"/>
      <c r="AN89" s="267"/>
      <c r="AO89" s="268"/>
    </row>
    <row r="90" spans="2:41" ht="19.5" customHeight="1" x14ac:dyDescent="0.3">
      <c r="B90" s="467" t="s">
        <v>73</v>
      </c>
      <c r="C90" s="467" t="s">
        <v>185</v>
      </c>
      <c r="D90" s="467" t="s">
        <v>213</v>
      </c>
      <c r="E90" s="464">
        <f>IFERROR(SUM(K90:AO90),)</f>
        <v>0</v>
      </c>
      <c r="F90" s="464">
        <f>IFERROR(SUM(K91:AO91),)</f>
        <v>0</v>
      </c>
      <c r="G90" s="464">
        <f>IFERROR(SUM(K92:AO92),)</f>
        <v>0</v>
      </c>
      <c r="H90" s="464">
        <f>IFERROR(SUM(K93:AO93),)</f>
        <v>0</v>
      </c>
      <c r="I90" s="464">
        <f>IFERROR(SUM(K94:AO94),)</f>
        <v>0</v>
      </c>
      <c r="J90" s="254" t="s">
        <v>271</v>
      </c>
      <c r="K90" s="279"/>
      <c r="L90" s="279"/>
      <c r="M90" s="279"/>
      <c r="N90" s="279"/>
      <c r="O90" s="279"/>
      <c r="P90" s="279"/>
      <c r="Q90" s="279"/>
      <c r="R90" s="279"/>
      <c r="S90" s="279"/>
      <c r="T90" s="279"/>
      <c r="U90" s="279"/>
      <c r="V90" s="279"/>
      <c r="W90" s="279"/>
      <c r="X90" s="279"/>
      <c r="Y90" s="279"/>
      <c r="Z90" s="279"/>
      <c r="AA90" s="279"/>
      <c r="AB90" s="279"/>
      <c r="AC90" s="279"/>
      <c r="AD90" s="279"/>
      <c r="AE90" s="279"/>
      <c r="AF90" s="279"/>
      <c r="AG90" s="279"/>
      <c r="AH90" s="279"/>
      <c r="AI90" s="279"/>
      <c r="AJ90" s="279"/>
      <c r="AK90" s="279"/>
      <c r="AL90" s="279"/>
      <c r="AM90" s="279"/>
      <c r="AN90" s="279"/>
      <c r="AO90" s="285"/>
    </row>
    <row r="91" spans="2:41" ht="19.5" customHeight="1" x14ac:dyDescent="0.3">
      <c r="B91" s="468"/>
      <c r="C91" s="468"/>
      <c r="D91" s="468"/>
      <c r="E91" s="465"/>
      <c r="F91" s="465"/>
      <c r="G91" s="465"/>
      <c r="H91" s="465"/>
      <c r="I91" s="465"/>
      <c r="J91" s="254" t="s">
        <v>324</v>
      </c>
      <c r="K91" s="275"/>
      <c r="L91" s="275"/>
      <c r="M91" s="275"/>
      <c r="N91" s="275"/>
      <c r="O91" s="275"/>
      <c r="P91" s="275"/>
      <c r="Q91" s="275"/>
      <c r="R91" s="275"/>
      <c r="S91" s="275"/>
      <c r="T91" s="275"/>
      <c r="U91" s="275"/>
      <c r="V91" s="275"/>
      <c r="W91" s="275"/>
      <c r="X91" s="275"/>
      <c r="Y91" s="275"/>
      <c r="Z91" s="275"/>
      <c r="AA91" s="275"/>
      <c r="AB91" s="275"/>
      <c r="AC91" s="275"/>
      <c r="AD91" s="275"/>
      <c r="AE91" s="275"/>
      <c r="AF91" s="275"/>
      <c r="AG91" s="275"/>
      <c r="AH91" s="275"/>
      <c r="AI91" s="275"/>
      <c r="AJ91" s="275"/>
      <c r="AK91" s="275"/>
      <c r="AL91" s="275"/>
      <c r="AM91" s="275"/>
      <c r="AN91" s="275"/>
      <c r="AO91" s="286"/>
    </row>
    <row r="92" spans="2:41" ht="19.5" customHeight="1" x14ac:dyDescent="0.3">
      <c r="B92" s="468"/>
      <c r="C92" s="468"/>
      <c r="D92" s="468"/>
      <c r="E92" s="465"/>
      <c r="F92" s="465"/>
      <c r="G92" s="465"/>
      <c r="H92" s="465"/>
      <c r="I92" s="465"/>
      <c r="J92" s="254" t="s">
        <v>326</v>
      </c>
      <c r="K92" s="275"/>
      <c r="L92" s="275"/>
      <c r="M92" s="275"/>
      <c r="N92" s="275"/>
      <c r="O92" s="275"/>
      <c r="P92" s="275"/>
      <c r="Q92" s="275"/>
      <c r="R92" s="275"/>
      <c r="S92" s="275"/>
      <c r="T92" s="275"/>
      <c r="U92" s="275"/>
      <c r="V92" s="275"/>
      <c r="W92" s="275"/>
      <c r="X92" s="275"/>
      <c r="Y92" s="275"/>
      <c r="Z92" s="275"/>
      <c r="AA92" s="275"/>
      <c r="AB92" s="275"/>
      <c r="AC92" s="275"/>
      <c r="AD92" s="275"/>
      <c r="AE92" s="275"/>
      <c r="AF92" s="275"/>
      <c r="AG92" s="275"/>
      <c r="AH92" s="275"/>
      <c r="AI92" s="275"/>
      <c r="AJ92" s="275"/>
      <c r="AK92" s="275"/>
      <c r="AL92" s="275"/>
      <c r="AM92" s="275"/>
      <c r="AN92" s="275"/>
      <c r="AO92" s="286"/>
    </row>
    <row r="93" spans="2:41" ht="19.5" customHeight="1" x14ac:dyDescent="0.3">
      <c r="B93" s="468"/>
      <c r="C93" s="468"/>
      <c r="D93" s="468"/>
      <c r="E93" s="465"/>
      <c r="F93" s="465"/>
      <c r="G93" s="465"/>
      <c r="H93" s="465"/>
      <c r="I93" s="465"/>
      <c r="J93" s="254" t="s">
        <v>116</v>
      </c>
      <c r="K93" s="275"/>
      <c r="L93" s="276"/>
      <c r="M93" s="276"/>
      <c r="N93" s="276"/>
      <c r="O93" s="276"/>
      <c r="P93" s="276"/>
      <c r="Q93" s="267"/>
      <c r="R93" s="267"/>
      <c r="S93" s="267"/>
      <c r="T93" s="267"/>
      <c r="U93" s="267"/>
      <c r="V93" s="267"/>
      <c r="W93" s="267"/>
      <c r="X93" s="267"/>
      <c r="Y93" s="267"/>
      <c r="Z93" s="267"/>
      <c r="AA93" s="267"/>
      <c r="AB93" s="267"/>
      <c r="AC93" s="267"/>
      <c r="AD93" s="267"/>
      <c r="AE93" s="267"/>
      <c r="AF93" s="267"/>
      <c r="AG93" s="267"/>
      <c r="AH93" s="267"/>
      <c r="AI93" s="267"/>
      <c r="AJ93" s="267"/>
      <c r="AK93" s="267"/>
      <c r="AL93" s="267"/>
      <c r="AM93" s="267"/>
      <c r="AN93" s="267"/>
      <c r="AO93" s="268"/>
    </row>
    <row r="94" spans="2:41" ht="19.5" customHeight="1" x14ac:dyDescent="0.3">
      <c r="B94" s="469"/>
      <c r="C94" s="469"/>
      <c r="D94" s="469"/>
      <c r="E94" s="466"/>
      <c r="F94" s="466"/>
      <c r="G94" s="466"/>
      <c r="H94" s="466"/>
      <c r="I94" s="466"/>
      <c r="J94" s="254" t="s">
        <v>273</v>
      </c>
      <c r="K94" s="275"/>
      <c r="L94" s="276"/>
      <c r="M94" s="276"/>
      <c r="N94" s="276"/>
      <c r="O94" s="276"/>
      <c r="P94" s="276"/>
      <c r="Q94" s="267"/>
      <c r="R94" s="267"/>
      <c r="S94" s="267"/>
      <c r="T94" s="267"/>
      <c r="U94" s="267"/>
      <c r="V94" s="267"/>
      <c r="W94" s="267"/>
      <c r="X94" s="267"/>
      <c r="Y94" s="267"/>
      <c r="Z94" s="267"/>
      <c r="AA94" s="267"/>
      <c r="AB94" s="267"/>
      <c r="AC94" s="267"/>
      <c r="AD94" s="267"/>
      <c r="AE94" s="267"/>
      <c r="AF94" s="267"/>
      <c r="AG94" s="267"/>
      <c r="AH94" s="267"/>
      <c r="AI94" s="267"/>
      <c r="AJ94" s="267"/>
      <c r="AK94" s="267"/>
      <c r="AL94" s="267"/>
      <c r="AM94" s="267"/>
      <c r="AN94" s="267"/>
      <c r="AO94" s="268"/>
    </row>
    <row r="95" spans="2:41" ht="19.5" customHeight="1" x14ac:dyDescent="0.3">
      <c r="B95" s="467" t="s">
        <v>68</v>
      </c>
      <c r="C95" s="467" t="s">
        <v>185</v>
      </c>
      <c r="D95" s="467" t="s">
        <v>215</v>
      </c>
      <c r="E95" s="464">
        <f>IFERROR(SUM(K95:AO95),)</f>
        <v>0</v>
      </c>
      <c r="F95" s="464">
        <f>IFERROR(SUM(K96:AO96),)</f>
        <v>0</v>
      </c>
      <c r="G95" s="464">
        <f>IFERROR(SUM(K97:AO97),)</f>
        <v>0</v>
      </c>
      <c r="H95" s="464">
        <f>IFERROR(SUM(K98:AO98),)</f>
        <v>0</v>
      </c>
      <c r="I95" s="464">
        <f>IFERROR(SUM(K99:AO99),)</f>
        <v>0</v>
      </c>
      <c r="J95" s="254" t="s">
        <v>271</v>
      </c>
      <c r="K95" s="279"/>
      <c r="L95" s="279"/>
      <c r="M95" s="279"/>
      <c r="N95" s="279"/>
      <c r="O95" s="279"/>
      <c r="P95" s="279"/>
      <c r="Q95" s="279"/>
      <c r="R95" s="279"/>
      <c r="S95" s="279"/>
      <c r="T95" s="279"/>
      <c r="U95" s="279"/>
      <c r="V95" s="279"/>
      <c r="W95" s="279"/>
      <c r="X95" s="279"/>
      <c r="Y95" s="279"/>
      <c r="Z95" s="279"/>
      <c r="AA95" s="279"/>
      <c r="AB95" s="279"/>
      <c r="AC95" s="279"/>
      <c r="AD95" s="279"/>
      <c r="AE95" s="279"/>
      <c r="AF95" s="279"/>
      <c r="AG95" s="279"/>
      <c r="AH95" s="279"/>
      <c r="AI95" s="279"/>
      <c r="AJ95" s="279"/>
      <c r="AK95" s="279"/>
      <c r="AL95" s="279"/>
      <c r="AM95" s="279"/>
      <c r="AN95" s="279"/>
      <c r="AO95" s="285"/>
    </row>
    <row r="96" spans="2:41" ht="19.5" customHeight="1" x14ac:dyDescent="0.3">
      <c r="B96" s="468"/>
      <c r="C96" s="468"/>
      <c r="D96" s="468"/>
      <c r="E96" s="465"/>
      <c r="F96" s="465"/>
      <c r="G96" s="465"/>
      <c r="H96" s="465"/>
      <c r="I96" s="465"/>
      <c r="J96" s="254" t="s">
        <v>324</v>
      </c>
      <c r="K96" s="275"/>
      <c r="L96" s="275"/>
      <c r="M96" s="275"/>
      <c r="N96" s="275"/>
      <c r="O96" s="275"/>
      <c r="P96" s="275"/>
      <c r="Q96" s="275"/>
      <c r="R96" s="275"/>
      <c r="S96" s="275"/>
      <c r="T96" s="275"/>
      <c r="U96" s="275"/>
      <c r="V96" s="275"/>
      <c r="W96" s="275"/>
      <c r="X96" s="275"/>
      <c r="Y96" s="275"/>
      <c r="Z96" s="275"/>
      <c r="AA96" s="275"/>
      <c r="AB96" s="275"/>
      <c r="AC96" s="275"/>
      <c r="AD96" s="275"/>
      <c r="AE96" s="275"/>
      <c r="AF96" s="275"/>
      <c r="AG96" s="275"/>
      <c r="AH96" s="275"/>
      <c r="AI96" s="275"/>
      <c r="AJ96" s="275"/>
      <c r="AK96" s="275"/>
      <c r="AL96" s="275"/>
      <c r="AM96" s="275"/>
      <c r="AN96" s="275"/>
      <c r="AO96" s="286"/>
    </row>
    <row r="97" spans="2:41" ht="19.5" customHeight="1" x14ac:dyDescent="0.3">
      <c r="B97" s="468"/>
      <c r="C97" s="468"/>
      <c r="D97" s="468"/>
      <c r="E97" s="465"/>
      <c r="F97" s="465"/>
      <c r="G97" s="465"/>
      <c r="H97" s="465"/>
      <c r="I97" s="465"/>
      <c r="J97" s="254" t="s">
        <v>326</v>
      </c>
      <c r="K97" s="275"/>
      <c r="L97" s="275"/>
      <c r="M97" s="275"/>
      <c r="N97" s="275"/>
      <c r="O97" s="275"/>
      <c r="P97" s="275"/>
      <c r="Q97" s="275"/>
      <c r="R97" s="275"/>
      <c r="S97" s="275"/>
      <c r="T97" s="275"/>
      <c r="U97" s="275"/>
      <c r="V97" s="275"/>
      <c r="W97" s="275"/>
      <c r="X97" s="275"/>
      <c r="Y97" s="275"/>
      <c r="Z97" s="275"/>
      <c r="AA97" s="275"/>
      <c r="AB97" s="275"/>
      <c r="AC97" s="275"/>
      <c r="AD97" s="275"/>
      <c r="AE97" s="275"/>
      <c r="AF97" s="275"/>
      <c r="AG97" s="275"/>
      <c r="AH97" s="275"/>
      <c r="AI97" s="275"/>
      <c r="AJ97" s="275"/>
      <c r="AK97" s="275"/>
      <c r="AL97" s="275"/>
      <c r="AM97" s="275"/>
      <c r="AN97" s="275"/>
      <c r="AO97" s="286"/>
    </row>
    <row r="98" spans="2:41" ht="19.5" customHeight="1" x14ac:dyDescent="0.3">
      <c r="B98" s="468"/>
      <c r="C98" s="468"/>
      <c r="D98" s="468"/>
      <c r="E98" s="465"/>
      <c r="F98" s="465"/>
      <c r="G98" s="465"/>
      <c r="H98" s="465"/>
      <c r="I98" s="465"/>
      <c r="J98" s="254" t="s">
        <v>116</v>
      </c>
      <c r="K98" s="275"/>
      <c r="L98" s="276"/>
      <c r="M98" s="276"/>
      <c r="N98" s="276"/>
      <c r="O98" s="276"/>
      <c r="P98" s="276"/>
      <c r="Q98" s="267"/>
      <c r="R98" s="267"/>
      <c r="S98" s="267"/>
      <c r="T98" s="267"/>
      <c r="U98" s="267"/>
      <c r="V98" s="267"/>
      <c r="W98" s="267"/>
      <c r="X98" s="267"/>
      <c r="Y98" s="267"/>
      <c r="Z98" s="267"/>
      <c r="AA98" s="267"/>
      <c r="AB98" s="267"/>
      <c r="AC98" s="267"/>
      <c r="AD98" s="267"/>
      <c r="AE98" s="267"/>
      <c r="AF98" s="267"/>
      <c r="AG98" s="267"/>
      <c r="AH98" s="267"/>
      <c r="AI98" s="267"/>
      <c r="AJ98" s="267"/>
      <c r="AK98" s="267"/>
      <c r="AL98" s="267"/>
      <c r="AM98" s="267"/>
      <c r="AN98" s="267"/>
      <c r="AO98" s="268"/>
    </row>
    <row r="99" spans="2:41" ht="19.5" customHeight="1" x14ac:dyDescent="0.3">
      <c r="B99" s="469"/>
      <c r="C99" s="469"/>
      <c r="D99" s="469"/>
      <c r="E99" s="466"/>
      <c r="F99" s="466"/>
      <c r="G99" s="466"/>
      <c r="H99" s="466"/>
      <c r="I99" s="466"/>
      <c r="J99" s="254" t="s">
        <v>273</v>
      </c>
      <c r="K99" s="275"/>
      <c r="L99" s="276"/>
      <c r="M99" s="276"/>
      <c r="N99" s="276"/>
      <c r="O99" s="276"/>
      <c r="P99" s="276"/>
      <c r="Q99" s="267"/>
      <c r="R99" s="267"/>
      <c r="S99" s="267"/>
      <c r="T99" s="267"/>
      <c r="U99" s="267"/>
      <c r="V99" s="267"/>
      <c r="W99" s="267"/>
      <c r="X99" s="267"/>
      <c r="Y99" s="267"/>
      <c r="Z99" s="267"/>
      <c r="AA99" s="267"/>
      <c r="AB99" s="267"/>
      <c r="AC99" s="267"/>
      <c r="AD99" s="267"/>
      <c r="AE99" s="267"/>
      <c r="AF99" s="267"/>
      <c r="AG99" s="267"/>
      <c r="AH99" s="267"/>
      <c r="AI99" s="267"/>
      <c r="AJ99" s="267"/>
      <c r="AK99" s="267"/>
      <c r="AL99" s="267"/>
      <c r="AM99" s="267"/>
      <c r="AN99" s="267"/>
      <c r="AO99" s="268"/>
    </row>
    <row r="100" spans="2:41" ht="19.5" customHeight="1" x14ac:dyDescent="0.3">
      <c r="B100" s="467" t="s">
        <v>69</v>
      </c>
      <c r="C100" s="467" t="s">
        <v>185</v>
      </c>
      <c r="D100" s="467" t="s">
        <v>216</v>
      </c>
      <c r="E100" s="464">
        <f>IFERROR(SUM(K100:AO100),)</f>
        <v>0</v>
      </c>
      <c r="F100" s="464">
        <f>IFERROR(SUM(K101:AO101),)</f>
        <v>0</v>
      </c>
      <c r="G100" s="464">
        <f>IFERROR(SUM(K102:AO102),)</f>
        <v>0</v>
      </c>
      <c r="H100" s="464">
        <f>IFERROR(SUM(K103:AO103),)</f>
        <v>0</v>
      </c>
      <c r="I100" s="464">
        <f>IFERROR(SUM(K104:AO104),)</f>
        <v>0</v>
      </c>
      <c r="J100" s="254" t="s">
        <v>271</v>
      </c>
      <c r="K100" s="279"/>
      <c r="L100" s="279"/>
      <c r="M100" s="279"/>
      <c r="N100" s="279"/>
      <c r="O100" s="279"/>
      <c r="P100" s="279"/>
      <c r="Q100" s="279"/>
      <c r="R100" s="279"/>
      <c r="S100" s="279"/>
      <c r="T100" s="279"/>
      <c r="U100" s="279"/>
      <c r="V100" s="279"/>
      <c r="W100" s="279"/>
      <c r="X100" s="279"/>
      <c r="Y100" s="279"/>
      <c r="Z100" s="279"/>
      <c r="AA100" s="279"/>
      <c r="AB100" s="279"/>
      <c r="AC100" s="279"/>
      <c r="AD100" s="279"/>
      <c r="AE100" s="279"/>
      <c r="AF100" s="279"/>
      <c r="AG100" s="279"/>
      <c r="AH100" s="279"/>
      <c r="AI100" s="279"/>
      <c r="AJ100" s="279"/>
      <c r="AK100" s="279"/>
      <c r="AL100" s="279"/>
      <c r="AM100" s="279"/>
      <c r="AN100" s="279"/>
      <c r="AO100" s="285"/>
    </row>
    <row r="101" spans="2:41" ht="19.5" customHeight="1" x14ac:dyDescent="0.3">
      <c r="B101" s="468"/>
      <c r="C101" s="468"/>
      <c r="D101" s="468"/>
      <c r="E101" s="465"/>
      <c r="F101" s="465"/>
      <c r="G101" s="465"/>
      <c r="H101" s="465"/>
      <c r="I101" s="465"/>
      <c r="J101" s="254" t="s">
        <v>324</v>
      </c>
      <c r="K101" s="275"/>
      <c r="L101" s="275"/>
      <c r="M101" s="275"/>
      <c r="N101" s="275"/>
      <c r="O101" s="275"/>
      <c r="P101" s="275"/>
      <c r="Q101" s="275"/>
      <c r="R101" s="275"/>
      <c r="S101" s="275"/>
      <c r="T101" s="275"/>
      <c r="U101" s="275"/>
      <c r="V101" s="275"/>
      <c r="W101" s="275"/>
      <c r="X101" s="275"/>
      <c r="Y101" s="275"/>
      <c r="Z101" s="275"/>
      <c r="AA101" s="275"/>
      <c r="AB101" s="275"/>
      <c r="AC101" s="275"/>
      <c r="AD101" s="275"/>
      <c r="AE101" s="275"/>
      <c r="AF101" s="275"/>
      <c r="AG101" s="275"/>
      <c r="AH101" s="275"/>
      <c r="AI101" s="275"/>
      <c r="AJ101" s="275"/>
      <c r="AK101" s="275"/>
      <c r="AL101" s="275"/>
      <c r="AM101" s="275"/>
      <c r="AN101" s="275"/>
      <c r="AO101" s="286"/>
    </row>
    <row r="102" spans="2:41" ht="19.5" customHeight="1" x14ac:dyDescent="0.3">
      <c r="B102" s="468"/>
      <c r="C102" s="468"/>
      <c r="D102" s="468"/>
      <c r="E102" s="465"/>
      <c r="F102" s="465"/>
      <c r="G102" s="465"/>
      <c r="H102" s="465"/>
      <c r="I102" s="465"/>
      <c r="J102" s="254" t="s">
        <v>326</v>
      </c>
      <c r="K102" s="275"/>
      <c r="L102" s="275"/>
      <c r="M102" s="275"/>
      <c r="N102" s="275"/>
      <c r="O102" s="275"/>
      <c r="P102" s="275"/>
      <c r="Q102" s="275"/>
      <c r="R102" s="275"/>
      <c r="S102" s="275"/>
      <c r="T102" s="275"/>
      <c r="U102" s="275"/>
      <c r="V102" s="275"/>
      <c r="W102" s="275"/>
      <c r="X102" s="275"/>
      <c r="Y102" s="275"/>
      <c r="Z102" s="275"/>
      <c r="AA102" s="275"/>
      <c r="AB102" s="275"/>
      <c r="AC102" s="275"/>
      <c r="AD102" s="275"/>
      <c r="AE102" s="275"/>
      <c r="AF102" s="275"/>
      <c r="AG102" s="275"/>
      <c r="AH102" s="275"/>
      <c r="AI102" s="275"/>
      <c r="AJ102" s="275"/>
      <c r="AK102" s="275"/>
      <c r="AL102" s="275"/>
      <c r="AM102" s="275"/>
      <c r="AN102" s="275"/>
      <c r="AO102" s="286"/>
    </row>
    <row r="103" spans="2:41" ht="19.5" customHeight="1" x14ac:dyDescent="0.3">
      <c r="B103" s="468"/>
      <c r="C103" s="468"/>
      <c r="D103" s="468"/>
      <c r="E103" s="465"/>
      <c r="F103" s="465"/>
      <c r="G103" s="465"/>
      <c r="H103" s="465"/>
      <c r="I103" s="465"/>
      <c r="J103" s="254" t="s">
        <v>116</v>
      </c>
      <c r="K103" s="275"/>
      <c r="L103" s="276"/>
      <c r="M103" s="276"/>
      <c r="N103" s="276"/>
      <c r="O103" s="276"/>
      <c r="P103" s="276"/>
      <c r="Q103" s="267"/>
      <c r="R103" s="267"/>
      <c r="S103" s="267"/>
      <c r="T103" s="267"/>
      <c r="U103" s="267"/>
      <c r="V103" s="267"/>
      <c r="W103" s="267"/>
      <c r="X103" s="267"/>
      <c r="Y103" s="267"/>
      <c r="Z103" s="267"/>
      <c r="AA103" s="267"/>
      <c r="AB103" s="267"/>
      <c r="AC103" s="267"/>
      <c r="AD103" s="267"/>
      <c r="AE103" s="267"/>
      <c r="AF103" s="267"/>
      <c r="AG103" s="267"/>
      <c r="AH103" s="267"/>
      <c r="AI103" s="267"/>
      <c r="AJ103" s="267"/>
      <c r="AK103" s="267"/>
      <c r="AL103" s="267"/>
      <c r="AM103" s="267"/>
      <c r="AN103" s="267"/>
      <c r="AO103" s="268"/>
    </row>
    <row r="104" spans="2:41" ht="19.5" customHeight="1" x14ac:dyDescent="0.3">
      <c r="B104" s="469"/>
      <c r="C104" s="469"/>
      <c r="D104" s="469"/>
      <c r="E104" s="466"/>
      <c r="F104" s="466"/>
      <c r="G104" s="466"/>
      <c r="H104" s="466"/>
      <c r="I104" s="466"/>
      <c r="J104" s="254" t="s">
        <v>273</v>
      </c>
      <c r="K104" s="275"/>
      <c r="L104" s="276"/>
      <c r="M104" s="276"/>
      <c r="N104" s="276"/>
      <c r="O104" s="276"/>
      <c r="P104" s="276"/>
      <c r="Q104" s="267"/>
      <c r="R104" s="267"/>
      <c r="S104" s="267"/>
      <c r="T104" s="267"/>
      <c r="U104" s="267"/>
      <c r="V104" s="267"/>
      <c r="W104" s="267"/>
      <c r="X104" s="267"/>
      <c r="Y104" s="267"/>
      <c r="Z104" s="267"/>
      <c r="AA104" s="267"/>
      <c r="AB104" s="267"/>
      <c r="AC104" s="267"/>
      <c r="AD104" s="267"/>
      <c r="AE104" s="267"/>
      <c r="AF104" s="267"/>
      <c r="AG104" s="267"/>
      <c r="AH104" s="267"/>
      <c r="AI104" s="267"/>
      <c r="AJ104" s="267"/>
      <c r="AK104" s="267"/>
      <c r="AL104" s="267"/>
      <c r="AM104" s="267"/>
      <c r="AN104" s="267"/>
      <c r="AO104" s="268"/>
    </row>
    <row r="105" spans="2:41" ht="19.5" customHeight="1" x14ac:dyDescent="0.3">
      <c r="B105" s="467" t="s">
        <v>70</v>
      </c>
      <c r="C105" s="467" t="s">
        <v>185</v>
      </c>
      <c r="D105" s="467" t="s">
        <v>217</v>
      </c>
      <c r="E105" s="464">
        <f>IFERROR(SUM(K105:AO105),)</f>
        <v>0</v>
      </c>
      <c r="F105" s="464">
        <f>IFERROR(SUM(K106:AO106),)</f>
        <v>0</v>
      </c>
      <c r="G105" s="464">
        <f>IFERROR(SUM(K107:AO107),)</f>
        <v>0</v>
      </c>
      <c r="H105" s="464">
        <f>IFERROR(SUM(K108:AO108),)</f>
        <v>0</v>
      </c>
      <c r="I105" s="464">
        <f>IFERROR(SUM(K109:AO109),)</f>
        <v>0</v>
      </c>
      <c r="J105" s="254" t="s">
        <v>271</v>
      </c>
      <c r="K105" s="279"/>
      <c r="L105" s="279"/>
      <c r="M105" s="279"/>
      <c r="N105" s="279"/>
      <c r="O105" s="279"/>
      <c r="P105" s="279"/>
      <c r="Q105" s="279"/>
      <c r="R105" s="279"/>
      <c r="S105" s="279"/>
      <c r="T105" s="279"/>
      <c r="U105" s="279"/>
      <c r="V105" s="279"/>
      <c r="W105" s="279"/>
      <c r="X105" s="279"/>
      <c r="Y105" s="279"/>
      <c r="Z105" s="279"/>
      <c r="AA105" s="279"/>
      <c r="AB105" s="279"/>
      <c r="AC105" s="279"/>
      <c r="AD105" s="279"/>
      <c r="AE105" s="279"/>
      <c r="AF105" s="279"/>
      <c r="AG105" s="279"/>
      <c r="AH105" s="279"/>
      <c r="AI105" s="279"/>
      <c r="AJ105" s="279"/>
      <c r="AK105" s="279"/>
      <c r="AL105" s="279"/>
      <c r="AM105" s="279"/>
      <c r="AN105" s="279"/>
      <c r="AO105" s="285"/>
    </row>
    <row r="106" spans="2:41" ht="19.5" customHeight="1" x14ac:dyDescent="0.3">
      <c r="B106" s="468"/>
      <c r="C106" s="468"/>
      <c r="D106" s="468"/>
      <c r="E106" s="465"/>
      <c r="F106" s="465"/>
      <c r="G106" s="465"/>
      <c r="H106" s="465"/>
      <c r="I106" s="465"/>
      <c r="J106" s="254" t="s">
        <v>324</v>
      </c>
      <c r="K106" s="275"/>
      <c r="L106" s="275"/>
      <c r="M106" s="275"/>
      <c r="N106" s="275"/>
      <c r="O106" s="275"/>
      <c r="P106" s="275"/>
      <c r="Q106" s="275"/>
      <c r="R106" s="275"/>
      <c r="S106" s="275"/>
      <c r="T106" s="275"/>
      <c r="U106" s="275"/>
      <c r="V106" s="275"/>
      <c r="W106" s="275"/>
      <c r="X106" s="275"/>
      <c r="Y106" s="275"/>
      <c r="Z106" s="275"/>
      <c r="AA106" s="275"/>
      <c r="AB106" s="275"/>
      <c r="AC106" s="275"/>
      <c r="AD106" s="275"/>
      <c r="AE106" s="275"/>
      <c r="AF106" s="275"/>
      <c r="AG106" s="275"/>
      <c r="AH106" s="275"/>
      <c r="AI106" s="275"/>
      <c r="AJ106" s="275"/>
      <c r="AK106" s="275"/>
      <c r="AL106" s="275"/>
      <c r="AM106" s="275"/>
      <c r="AN106" s="275"/>
      <c r="AO106" s="286"/>
    </row>
    <row r="107" spans="2:41" ht="19.5" customHeight="1" x14ac:dyDescent="0.3">
      <c r="B107" s="468"/>
      <c r="C107" s="468"/>
      <c r="D107" s="468"/>
      <c r="E107" s="465"/>
      <c r="F107" s="465"/>
      <c r="G107" s="465"/>
      <c r="H107" s="465"/>
      <c r="I107" s="465"/>
      <c r="J107" s="254" t="s">
        <v>326</v>
      </c>
      <c r="K107" s="275"/>
      <c r="L107" s="275"/>
      <c r="M107" s="275"/>
      <c r="N107" s="275"/>
      <c r="O107" s="275"/>
      <c r="P107" s="275"/>
      <c r="Q107" s="275"/>
      <c r="R107" s="275"/>
      <c r="S107" s="275"/>
      <c r="T107" s="275"/>
      <c r="U107" s="275"/>
      <c r="V107" s="275"/>
      <c r="W107" s="275"/>
      <c r="X107" s="275"/>
      <c r="Y107" s="275"/>
      <c r="Z107" s="275"/>
      <c r="AA107" s="275"/>
      <c r="AB107" s="275"/>
      <c r="AC107" s="275"/>
      <c r="AD107" s="275"/>
      <c r="AE107" s="275"/>
      <c r="AF107" s="275"/>
      <c r="AG107" s="275"/>
      <c r="AH107" s="275"/>
      <c r="AI107" s="275"/>
      <c r="AJ107" s="275"/>
      <c r="AK107" s="275"/>
      <c r="AL107" s="275"/>
      <c r="AM107" s="275"/>
      <c r="AN107" s="275"/>
      <c r="AO107" s="286"/>
    </row>
    <row r="108" spans="2:41" ht="19.5" customHeight="1" x14ac:dyDescent="0.3">
      <c r="B108" s="468"/>
      <c r="C108" s="468"/>
      <c r="D108" s="468"/>
      <c r="E108" s="465"/>
      <c r="F108" s="465"/>
      <c r="G108" s="465"/>
      <c r="H108" s="465"/>
      <c r="I108" s="465"/>
      <c r="J108" s="254" t="s">
        <v>116</v>
      </c>
      <c r="K108" s="275"/>
      <c r="L108" s="276"/>
      <c r="M108" s="276"/>
      <c r="N108" s="276"/>
      <c r="O108" s="276"/>
      <c r="P108" s="276"/>
      <c r="Q108" s="267"/>
      <c r="R108" s="267"/>
      <c r="S108" s="267"/>
      <c r="T108" s="267"/>
      <c r="U108" s="267"/>
      <c r="V108" s="267"/>
      <c r="W108" s="267"/>
      <c r="X108" s="267"/>
      <c r="Y108" s="267"/>
      <c r="Z108" s="267"/>
      <c r="AA108" s="267"/>
      <c r="AB108" s="267"/>
      <c r="AC108" s="267"/>
      <c r="AD108" s="267"/>
      <c r="AE108" s="267"/>
      <c r="AF108" s="267"/>
      <c r="AG108" s="267"/>
      <c r="AH108" s="267"/>
      <c r="AI108" s="267"/>
      <c r="AJ108" s="267"/>
      <c r="AK108" s="267"/>
      <c r="AL108" s="267"/>
      <c r="AM108" s="267"/>
      <c r="AN108" s="267"/>
      <c r="AO108" s="268"/>
    </row>
    <row r="109" spans="2:41" ht="19.5" customHeight="1" x14ac:dyDescent="0.3">
      <c r="B109" s="468"/>
      <c r="C109" s="468"/>
      <c r="D109" s="468"/>
      <c r="E109" s="465"/>
      <c r="F109" s="466"/>
      <c r="G109" s="465"/>
      <c r="H109" s="465"/>
      <c r="I109" s="465"/>
      <c r="J109" s="254" t="s">
        <v>273</v>
      </c>
      <c r="K109" s="275"/>
      <c r="L109" s="276"/>
      <c r="M109" s="276"/>
      <c r="N109" s="276"/>
      <c r="O109" s="276"/>
      <c r="P109" s="276"/>
      <c r="Q109" s="267"/>
      <c r="R109" s="267"/>
      <c r="S109" s="267"/>
      <c r="T109" s="267"/>
      <c r="U109" s="267"/>
      <c r="V109" s="267"/>
      <c r="W109" s="267"/>
      <c r="X109" s="267"/>
      <c r="Y109" s="267"/>
      <c r="Z109" s="267"/>
      <c r="AA109" s="267"/>
      <c r="AB109" s="267"/>
      <c r="AC109" s="267"/>
      <c r="AD109" s="267"/>
      <c r="AE109" s="267"/>
      <c r="AF109" s="267"/>
      <c r="AG109" s="267"/>
      <c r="AH109" s="267"/>
      <c r="AI109" s="267"/>
      <c r="AJ109" s="267"/>
      <c r="AK109" s="267"/>
      <c r="AL109" s="267"/>
      <c r="AM109" s="267"/>
      <c r="AN109" s="267"/>
      <c r="AO109" s="268"/>
    </row>
    <row r="110" spans="2:41" ht="19.5" customHeight="1" x14ac:dyDescent="0.3">
      <c r="B110" s="467" t="s">
        <v>48</v>
      </c>
      <c r="C110" s="467" t="s">
        <v>185</v>
      </c>
      <c r="D110" s="467" t="s">
        <v>193</v>
      </c>
      <c r="E110" s="464">
        <f>IFERROR(SUM(K110:AO110),)</f>
        <v>0</v>
      </c>
      <c r="F110" s="464">
        <f>IFERROR(SUM(K111:AO111),)</f>
        <v>0</v>
      </c>
      <c r="G110" s="464">
        <f>IFERROR(SUM(K112:AO112),)</f>
        <v>0</v>
      </c>
      <c r="H110" s="464">
        <f>IFERROR(SUM(K113:AO113),)</f>
        <v>0</v>
      </c>
      <c r="I110" s="464">
        <f>IFERROR(SUM(K114:AO114),)</f>
        <v>0</v>
      </c>
      <c r="J110" s="254" t="s">
        <v>271</v>
      </c>
      <c r="K110" s="275"/>
      <c r="L110" s="275"/>
      <c r="M110" s="275"/>
      <c r="N110" s="275"/>
      <c r="O110" s="275"/>
      <c r="P110" s="275"/>
      <c r="Q110" s="275"/>
      <c r="R110" s="275"/>
      <c r="S110" s="275"/>
      <c r="T110" s="275"/>
      <c r="U110" s="275"/>
      <c r="V110" s="275"/>
      <c r="W110" s="275"/>
      <c r="X110" s="275"/>
      <c r="Y110" s="275"/>
      <c r="Z110" s="275"/>
      <c r="AA110" s="275"/>
      <c r="AB110" s="275"/>
      <c r="AC110" s="275"/>
      <c r="AD110" s="275"/>
      <c r="AE110" s="275"/>
      <c r="AF110" s="275"/>
      <c r="AG110" s="275"/>
      <c r="AH110" s="275"/>
      <c r="AI110" s="275"/>
      <c r="AJ110" s="275"/>
      <c r="AK110" s="275"/>
      <c r="AL110" s="275"/>
      <c r="AM110" s="275"/>
      <c r="AN110" s="275"/>
      <c r="AO110" s="286"/>
    </row>
    <row r="111" spans="2:41" ht="19.5" customHeight="1" x14ac:dyDescent="0.3">
      <c r="B111" s="468"/>
      <c r="C111" s="468"/>
      <c r="D111" s="468"/>
      <c r="E111" s="465"/>
      <c r="F111" s="465"/>
      <c r="G111" s="465"/>
      <c r="H111" s="465"/>
      <c r="I111" s="465"/>
      <c r="J111" s="254" t="s">
        <v>324</v>
      </c>
      <c r="K111" s="282"/>
      <c r="L111" s="277"/>
      <c r="M111" s="277"/>
      <c r="N111" s="277"/>
      <c r="O111" s="277"/>
      <c r="P111" s="277"/>
      <c r="Q111" s="277"/>
      <c r="R111" s="277"/>
      <c r="S111" s="277"/>
      <c r="T111" s="277"/>
      <c r="U111" s="277"/>
      <c r="V111" s="277"/>
      <c r="W111" s="277"/>
      <c r="X111" s="277"/>
      <c r="Y111" s="277"/>
      <c r="Z111" s="277"/>
      <c r="AA111" s="277"/>
      <c r="AB111" s="277"/>
      <c r="AC111" s="277"/>
      <c r="AD111" s="277"/>
      <c r="AE111" s="277"/>
      <c r="AF111" s="277"/>
      <c r="AG111" s="277"/>
      <c r="AH111" s="277"/>
      <c r="AI111" s="277"/>
      <c r="AJ111" s="277"/>
      <c r="AK111" s="277"/>
      <c r="AL111" s="277"/>
      <c r="AM111" s="277"/>
      <c r="AN111" s="277"/>
      <c r="AO111" s="284"/>
    </row>
    <row r="112" spans="2:41" ht="19.5" customHeight="1" x14ac:dyDescent="0.3">
      <c r="B112" s="468"/>
      <c r="C112" s="468"/>
      <c r="D112" s="468"/>
      <c r="E112" s="465"/>
      <c r="F112" s="465"/>
      <c r="G112" s="465"/>
      <c r="H112" s="465"/>
      <c r="I112" s="465"/>
      <c r="J112" s="254" t="s">
        <v>326</v>
      </c>
      <c r="K112" s="282"/>
      <c r="L112" s="277"/>
      <c r="M112" s="277"/>
      <c r="N112" s="277"/>
      <c r="O112" s="277"/>
      <c r="P112" s="277"/>
      <c r="Q112" s="277"/>
      <c r="R112" s="277"/>
      <c r="S112" s="277"/>
      <c r="T112" s="277"/>
      <c r="U112" s="277"/>
      <c r="V112" s="277"/>
      <c r="W112" s="277"/>
      <c r="X112" s="277"/>
      <c r="Y112" s="277"/>
      <c r="Z112" s="277"/>
      <c r="AA112" s="277"/>
      <c r="AB112" s="277"/>
      <c r="AC112" s="277"/>
      <c r="AD112" s="277"/>
      <c r="AE112" s="277"/>
      <c r="AF112" s="277"/>
      <c r="AG112" s="277"/>
      <c r="AH112" s="277"/>
      <c r="AI112" s="277"/>
      <c r="AJ112" s="277"/>
      <c r="AK112" s="277"/>
      <c r="AL112" s="277"/>
      <c r="AM112" s="277"/>
      <c r="AN112" s="277"/>
      <c r="AO112" s="284"/>
    </row>
    <row r="113" spans="2:41" ht="19.5" customHeight="1" x14ac:dyDescent="0.3">
      <c r="B113" s="468"/>
      <c r="C113" s="468"/>
      <c r="D113" s="468"/>
      <c r="E113" s="465"/>
      <c r="F113" s="465"/>
      <c r="G113" s="465"/>
      <c r="H113" s="465"/>
      <c r="I113" s="465"/>
      <c r="J113" s="254" t="s">
        <v>116</v>
      </c>
      <c r="K113" s="281"/>
      <c r="L113" s="276"/>
      <c r="M113" s="276"/>
      <c r="N113" s="276"/>
      <c r="O113" s="276"/>
      <c r="P113" s="276"/>
      <c r="Q113" s="267"/>
      <c r="R113" s="267"/>
      <c r="S113" s="267"/>
      <c r="T113" s="267"/>
      <c r="U113" s="267"/>
      <c r="V113" s="267"/>
      <c r="W113" s="267"/>
      <c r="X113" s="267"/>
      <c r="Y113" s="267"/>
      <c r="Z113" s="267"/>
      <c r="AA113" s="267"/>
      <c r="AB113" s="267"/>
      <c r="AC113" s="267"/>
      <c r="AD113" s="267"/>
      <c r="AE113" s="267"/>
      <c r="AF113" s="267"/>
      <c r="AG113" s="267"/>
      <c r="AH113" s="267"/>
      <c r="AI113" s="267"/>
      <c r="AJ113" s="267"/>
      <c r="AK113" s="267"/>
      <c r="AL113" s="267"/>
      <c r="AM113" s="267"/>
      <c r="AN113" s="267"/>
      <c r="AO113" s="268"/>
    </row>
    <row r="114" spans="2:41" ht="19.5" customHeight="1" x14ac:dyDescent="0.3">
      <c r="B114" s="469"/>
      <c r="C114" s="469"/>
      <c r="D114" s="469"/>
      <c r="E114" s="466"/>
      <c r="F114" s="466"/>
      <c r="G114" s="466"/>
      <c r="H114" s="466"/>
      <c r="I114" s="466"/>
      <c r="J114" s="254" t="s">
        <v>273</v>
      </c>
      <c r="K114" s="282"/>
      <c r="L114" s="278"/>
      <c r="M114" s="278"/>
      <c r="N114" s="278"/>
      <c r="O114" s="278"/>
      <c r="P114" s="278"/>
      <c r="Q114" s="269"/>
      <c r="R114" s="269"/>
      <c r="S114" s="269"/>
      <c r="T114" s="269"/>
      <c r="U114" s="269"/>
      <c r="V114" s="269"/>
      <c r="W114" s="269"/>
      <c r="X114" s="269"/>
      <c r="Y114" s="269"/>
      <c r="Z114" s="269"/>
      <c r="AA114" s="269"/>
      <c r="AB114" s="269"/>
      <c r="AC114" s="269"/>
      <c r="AD114" s="269"/>
      <c r="AE114" s="269"/>
      <c r="AF114" s="269"/>
      <c r="AG114" s="269"/>
      <c r="AH114" s="269"/>
      <c r="AI114" s="269"/>
      <c r="AJ114" s="269"/>
      <c r="AK114" s="269"/>
      <c r="AL114" s="269"/>
      <c r="AM114" s="269"/>
      <c r="AN114" s="269"/>
      <c r="AO114" s="270"/>
    </row>
    <row r="115" spans="2:41" ht="19.5" customHeight="1" x14ac:dyDescent="0.3">
      <c r="B115" s="467" t="s">
        <v>53</v>
      </c>
      <c r="C115" s="467" t="s">
        <v>185</v>
      </c>
      <c r="D115" s="467" t="s">
        <v>193</v>
      </c>
      <c r="E115" s="464">
        <f>IFERROR(SUM(K115:AO115),)</f>
        <v>0</v>
      </c>
      <c r="F115" s="464">
        <f>IFERROR(SUM(K116:AO116),)</f>
        <v>0</v>
      </c>
      <c r="G115" s="464">
        <f>IFERROR(SUM(K117:AO117),)</f>
        <v>0</v>
      </c>
      <c r="H115" s="464">
        <f>IFERROR(SUM(K118:AO118),)</f>
        <v>0</v>
      </c>
      <c r="I115" s="464">
        <f>IFERROR(SUM(K119:AO119),)</f>
        <v>0</v>
      </c>
      <c r="J115" s="254" t="s">
        <v>271</v>
      </c>
      <c r="K115" s="279"/>
      <c r="L115" s="279"/>
      <c r="M115" s="279"/>
      <c r="N115" s="279"/>
      <c r="O115" s="279"/>
      <c r="P115" s="279"/>
      <c r="Q115" s="279"/>
      <c r="R115" s="279"/>
      <c r="S115" s="279"/>
      <c r="T115" s="279"/>
      <c r="U115" s="279"/>
      <c r="V115" s="279"/>
      <c r="W115" s="279"/>
      <c r="X115" s="279"/>
      <c r="Y115" s="279"/>
      <c r="Z115" s="279"/>
      <c r="AA115" s="279"/>
      <c r="AB115" s="279"/>
      <c r="AC115" s="279"/>
      <c r="AD115" s="279"/>
      <c r="AE115" s="279"/>
      <c r="AF115" s="279"/>
      <c r="AG115" s="279"/>
      <c r="AH115" s="279"/>
      <c r="AI115" s="279"/>
      <c r="AJ115" s="279"/>
      <c r="AK115" s="279"/>
      <c r="AL115" s="279"/>
      <c r="AM115" s="279"/>
      <c r="AN115" s="279"/>
      <c r="AO115" s="285"/>
    </row>
    <row r="116" spans="2:41" ht="19.5" customHeight="1" x14ac:dyDescent="0.3">
      <c r="B116" s="468"/>
      <c r="C116" s="468"/>
      <c r="D116" s="468"/>
      <c r="E116" s="465"/>
      <c r="F116" s="465"/>
      <c r="G116" s="465"/>
      <c r="H116" s="465"/>
      <c r="I116" s="465"/>
      <c r="J116" s="254" t="s">
        <v>324</v>
      </c>
      <c r="K116" s="275"/>
      <c r="L116" s="275"/>
      <c r="M116" s="275"/>
      <c r="N116" s="275"/>
      <c r="O116" s="275"/>
      <c r="P116" s="275"/>
      <c r="Q116" s="275"/>
      <c r="R116" s="275"/>
      <c r="S116" s="275"/>
      <c r="T116" s="275"/>
      <c r="U116" s="275"/>
      <c r="V116" s="275"/>
      <c r="W116" s="275"/>
      <c r="X116" s="275"/>
      <c r="Y116" s="275"/>
      <c r="Z116" s="275"/>
      <c r="AA116" s="275"/>
      <c r="AB116" s="275"/>
      <c r="AC116" s="275"/>
      <c r="AD116" s="275"/>
      <c r="AE116" s="275"/>
      <c r="AF116" s="275"/>
      <c r="AG116" s="275"/>
      <c r="AH116" s="275"/>
      <c r="AI116" s="275"/>
      <c r="AJ116" s="275"/>
      <c r="AK116" s="275"/>
      <c r="AL116" s="275"/>
      <c r="AM116" s="275"/>
      <c r="AN116" s="275"/>
      <c r="AO116" s="286"/>
    </row>
    <row r="117" spans="2:41" ht="19.5" customHeight="1" x14ac:dyDescent="0.3">
      <c r="B117" s="468"/>
      <c r="C117" s="468"/>
      <c r="D117" s="468"/>
      <c r="E117" s="465"/>
      <c r="F117" s="465"/>
      <c r="G117" s="465"/>
      <c r="H117" s="465"/>
      <c r="I117" s="465"/>
      <c r="J117" s="254" t="s">
        <v>326</v>
      </c>
      <c r="K117" s="275"/>
      <c r="L117" s="275"/>
      <c r="M117" s="275"/>
      <c r="N117" s="275"/>
      <c r="O117" s="275"/>
      <c r="P117" s="275"/>
      <c r="Q117" s="275"/>
      <c r="R117" s="275"/>
      <c r="S117" s="275"/>
      <c r="T117" s="275"/>
      <c r="U117" s="275"/>
      <c r="V117" s="275"/>
      <c r="W117" s="275"/>
      <c r="X117" s="275"/>
      <c r="Y117" s="275"/>
      <c r="Z117" s="275"/>
      <c r="AA117" s="275"/>
      <c r="AB117" s="275"/>
      <c r="AC117" s="275"/>
      <c r="AD117" s="275"/>
      <c r="AE117" s="275"/>
      <c r="AF117" s="275"/>
      <c r="AG117" s="275"/>
      <c r="AH117" s="275"/>
      <c r="AI117" s="275"/>
      <c r="AJ117" s="275"/>
      <c r="AK117" s="275"/>
      <c r="AL117" s="275"/>
      <c r="AM117" s="275"/>
      <c r="AN117" s="275"/>
      <c r="AO117" s="286"/>
    </row>
    <row r="118" spans="2:41" ht="19.5" customHeight="1" x14ac:dyDescent="0.3">
      <c r="B118" s="468"/>
      <c r="C118" s="468"/>
      <c r="D118" s="468"/>
      <c r="E118" s="465"/>
      <c r="F118" s="465"/>
      <c r="G118" s="465"/>
      <c r="H118" s="465"/>
      <c r="I118" s="465"/>
      <c r="J118" s="254" t="s">
        <v>116</v>
      </c>
      <c r="K118" s="275"/>
      <c r="L118" s="276"/>
      <c r="M118" s="276"/>
      <c r="N118" s="276"/>
      <c r="O118" s="276"/>
      <c r="P118" s="276"/>
      <c r="Q118" s="267"/>
      <c r="R118" s="267"/>
      <c r="S118" s="267"/>
      <c r="T118" s="267"/>
      <c r="U118" s="267"/>
      <c r="V118" s="267"/>
      <c r="W118" s="267"/>
      <c r="X118" s="267"/>
      <c r="Y118" s="267"/>
      <c r="Z118" s="267"/>
      <c r="AA118" s="267"/>
      <c r="AB118" s="267"/>
      <c r="AC118" s="267"/>
      <c r="AD118" s="267"/>
      <c r="AE118" s="267"/>
      <c r="AF118" s="267"/>
      <c r="AG118" s="267"/>
      <c r="AH118" s="267"/>
      <c r="AI118" s="267"/>
      <c r="AJ118" s="267"/>
      <c r="AK118" s="267"/>
      <c r="AL118" s="267"/>
      <c r="AM118" s="267"/>
      <c r="AN118" s="267"/>
      <c r="AO118" s="268"/>
    </row>
    <row r="119" spans="2:41" ht="19.5" customHeight="1" x14ac:dyDescent="0.3">
      <c r="B119" s="469"/>
      <c r="C119" s="469"/>
      <c r="D119" s="469"/>
      <c r="E119" s="466"/>
      <c r="F119" s="466"/>
      <c r="G119" s="466"/>
      <c r="H119" s="466"/>
      <c r="I119" s="466"/>
      <c r="J119" s="254" t="s">
        <v>273</v>
      </c>
      <c r="K119" s="275"/>
      <c r="L119" s="276"/>
      <c r="M119" s="276"/>
      <c r="N119" s="276"/>
      <c r="O119" s="276"/>
      <c r="P119" s="276"/>
      <c r="Q119" s="267"/>
      <c r="R119" s="267"/>
      <c r="S119" s="267"/>
      <c r="T119" s="267"/>
      <c r="U119" s="267"/>
      <c r="V119" s="267"/>
      <c r="W119" s="267"/>
      <c r="X119" s="267"/>
      <c r="Y119" s="267"/>
      <c r="Z119" s="267"/>
      <c r="AA119" s="267"/>
      <c r="AB119" s="267"/>
      <c r="AC119" s="267"/>
      <c r="AD119" s="267"/>
      <c r="AE119" s="267"/>
      <c r="AF119" s="267"/>
      <c r="AG119" s="267"/>
      <c r="AH119" s="267"/>
      <c r="AI119" s="267"/>
      <c r="AJ119" s="267"/>
      <c r="AK119" s="267"/>
      <c r="AL119" s="267"/>
      <c r="AM119" s="267"/>
      <c r="AN119" s="267"/>
      <c r="AO119" s="268"/>
    </row>
    <row r="120" spans="2:41" ht="19.5" customHeight="1" x14ac:dyDescent="0.3">
      <c r="B120" s="467" t="s">
        <v>60</v>
      </c>
      <c r="C120" s="467" t="s">
        <v>185</v>
      </c>
      <c r="D120" s="467" t="s">
        <v>200</v>
      </c>
      <c r="E120" s="464">
        <f>IFERROR(SUM(K120:AO120),)</f>
        <v>7800</v>
      </c>
      <c r="F120" s="464">
        <f>IFERROR(SUM(K121:AO121),)</f>
        <v>1642</v>
      </c>
      <c r="G120" s="464">
        <f>IFERROR(SUM(K122:AO122),)</f>
        <v>0</v>
      </c>
      <c r="H120" s="464">
        <f>IFERROR(SUM(K123:AO123),)</f>
        <v>0</v>
      </c>
      <c r="I120" s="464">
        <f>IFERROR(SUM(K124:AO124),)</f>
        <v>0</v>
      </c>
      <c r="J120" s="254" t="s">
        <v>271</v>
      </c>
      <c r="K120" s="279">
        <v>400</v>
      </c>
      <c r="L120" s="279"/>
      <c r="M120" s="279"/>
      <c r="N120" s="279"/>
      <c r="O120" s="279"/>
      <c r="P120" s="279">
        <v>400</v>
      </c>
      <c r="Q120" s="279">
        <v>400</v>
      </c>
      <c r="R120" s="279">
        <v>400</v>
      </c>
      <c r="S120" s="279">
        <v>400</v>
      </c>
      <c r="T120" s="279">
        <v>400</v>
      </c>
      <c r="U120" s="279">
        <v>200</v>
      </c>
      <c r="V120" s="279">
        <v>400</v>
      </c>
      <c r="W120" s="279">
        <v>400</v>
      </c>
      <c r="X120" s="279">
        <v>400</v>
      </c>
      <c r="Y120" s="279">
        <v>400</v>
      </c>
      <c r="Z120" s="279">
        <v>400</v>
      </c>
      <c r="AA120" s="279">
        <v>400</v>
      </c>
      <c r="AB120" s="279">
        <v>400</v>
      </c>
      <c r="AC120" s="279">
        <v>400</v>
      </c>
      <c r="AD120" s="279">
        <v>400</v>
      </c>
      <c r="AE120" s="279">
        <v>400</v>
      </c>
      <c r="AF120" s="279">
        <v>400</v>
      </c>
      <c r="AG120" s="279">
        <v>400</v>
      </c>
      <c r="AH120" s="279">
        <v>400</v>
      </c>
      <c r="AI120" s="279"/>
      <c r="AJ120" s="279"/>
      <c r="AK120" s="279"/>
      <c r="AL120" s="279"/>
      <c r="AM120" s="279"/>
      <c r="AN120" s="279"/>
      <c r="AO120" s="285"/>
    </row>
    <row r="121" spans="2:41" ht="19.5" customHeight="1" x14ac:dyDescent="0.3">
      <c r="B121" s="468"/>
      <c r="C121" s="468"/>
      <c r="D121" s="468"/>
      <c r="E121" s="465"/>
      <c r="F121" s="465"/>
      <c r="G121" s="465"/>
      <c r="H121" s="465"/>
      <c r="I121" s="465"/>
      <c r="J121" s="254" t="s">
        <v>324</v>
      </c>
      <c r="K121" s="275"/>
      <c r="L121" s="275"/>
      <c r="M121" s="275"/>
      <c r="N121" s="275"/>
      <c r="O121" s="275"/>
      <c r="P121" s="275">
        <v>424</v>
      </c>
      <c r="Q121" s="275">
        <v>786</v>
      </c>
      <c r="R121" s="275"/>
      <c r="S121" s="275"/>
      <c r="T121" s="275"/>
      <c r="U121" s="275">
        <v>120</v>
      </c>
      <c r="V121" s="275">
        <v>312</v>
      </c>
      <c r="W121" s="275"/>
      <c r="X121" s="275"/>
      <c r="Y121" s="275"/>
      <c r="Z121" s="275"/>
      <c r="AA121" s="275"/>
      <c r="AB121" s="275"/>
      <c r="AC121" s="275"/>
      <c r="AD121" s="275"/>
      <c r="AE121" s="275"/>
      <c r="AF121" s="275"/>
      <c r="AG121" s="275"/>
      <c r="AH121" s="275"/>
      <c r="AI121" s="275"/>
      <c r="AJ121" s="275"/>
      <c r="AK121" s="275"/>
      <c r="AL121" s="275"/>
      <c r="AM121" s="275"/>
      <c r="AN121" s="275"/>
      <c r="AO121" s="286"/>
    </row>
    <row r="122" spans="2:41" ht="19.5" customHeight="1" x14ac:dyDescent="0.3">
      <c r="B122" s="468"/>
      <c r="C122" s="468"/>
      <c r="D122" s="468"/>
      <c r="E122" s="465"/>
      <c r="F122" s="465"/>
      <c r="G122" s="465"/>
      <c r="H122" s="465"/>
      <c r="I122" s="465"/>
      <c r="J122" s="254" t="s">
        <v>326</v>
      </c>
      <c r="K122" s="275"/>
      <c r="L122" s="275"/>
      <c r="M122" s="275"/>
      <c r="N122" s="275"/>
      <c r="O122" s="275"/>
      <c r="P122" s="275"/>
      <c r="Q122" s="275"/>
      <c r="R122" s="275"/>
      <c r="S122" s="275"/>
      <c r="T122" s="275"/>
      <c r="U122" s="275"/>
      <c r="V122" s="275"/>
      <c r="W122" s="275"/>
      <c r="X122" s="275"/>
      <c r="Y122" s="275"/>
      <c r="Z122" s="275"/>
      <c r="AA122" s="275"/>
      <c r="AB122" s="275"/>
      <c r="AC122" s="275"/>
      <c r="AD122" s="275"/>
      <c r="AE122" s="275"/>
      <c r="AF122" s="275"/>
      <c r="AG122" s="275"/>
      <c r="AH122" s="275"/>
      <c r="AI122" s="275"/>
      <c r="AJ122" s="275"/>
      <c r="AK122" s="275"/>
      <c r="AL122" s="275"/>
      <c r="AM122" s="275"/>
      <c r="AN122" s="275"/>
      <c r="AO122" s="286"/>
    </row>
    <row r="123" spans="2:41" ht="19.5" customHeight="1" x14ac:dyDescent="0.3">
      <c r="B123" s="468"/>
      <c r="C123" s="468"/>
      <c r="D123" s="468"/>
      <c r="E123" s="465"/>
      <c r="F123" s="465"/>
      <c r="G123" s="465"/>
      <c r="H123" s="465"/>
      <c r="I123" s="465"/>
      <c r="J123" s="254" t="s">
        <v>116</v>
      </c>
      <c r="K123" s="275"/>
      <c r="L123" s="276"/>
      <c r="M123" s="276"/>
      <c r="N123" s="276"/>
      <c r="O123" s="276"/>
      <c r="P123" s="276"/>
      <c r="Q123" s="267"/>
      <c r="R123" s="267"/>
      <c r="S123" s="267"/>
      <c r="T123" s="267"/>
      <c r="U123" s="267"/>
      <c r="V123" s="267"/>
      <c r="W123" s="267"/>
      <c r="X123" s="267"/>
      <c r="Y123" s="267"/>
      <c r="Z123" s="267"/>
      <c r="AA123" s="267"/>
      <c r="AB123" s="267"/>
      <c r="AC123" s="267"/>
      <c r="AD123" s="267"/>
      <c r="AE123" s="267"/>
      <c r="AF123" s="267"/>
      <c r="AG123" s="267"/>
      <c r="AH123" s="267"/>
      <c r="AI123" s="267"/>
      <c r="AJ123" s="267"/>
      <c r="AK123" s="267"/>
      <c r="AL123" s="267"/>
      <c r="AM123" s="267"/>
      <c r="AN123" s="267"/>
      <c r="AO123" s="268"/>
    </row>
    <row r="124" spans="2:41" ht="19.5" customHeight="1" x14ac:dyDescent="0.3">
      <c r="B124" s="469"/>
      <c r="C124" s="469"/>
      <c r="D124" s="469"/>
      <c r="E124" s="466"/>
      <c r="F124" s="466"/>
      <c r="G124" s="466"/>
      <c r="H124" s="466"/>
      <c r="I124" s="466"/>
      <c r="J124" s="254" t="s">
        <v>273</v>
      </c>
      <c r="K124" s="275"/>
      <c r="L124" s="276"/>
      <c r="M124" s="276"/>
      <c r="N124" s="276"/>
      <c r="O124" s="276"/>
      <c r="P124" s="276"/>
      <c r="Q124" s="267"/>
      <c r="R124" s="267"/>
      <c r="S124" s="267"/>
      <c r="T124" s="267"/>
      <c r="U124" s="267"/>
      <c r="V124" s="267"/>
      <c r="W124" s="267"/>
      <c r="X124" s="267"/>
      <c r="Y124" s="267"/>
      <c r="Z124" s="267"/>
      <c r="AA124" s="267"/>
      <c r="AB124" s="267"/>
      <c r="AC124" s="267"/>
      <c r="AD124" s="267"/>
      <c r="AE124" s="267"/>
      <c r="AF124" s="267"/>
      <c r="AG124" s="267"/>
      <c r="AH124" s="267"/>
      <c r="AI124" s="267"/>
      <c r="AJ124" s="267"/>
      <c r="AK124" s="267"/>
      <c r="AL124" s="267"/>
      <c r="AM124" s="267"/>
      <c r="AN124" s="267"/>
      <c r="AO124" s="268"/>
    </row>
    <row r="125" spans="2:41" ht="19.5" customHeight="1" x14ac:dyDescent="0.3">
      <c r="B125" s="467" t="s">
        <v>50</v>
      </c>
      <c r="C125" s="467" t="s">
        <v>185</v>
      </c>
      <c r="D125" s="467" t="s">
        <v>195</v>
      </c>
      <c r="E125" s="464">
        <f>IFERROR(SUM(K125:AO125),)</f>
        <v>7900</v>
      </c>
      <c r="F125" s="464">
        <f>IFERROR(SUM(K126:AO126),)</f>
        <v>4789</v>
      </c>
      <c r="G125" s="464">
        <f>IFERROR(SUM(K127:AO127),)</f>
        <v>0</v>
      </c>
      <c r="H125" s="464">
        <f>IFERROR(SUM(K128:AO128),)</f>
        <v>0</v>
      </c>
      <c r="I125" s="464">
        <f>IFERROR(SUM(K129:AO129),)</f>
        <v>0</v>
      </c>
      <c r="J125" s="254" t="s">
        <v>271</v>
      </c>
      <c r="K125" s="279">
        <v>400</v>
      </c>
      <c r="L125" s="279"/>
      <c r="M125" s="279"/>
      <c r="N125" s="279"/>
      <c r="O125" s="279"/>
      <c r="P125" s="279">
        <v>400</v>
      </c>
      <c r="Q125" s="279">
        <v>400</v>
      </c>
      <c r="R125" s="279">
        <v>400</v>
      </c>
      <c r="S125" s="279">
        <v>400</v>
      </c>
      <c r="T125" s="279">
        <v>400</v>
      </c>
      <c r="U125" s="279">
        <v>300</v>
      </c>
      <c r="V125" s="279">
        <v>400</v>
      </c>
      <c r="W125" s="279">
        <v>400</v>
      </c>
      <c r="X125" s="279">
        <v>400</v>
      </c>
      <c r="Y125" s="279">
        <v>400</v>
      </c>
      <c r="Z125" s="279">
        <v>400</v>
      </c>
      <c r="AA125" s="279">
        <v>400</v>
      </c>
      <c r="AB125" s="279">
        <v>400</v>
      </c>
      <c r="AC125" s="279">
        <v>400</v>
      </c>
      <c r="AD125" s="279">
        <v>400</v>
      </c>
      <c r="AE125" s="279">
        <v>400</v>
      </c>
      <c r="AF125" s="279">
        <v>400</v>
      </c>
      <c r="AG125" s="279">
        <v>400</v>
      </c>
      <c r="AH125" s="279">
        <v>400</v>
      </c>
      <c r="AI125" s="279"/>
      <c r="AJ125" s="279"/>
      <c r="AK125" s="279"/>
      <c r="AL125" s="279"/>
      <c r="AM125" s="279"/>
      <c r="AN125" s="279"/>
      <c r="AO125" s="285"/>
    </row>
    <row r="126" spans="2:41" ht="19.5" customHeight="1" x14ac:dyDescent="0.3">
      <c r="B126" s="468"/>
      <c r="C126" s="468"/>
      <c r="D126" s="468"/>
      <c r="E126" s="465"/>
      <c r="F126" s="465"/>
      <c r="G126" s="465"/>
      <c r="H126" s="465"/>
      <c r="I126" s="465"/>
      <c r="J126" s="254" t="s">
        <v>324</v>
      </c>
      <c r="K126" s="275"/>
      <c r="L126" s="275"/>
      <c r="M126" s="275"/>
      <c r="N126" s="275"/>
      <c r="O126" s="275"/>
      <c r="P126" s="275"/>
      <c r="Q126" s="275">
        <v>240</v>
      </c>
      <c r="R126" s="275">
        <v>656</v>
      </c>
      <c r="S126" s="275"/>
      <c r="T126" s="275"/>
      <c r="U126" s="275">
        <f>424+437</f>
        <v>861</v>
      </c>
      <c r="V126" s="275">
        <f>1113+819</f>
        <v>1932</v>
      </c>
      <c r="W126" s="275">
        <v>1100</v>
      </c>
      <c r="X126" s="275"/>
      <c r="Y126" s="275"/>
      <c r="Z126" s="275"/>
      <c r="AA126" s="275"/>
      <c r="AB126" s="275"/>
      <c r="AC126" s="275"/>
      <c r="AD126" s="275"/>
      <c r="AE126" s="275"/>
      <c r="AF126" s="275"/>
      <c r="AG126" s="275"/>
      <c r="AH126" s="275"/>
      <c r="AI126" s="275"/>
      <c r="AJ126" s="275"/>
      <c r="AK126" s="275"/>
      <c r="AL126" s="275"/>
      <c r="AM126" s="275"/>
      <c r="AN126" s="275"/>
      <c r="AO126" s="286"/>
    </row>
    <row r="127" spans="2:41" ht="19.5" customHeight="1" x14ac:dyDescent="0.3">
      <c r="B127" s="468"/>
      <c r="C127" s="468"/>
      <c r="D127" s="468"/>
      <c r="E127" s="465"/>
      <c r="F127" s="465"/>
      <c r="G127" s="465"/>
      <c r="H127" s="465"/>
      <c r="I127" s="465"/>
      <c r="J127" s="254" t="s">
        <v>326</v>
      </c>
      <c r="K127" s="275"/>
      <c r="L127" s="275"/>
      <c r="M127" s="275"/>
      <c r="N127" s="275"/>
      <c r="O127" s="275"/>
      <c r="P127" s="275"/>
      <c r="Q127" s="275"/>
      <c r="R127" s="275"/>
      <c r="S127" s="275"/>
      <c r="T127" s="275"/>
      <c r="U127" s="275"/>
      <c r="V127" s="275"/>
      <c r="W127" s="275"/>
      <c r="X127" s="275"/>
      <c r="Y127" s="275"/>
      <c r="Z127" s="275"/>
      <c r="AA127" s="275"/>
      <c r="AB127" s="275"/>
      <c r="AC127" s="275"/>
      <c r="AD127" s="275"/>
      <c r="AE127" s="275"/>
      <c r="AF127" s="275"/>
      <c r="AG127" s="275"/>
      <c r="AH127" s="275"/>
      <c r="AI127" s="275"/>
      <c r="AJ127" s="275"/>
      <c r="AK127" s="275"/>
      <c r="AL127" s="275"/>
      <c r="AM127" s="275"/>
      <c r="AN127" s="275"/>
      <c r="AO127" s="286"/>
    </row>
    <row r="128" spans="2:41" ht="19.5" customHeight="1" x14ac:dyDescent="0.3">
      <c r="B128" s="468"/>
      <c r="C128" s="468"/>
      <c r="D128" s="468"/>
      <c r="E128" s="465"/>
      <c r="F128" s="465"/>
      <c r="G128" s="465"/>
      <c r="H128" s="465"/>
      <c r="I128" s="465"/>
      <c r="J128" s="254" t="s">
        <v>116</v>
      </c>
      <c r="K128" s="275"/>
      <c r="L128" s="276"/>
      <c r="M128" s="276"/>
      <c r="N128" s="276"/>
      <c r="O128" s="276"/>
      <c r="P128" s="276"/>
      <c r="Q128" s="267"/>
      <c r="R128" s="267"/>
      <c r="S128" s="267"/>
      <c r="T128" s="267"/>
      <c r="U128" s="267"/>
      <c r="V128" s="267"/>
      <c r="W128" s="267"/>
      <c r="X128" s="267"/>
      <c r="Y128" s="267"/>
      <c r="Z128" s="267"/>
      <c r="AA128" s="267"/>
      <c r="AB128" s="267"/>
      <c r="AC128" s="267"/>
      <c r="AD128" s="267"/>
      <c r="AE128" s="267"/>
      <c r="AF128" s="267"/>
      <c r="AG128" s="267"/>
      <c r="AH128" s="267"/>
      <c r="AI128" s="267"/>
      <c r="AJ128" s="267"/>
      <c r="AK128" s="267"/>
      <c r="AL128" s="267"/>
      <c r="AM128" s="267"/>
      <c r="AN128" s="267"/>
      <c r="AO128" s="268"/>
    </row>
    <row r="129" spans="2:41" ht="19.5" customHeight="1" x14ac:dyDescent="0.3">
      <c r="B129" s="469"/>
      <c r="C129" s="469"/>
      <c r="D129" s="469"/>
      <c r="E129" s="466"/>
      <c r="F129" s="466"/>
      <c r="G129" s="466"/>
      <c r="H129" s="466"/>
      <c r="I129" s="466"/>
      <c r="J129" s="254" t="s">
        <v>273</v>
      </c>
      <c r="K129" s="275"/>
      <c r="L129" s="276"/>
      <c r="M129" s="276"/>
      <c r="N129" s="276"/>
      <c r="O129" s="276"/>
      <c r="P129" s="276"/>
      <c r="Q129" s="267"/>
      <c r="R129" s="267"/>
      <c r="S129" s="267"/>
      <c r="T129" s="267"/>
      <c r="U129" s="267"/>
      <c r="V129" s="267"/>
      <c r="W129" s="267"/>
      <c r="X129" s="267"/>
      <c r="Y129" s="267"/>
      <c r="Z129" s="267"/>
      <c r="AA129" s="267"/>
      <c r="AB129" s="267"/>
      <c r="AC129" s="267"/>
      <c r="AD129" s="267"/>
      <c r="AE129" s="267"/>
      <c r="AF129" s="267"/>
      <c r="AG129" s="267"/>
      <c r="AH129" s="267"/>
      <c r="AI129" s="267"/>
      <c r="AJ129" s="267"/>
      <c r="AK129" s="267"/>
      <c r="AL129" s="267"/>
      <c r="AM129" s="267"/>
      <c r="AN129" s="267"/>
      <c r="AO129" s="268"/>
    </row>
    <row r="130" spans="2:41" ht="19.5" customHeight="1" x14ac:dyDescent="0.3">
      <c r="B130" s="467" t="s">
        <v>49</v>
      </c>
      <c r="C130" s="467" t="s">
        <v>185</v>
      </c>
      <c r="D130" s="467" t="s">
        <v>194</v>
      </c>
      <c r="E130" s="464">
        <f>IFERROR(SUM(K130:AO130),)</f>
        <v>0</v>
      </c>
      <c r="F130" s="464">
        <f>IFERROR(SUM(K131:AO131),)</f>
        <v>3671</v>
      </c>
      <c r="G130" s="464">
        <f>IFERROR(SUM(K132:AO132),)</f>
        <v>0</v>
      </c>
      <c r="H130" s="464">
        <f>IFERROR(SUM(K133:AO133),)</f>
        <v>0</v>
      </c>
      <c r="I130" s="464">
        <f>IFERROR(SUM(K134:AO134),)</f>
        <v>0</v>
      </c>
      <c r="J130" s="254" t="s">
        <v>271</v>
      </c>
      <c r="K130" s="279"/>
      <c r="L130" s="279"/>
      <c r="M130" s="279"/>
      <c r="N130" s="279"/>
      <c r="O130" s="279"/>
      <c r="P130" s="279"/>
      <c r="Q130" s="279"/>
      <c r="R130" s="279"/>
      <c r="S130" s="279"/>
      <c r="T130" s="279"/>
      <c r="U130" s="279"/>
      <c r="V130" s="279"/>
      <c r="W130" s="279"/>
      <c r="X130" s="279"/>
      <c r="Y130" s="279"/>
      <c r="Z130" s="279"/>
      <c r="AA130" s="279"/>
      <c r="AB130" s="279"/>
      <c r="AC130" s="279"/>
      <c r="AD130" s="279"/>
      <c r="AE130" s="279"/>
      <c r="AF130" s="279"/>
      <c r="AG130" s="279"/>
      <c r="AH130" s="279"/>
      <c r="AI130" s="279"/>
      <c r="AJ130" s="279"/>
      <c r="AK130" s="279"/>
      <c r="AL130" s="279"/>
      <c r="AM130" s="279"/>
      <c r="AN130" s="279"/>
      <c r="AO130" s="285"/>
    </row>
    <row r="131" spans="2:41" ht="19.5" customHeight="1" x14ac:dyDescent="0.3">
      <c r="B131" s="468"/>
      <c r="C131" s="468"/>
      <c r="D131" s="468"/>
      <c r="E131" s="465"/>
      <c r="F131" s="465"/>
      <c r="G131" s="465"/>
      <c r="H131" s="465"/>
      <c r="I131" s="465"/>
      <c r="J131" s="254" t="s">
        <v>324</v>
      </c>
      <c r="K131" s="275"/>
      <c r="L131" s="275"/>
      <c r="M131" s="275"/>
      <c r="N131" s="275">
        <v>354</v>
      </c>
      <c r="O131" s="275"/>
      <c r="P131" s="275">
        <f>388+86</f>
        <v>474</v>
      </c>
      <c r="Q131" s="275">
        <f>589+571</f>
        <v>1160</v>
      </c>
      <c r="R131" s="275">
        <f>48+164</f>
        <v>212</v>
      </c>
      <c r="S131" s="275"/>
      <c r="T131" s="275"/>
      <c r="U131" s="275">
        <f>188+422+168+260</f>
        <v>1038</v>
      </c>
      <c r="V131" s="275">
        <v>433</v>
      </c>
      <c r="W131" s="275"/>
      <c r="X131" s="275"/>
      <c r="Y131" s="275"/>
      <c r="Z131" s="275"/>
      <c r="AA131" s="275"/>
      <c r="AB131" s="275"/>
      <c r="AC131" s="275"/>
      <c r="AD131" s="275"/>
      <c r="AE131" s="275"/>
      <c r="AF131" s="275"/>
      <c r="AG131" s="275"/>
      <c r="AH131" s="275"/>
      <c r="AI131" s="275"/>
      <c r="AJ131" s="275"/>
      <c r="AK131" s="275"/>
      <c r="AL131" s="275"/>
      <c r="AM131" s="275"/>
      <c r="AN131" s="275"/>
      <c r="AO131" s="286"/>
    </row>
    <row r="132" spans="2:41" ht="19.5" customHeight="1" x14ac:dyDescent="0.3">
      <c r="B132" s="468"/>
      <c r="C132" s="468"/>
      <c r="D132" s="468"/>
      <c r="E132" s="465"/>
      <c r="F132" s="465"/>
      <c r="G132" s="465"/>
      <c r="H132" s="465"/>
      <c r="I132" s="465"/>
      <c r="J132" s="254" t="s">
        <v>326</v>
      </c>
      <c r="K132" s="275"/>
      <c r="L132" s="275"/>
      <c r="M132" s="275"/>
      <c r="N132" s="275"/>
      <c r="O132" s="275"/>
      <c r="P132" s="275"/>
      <c r="Q132" s="275"/>
      <c r="R132" s="275"/>
      <c r="S132" s="275"/>
      <c r="T132" s="275"/>
      <c r="U132" s="275"/>
      <c r="V132" s="275"/>
      <c r="W132" s="275"/>
      <c r="X132" s="275"/>
      <c r="Y132" s="275"/>
      <c r="Z132" s="275"/>
      <c r="AA132" s="275"/>
      <c r="AB132" s="275"/>
      <c r="AC132" s="275"/>
      <c r="AD132" s="275"/>
      <c r="AE132" s="275"/>
      <c r="AF132" s="275"/>
      <c r="AG132" s="275"/>
      <c r="AH132" s="275"/>
      <c r="AI132" s="275"/>
      <c r="AJ132" s="275"/>
      <c r="AK132" s="275"/>
      <c r="AL132" s="275"/>
      <c r="AM132" s="275"/>
      <c r="AN132" s="275"/>
      <c r="AO132" s="286"/>
    </row>
    <row r="133" spans="2:41" ht="19.5" customHeight="1" x14ac:dyDescent="0.3">
      <c r="B133" s="468"/>
      <c r="C133" s="468"/>
      <c r="D133" s="468"/>
      <c r="E133" s="465"/>
      <c r="F133" s="465"/>
      <c r="G133" s="465"/>
      <c r="H133" s="465"/>
      <c r="I133" s="465"/>
      <c r="J133" s="254" t="s">
        <v>116</v>
      </c>
      <c r="K133" s="275"/>
      <c r="L133" s="276"/>
      <c r="M133" s="276"/>
      <c r="N133" s="276"/>
      <c r="O133" s="276"/>
      <c r="P133" s="276"/>
      <c r="Q133" s="267"/>
      <c r="R133" s="267"/>
      <c r="S133" s="267"/>
      <c r="T133" s="267"/>
      <c r="U133" s="267"/>
      <c r="V133" s="267"/>
      <c r="W133" s="267"/>
      <c r="X133" s="267"/>
      <c r="Y133" s="267"/>
      <c r="Z133" s="267"/>
      <c r="AA133" s="267"/>
      <c r="AB133" s="267"/>
      <c r="AC133" s="267"/>
      <c r="AD133" s="267"/>
      <c r="AE133" s="267"/>
      <c r="AF133" s="267"/>
      <c r="AG133" s="267"/>
      <c r="AH133" s="267"/>
      <c r="AI133" s="267"/>
      <c r="AJ133" s="267"/>
      <c r="AK133" s="267"/>
      <c r="AL133" s="267"/>
      <c r="AM133" s="267"/>
      <c r="AN133" s="267"/>
      <c r="AO133" s="268"/>
    </row>
    <row r="134" spans="2:41" ht="19.5" customHeight="1" x14ac:dyDescent="0.3">
      <c r="B134" s="469"/>
      <c r="C134" s="469"/>
      <c r="D134" s="469"/>
      <c r="E134" s="466"/>
      <c r="F134" s="466"/>
      <c r="G134" s="466"/>
      <c r="H134" s="466"/>
      <c r="I134" s="466"/>
      <c r="J134" s="254" t="s">
        <v>273</v>
      </c>
      <c r="K134" s="275"/>
      <c r="L134" s="276"/>
      <c r="M134" s="276"/>
      <c r="N134" s="276"/>
      <c r="O134" s="276"/>
      <c r="P134" s="276"/>
      <c r="Q134" s="267"/>
      <c r="R134" s="267"/>
      <c r="S134" s="267"/>
      <c r="T134" s="267"/>
      <c r="U134" s="267"/>
      <c r="V134" s="267"/>
      <c r="W134" s="267"/>
      <c r="X134" s="267"/>
      <c r="Y134" s="267"/>
      <c r="Z134" s="267"/>
      <c r="AA134" s="267"/>
      <c r="AB134" s="267"/>
      <c r="AC134" s="267"/>
      <c r="AD134" s="267"/>
      <c r="AE134" s="267"/>
      <c r="AF134" s="267"/>
      <c r="AG134" s="267"/>
      <c r="AH134" s="267"/>
      <c r="AI134" s="267"/>
      <c r="AJ134" s="267"/>
      <c r="AK134" s="267"/>
      <c r="AL134" s="267"/>
      <c r="AM134" s="267"/>
      <c r="AN134" s="267"/>
      <c r="AO134" s="268"/>
    </row>
    <row r="135" spans="2:41" ht="19.5" customHeight="1" x14ac:dyDescent="0.3">
      <c r="B135" s="467" t="s">
        <v>54</v>
      </c>
      <c r="C135" s="467" t="s">
        <v>185</v>
      </c>
      <c r="D135" s="467" t="s">
        <v>194</v>
      </c>
      <c r="E135" s="464">
        <f>IFERROR(SUM(K135:AO135),)</f>
        <v>0</v>
      </c>
      <c r="F135" s="464">
        <f>IFERROR(SUM(K136:AO136),)</f>
        <v>0</v>
      </c>
      <c r="G135" s="464">
        <f>IFERROR(SUM(K137:AO137),)</f>
        <v>0</v>
      </c>
      <c r="H135" s="464">
        <f>IFERROR(SUM(K138:AO138),)</f>
        <v>0</v>
      </c>
      <c r="I135" s="464">
        <f>IFERROR(SUM(K139:AO139),)</f>
        <v>0</v>
      </c>
      <c r="J135" s="254" t="s">
        <v>271</v>
      </c>
      <c r="K135" s="279"/>
      <c r="L135" s="279"/>
      <c r="M135" s="279"/>
      <c r="N135" s="279"/>
      <c r="O135" s="279"/>
      <c r="P135" s="279"/>
      <c r="Q135" s="279"/>
      <c r="R135" s="279"/>
      <c r="S135" s="279"/>
      <c r="T135" s="279"/>
      <c r="U135" s="279"/>
      <c r="V135" s="279"/>
      <c r="W135" s="279"/>
      <c r="X135" s="279"/>
      <c r="Y135" s="279"/>
      <c r="Z135" s="279"/>
      <c r="AA135" s="279"/>
      <c r="AB135" s="279"/>
      <c r="AC135" s="279"/>
      <c r="AD135" s="279"/>
      <c r="AE135" s="279"/>
      <c r="AF135" s="279"/>
      <c r="AG135" s="279"/>
      <c r="AH135" s="279"/>
      <c r="AI135" s="279"/>
      <c r="AJ135" s="279"/>
      <c r="AK135" s="279"/>
      <c r="AL135" s="279"/>
      <c r="AM135" s="279"/>
      <c r="AN135" s="279"/>
      <c r="AO135" s="285"/>
    </row>
    <row r="136" spans="2:41" ht="19.5" customHeight="1" x14ac:dyDescent="0.3">
      <c r="B136" s="468"/>
      <c r="C136" s="468"/>
      <c r="D136" s="468"/>
      <c r="E136" s="465"/>
      <c r="F136" s="465"/>
      <c r="G136" s="465"/>
      <c r="H136" s="465"/>
      <c r="I136" s="465"/>
      <c r="J136" s="254" t="s">
        <v>324</v>
      </c>
      <c r="K136" s="275"/>
      <c r="L136" s="275"/>
      <c r="M136" s="275"/>
      <c r="N136" s="275"/>
      <c r="O136" s="275"/>
      <c r="P136" s="275"/>
      <c r="Q136" s="275"/>
      <c r="R136" s="275"/>
      <c r="S136" s="275"/>
      <c r="T136" s="275"/>
      <c r="U136" s="275"/>
      <c r="V136" s="275"/>
      <c r="W136" s="275"/>
      <c r="X136" s="275"/>
      <c r="Y136" s="275"/>
      <c r="Z136" s="275"/>
      <c r="AA136" s="275"/>
      <c r="AB136" s="275"/>
      <c r="AC136" s="275"/>
      <c r="AD136" s="275"/>
      <c r="AE136" s="275"/>
      <c r="AF136" s="275"/>
      <c r="AG136" s="275"/>
      <c r="AH136" s="275"/>
      <c r="AI136" s="275"/>
      <c r="AJ136" s="275"/>
      <c r="AK136" s="275"/>
      <c r="AL136" s="275"/>
      <c r="AM136" s="275"/>
      <c r="AN136" s="275"/>
      <c r="AO136" s="286"/>
    </row>
    <row r="137" spans="2:41" ht="19.5" customHeight="1" x14ac:dyDescent="0.3">
      <c r="B137" s="468"/>
      <c r="C137" s="468"/>
      <c r="D137" s="468"/>
      <c r="E137" s="465"/>
      <c r="F137" s="465"/>
      <c r="G137" s="465"/>
      <c r="H137" s="465"/>
      <c r="I137" s="465"/>
      <c r="J137" s="254" t="s">
        <v>326</v>
      </c>
      <c r="K137" s="275"/>
      <c r="L137" s="275"/>
      <c r="M137" s="275"/>
      <c r="N137" s="275"/>
      <c r="O137" s="275"/>
      <c r="P137" s="275"/>
      <c r="Q137" s="275"/>
      <c r="R137" s="275"/>
      <c r="S137" s="275"/>
      <c r="T137" s="275"/>
      <c r="U137" s="275"/>
      <c r="V137" s="275"/>
      <c r="W137" s="275"/>
      <c r="X137" s="275"/>
      <c r="Y137" s="275"/>
      <c r="Z137" s="275"/>
      <c r="AA137" s="275"/>
      <c r="AB137" s="275"/>
      <c r="AC137" s="275"/>
      <c r="AD137" s="275"/>
      <c r="AE137" s="275"/>
      <c r="AF137" s="275"/>
      <c r="AG137" s="275"/>
      <c r="AH137" s="275"/>
      <c r="AI137" s="275"/>
      <c r="AJ137" s="275"/>
      <c r="AK137" s="275"/>
      <c r="AL137" s="275"/>
      <c r="AM137" s="275"/>
      <c r="AN137" s="275"/>
      <c r="AO137" s="286"/>
    </row>
    <row r="138" spans="2:41" ht="19.5" customHeight="1" x14ac:dyDescent="0.3">
      <c r="B138" s="468"/>
      <c r="C138" s="468"/>
      <c r="D138" s="468"/>
      <c r="E138" s="465"/>
      <c r="F138" s="465"/>
      <c r="G138" s="465"/>
      <c r="H138" s="465"/>
      <c r="I138" s="465"/>
      <c r="J138" s="254" t="s">
        <v>116</v>
      </c>
      <c r="K138" s="275"/>
      <c r="L138" s="276"/>
      <c r="M138" s="276"/>
      <c r="N138" s="276"/>
      <c r="O138" s="276"/>
      <c r="P138" s="276"/>
      <c r="Q138" s="267"/>
      <c r="R138" s="267"/>
      <c r="S138" s="267"/>
      <c r="T138" s="267"/>
      <c r="U138" s="267"/>
      <c r="V138" s="267"/>
      <c r="W138" s="267"/>
      <c r="X138" s="267"/>
      <c r="Y138" s="267"/>
      <c r="Z138" s="267"/>
      <c r="AA138" s="267"/>
      <c r="AB138" s="267"/>
      <c r="AC138" s="267"/>
      <c r="AD138" s="267"/>
      <c r="AE138" s="267"/>
      <c r="AF138" s="267"/>
      <c r="AG138" s="267"/>
      <c r="AH138" s="267"/>
      <c r="AI138" s="267"/>
      <c r="AJ138" s="267"/>
      <c r="AK138" s="267"/>
      <c r="AL138" s="267"/>
      <c r="AM138" s="267"/>
      <c r="AN138" s="267"/>
      <c r="AO138" s="268"/>
    </row>
    <row r="139" spans="2:41" ht="19.5" customHeight="1" x14ac:dyDescent="0.3">
      <c r="B139" s="469"/>
      <c r="C139" s="469"/>
      <c r="D139" s="469"/>
      <c r="E139" s="466"/>
      <c r="F139" s="466"/>
      <c r="G139" s="466"/>
      <c r="H139" s="466"/>
      <c r="I139" s="466"/>
      <c r="J139" s="254" t="s">
        <v>273</v>
      </c>
      <c r="K139" s="275"/>
      <c r="L139" s="276"/>
      <c r="M139" s="276"/>
      <c r="N139" s="276"/>
      <c r="O139" s="276"/>
      <c r="P139" s="276"/>
      <c r="Q139" s="267"/>
      <c r="R139" s="267"/>
      <c r="S139" s="267"/>
      <c r="T139" s="267"/>
      <c r="U139" s="267"/>
      <c r="V139" s="267"/>
      <c r="W139" s="267"/>
      <c r="X139" s="267"/>
      <c r="Y139" s="267"/>
      <c r="Z139" s="267"/>
      <c r="AA139" s="267"/>
      <c r="AB139" s="267"/>
      <c r="AC139" s="267"/>
      <c r="AD139" s="267"/>
      <c r="AE139" s="267"/>
      <c r="AF139" s="267"/>
      <c r="AG139" s="267"/>
      <c r="AH139" s="267"/>
      <c r="AI139" s="267"/>
      <c r="AJ139" s="267"/>
      <c r="AK139" s="267"/>
      <c r="AL139" s="267"/>
      <c r="AM139" s="267"/>
      <c r="AN139" s="267"/>
      <c r="AO139" s="268"/>
    </row>
    <row r="140" spans="2:41" ht="19.5" customHeight="1" x14ac:dyDescent="0.3">
      <c r="B140" s="467" t="s">
        <v>55</v>
      </c>
      <c r="C140" s="467" t="s">
        <v>185</v>
      </c>
      <c r="D140" s="467" t="s">
        <v>195</v>
      </c>
      <c r="E140" s="464">
        <f>IFERROR(SUM(K140:AO140),)</f>
        <v>0</v>
      </c>
      <c r="F140" s="464">
        <f>IFERROR(SUM(K141:AO141),)</f>
        <v>0</v>
      </c>
      <c r="G140" s="464">
        <f>IFERROR(SUM(K142:AO142),)</f>
        <v>0</v>
      </c>
      <c r="H140" s="464">
        <f>IFERROR(SUM(K143:AO143),)</f>
        <v>0</v>
      </c>
      <c r="I140" s="464">
        <f>IFERROR(SUM(K144:AO144),)</f>
        <v>0</v>
      </c>
      <c r="J140" s="254" t="s">
        <v>271</v>
      </c>
      <c r="K140" s="279"/>
      <c r="L140" s="279"/>
      <c r="M140" s="279"/>
      <c r="N140" s="279"/>
      <c r="O140" s="279"/>
      <c r="P140" s="279"/>
      <c r="Q140" s="279"/>
      <c r="R140" s="279"/>
      <c r="S140" s="279"/>
      <c r="T140" s="279"/>
      <c r="U140" s="279"/>
      <c r="V140" s="279"/>
      <c r="W140" s="279"/>
      <c r="X140" s="279"/>
      <c r="Y140" s="279"/>
      <c r="Z140" s="279"/>
      <c r="AA140" s="279"/>
      <c r="AB140" s="279"/>
      <c r="AC140" s="279"/>
      <c r="AD140" s="279"/>
      <c r="AE140" s="279"/>
      <c r="AF140" s="279"/>
      <c r="AG140" s="279"/>
      <c r="AH140" s="279"/>
      <c r="AI140" s="279"/>
      <c r="AJ140" s="279"/>
      <c r="AK140" s="279"/>
      <c r="AL140" s="279"/>
      <c r="AM140" s="279"/>
      <c r="AN140" s="279"/>
      <c r="AO140" s="285"/>
    </row>
    <row r="141" spans="2:41" ht="19.5" customHeight="1" x14ac:dyDescent="0.3">
      <c r="B141" s="468"/>
      <c r="C141" s="468"/>
      <c r="D141" s="468"/>
      <c r="E141" s="465"/>
      <c r="F141" s="465"/>
      <c r="G141" s="465"/>
      <c r="H141" s="465"/>
      <c r="I141" s="465"/>
      <c r="J141" s="254" t="s">
        <v>324</v>
      </c>
      <c r="K141" s="275"/>
      <c r="L141" s="275"/>
      <c r="M141" s="275"/>
      <c r="N141" s="275"/>
      <c r="O141" s="275"/>
      <c r="P141" s="275"/>
      <c r="Q141" s="275"/>
      <c r="R141" s="275"/>
      <c r="S141" s="275"/>
      <c r="T141" s="275"/>
      <c r="U141" s="275"/>
      <c r="V141" s="275"/>
      <c r="W141" s="275"/>
      <c r="X141" s="275"/>
      <c r="Y141" s="275"/>
      <c r="Z141" s="275"/>
      <c r="AA141" s="275"/>
      <c r="AB141" s="275"/>
      <c r="AC141" s="275"/>
      <c r="AD141" s="275"/>
      <c r="AE141" s="275"/>
      <c r="AF141" s="275"/>
      <c r="AG141" s="275"/>
      <c r="AH141" s="275"/>
      <c r="AI141" s="275"/>
      <c r="AJ141" s="275"/>
      <c r="AK141" s="275"/>
      <c r="AL141" s="275"/>
      <c r="AM141" s="275"/>
      <c r="AN141" s="275"/>
      <c r="AO141" s="286"/>
    </row>
    <row r="142" spans="2:41" ht="19.5" customHeight="1" x14ac:dyDescent="0.3">
      <c r="B142" s="468"/>
      <c r="C142" s="468"/>
      <c r="D142" s="468"/>
      <c r="E142" s="465"/>
      <c r="F142" s="465"/>
      <c r="G142" s="465"/>
      <c r="H142" s="465"/>
      <c r="I142" s="465"/>
      <c r="J142" s="254" t="s">
        <v>326</v>
      </c>
      <c r="K142" s="275"/>
      <c r="L142" s="275"/>
      <c r="M142" s="275"/>
      <c r="N142" s="275"/>
      <c r="O142" s="275"/>
      <c r="P142" s="275"/>
      <c r="Q142" s="275"/>
      <c r="R142" s="275"/>
      <c r="S142" s="275"/>
      <c r="T142" s="275"/>
      <c r="U142" s="275"/>
      <c r="V142" s="275"/>
      <c r="W142" s="275"/>
      <c r="X142" s="275"/>
      <c r="Y142" s="275"/>
      <c r="Z142" s="275"/>
      <c r="AA142" s="275"/>
      <c r="AB142" s="275"/>
      <c r="AC142" s="275"/>
      <c r="AD142" s="275"/>
      <c r="AE142" s="275"/>
      <c r="AF142" s="275"/>
      <c r="AG142" s="275"/>
      <c r="AH142" s="275"/>
      <c r="AI142" s="275"/>
      <c r="AJ142" s="275"/>
      <c r="AK142" s="275"/>
      <c r="AL142" s="275"/>
      <c r="AM142" s="275"/>
      <c r="AN142" s="275"/>
      <c r="AO142" s="286"/>
    </row>
    <row r="143" spans="2:41" ht="19.5" customHeight="1" x14ac:dyDescent="0.3">
      <c r="B143" s="468"/>
      <c r="C143" s="468"/>
      <c r="D143" s="468"/>
      <c r="E143" s="465"/>
      <c r="F143" s="465"/>
      <c r="G143" s="465"/>
      <c r="H143" s="465"/>
      <c r="I143" s="465"/>
      <c r="J143" s="254" t="s">
        <v>116</v>
      </c>
      <c r="K143" s="275"/>
      <c r="L143" s="276"/>
      <c r="M143" s="276"/>
      <c r="N143" s="276"/>
      <c r="O143" s="276"/>
      <c r="P143" s="276"/>
      <c r="Q143" s="267"/>
      <c r="R143" s="267"/>
      <c r="S143" s="267"/>
      <c r="T143" s="267"/>
      <c r="U143" s="267"/>
      <c r="V143" s="267"/>
      <c r="W143" s="267"/>
      <c r="X143" s="267"/>
      <c r="Y143" s="267"/>
      <c r="Z143" s="267"/>
      <c r="AA143" s="267"/>
      <c r="AB143" s="267"/>
      <c r="AC143" s="267"/>
      <c r="AD143" s="267"/>
      <c r="AE143" s="267"/>
      <c r="AF143" s="267"/>
      <c r="AG143" s="267"/>
      <c r="AH143" s="267"/>
      <c r="AI143" s="267"/>
      <c r="AJ143" s="267"/>
      <c r="AK143" s="267"/>
      <c r="AL143" s="267"/>
      <c r="AM143" s="267"/>
      <c r="AN143" s="267"/>
      <c r="AO143" s="268"/>
    </row>
    <row r="144" spans="2:41" ht="19.5" customHeight="1" x14ac:dyDescent="0.3">
      <c r="B144" s="469"/>
      <c r="C144" s="469"/>
      <c r="D144" s="469"/>
      <c r="E144" s="466"/>
      <c r="F144" s="466"/>
      <c r="G144" s="466"/>
      <c r="H144" s="466"/>
      <c r="I144" s="466"/>
      <c r="J144" s="254" t="s">
        <v>273</v>
      </c>
      <c r="K144" s="275"/>
      <c r="L144" s="276"/>
      <c r="M144" s="276"/>
      <c r="N144" s="276"/>
      <c r="O144" s="276"/>
      <c r="P144" s="276"/>
      <c r="Q144" s="267"/>
      <c r="R144" s="267"/>
      <c r="S144" s="267"/>
      <c r="T144" s="267"/>
      <c r="U144" s="267"/>
      <c r="V144" s="267"/>
      <c r="W144" s="267"/>
      <c r="X144" s="267"/>
      <c r="Y144" s="267"/>
      <c r="Z144" s="267"/>
      <c r="AA144" s="267"/>
      <c r="AB144" s="267"/>
      <c r="AC144" s="267"/>
      <c r="AD144" s="267"/>
      <c r="AE144" s="267"/>
      <c r="AF144" s="267"/>
      <c r="AG144" s="267"/>
      <c r="AH144" s="267"/>
      <c r="AI144" s="267"/>
      <c r="AJ144" s="267"/>
      <c r="AK144" s="267"/>
      <c r="AL144" s="267"/>
      <c r="AM144" s="267"/>
      <c r="AN144" s="267"/>
      <c r="AO144" s="268"/>
    </row>
    <row r="145" spans="2:41" ht="19.5" customHeight="1" x14ac:dyDescent="0.3">
      <c r="B145" s="467" t="s">
        <v>51</v>
      </c>
      <c r="C145" s="467" t="s">
        <v>185</v>
      </c>
      <c r="D145" s="467" t="s">
        <v>196</v>
      </c>
      <c r="E145" s="464">
        <f>IFERROR(SUM(K145:AO145),)</f>
        <v>8000</v>
      </c>
      <c r="F145" s="464">
        <f>IFERROR(SUM(K146:AO146),)</f>
        <v>760</v>
      </c>
      <c r="G145" s="464">
        <f>IFERROR(SUM(K147:AO147),)</f>
        <v>0</v>
      </c>
      <c r="H145" s="464">
        <f>IFERROR(SUM(K148:AO148),)</f>
        <v>0</v>
      </c>
      <c r="I145" s="464">
        <f>IFERROR(SUM(K149:AO149),)</f>
        <v>0</v>
      </c>
      <c r="J145" s="254" t="s">
        <v>271</v>
      </c>
      <c r="K145" s="279">
        <v>400</v>
      </c>
      <c r="L145" s="279"/>
      <c r="M145" s="279"/>
      <c r="N145" s="279"/>
      <c r="O145" s="279"/>
      <c r="P145" s="279">
        <v>400</v>
      </c>
      <c r="Q145" s="279">
        <v>400</v>
      </c>
      <c r="R145" s="279">
        <v>400</v>
      </c>
      <c r="S145" s="279">
        <v>400</v>
      </c>
      <c r="T145" s="279">
        <v>400</v>
      </c>
      <c r="U145" s="279">
        <v>400</v>
      </c>
      <c r="V145" s="279">
        <v>400</v>
      </c>
      <c r="W145" s="279">
        <v>400</v>
      </c>
      <c r="X145" s="279">
        <v>400</v>
      </c>
      <c r="Y145" s="279">
        <v>400</v>
      </c>
      <c r="Z145" s="279">
        <v>400</v>
      </c>
      <c r="AA145" s="279">
        <v>400</v>
      </c>
      <c r="AB145" s="279">
        <v>400</v>
      </c>
      <c r="AC145" s="279">
        <v>400</v>
      </c>
      <c r="AD145" s="279">
        <v>400</v>
      </c>
      <c r="AE145" s="279">
        <v>400</v>
      </c>
      <c r="AF145" s="279">
        <v>400</v>
      </c>
      <c r="AG145" s="279">
        <v>400</v>
      </c>
      <c r="AH145" s="279">
        <v>400</v>
      </c>
      <c r="AI145" s="279"/>
      <c r="AJ145" s="279"/>
      <c r="AK145" s="279"/>
      <c r="AL145" s="279"/>
      <c r="AM145" s="279"/>
      <c r="AN145" s="279"/>
      <c r="AO145" s="285"/>
    </row>
    <row r="146" spans="2:41" ht="19.5" customHeight="1" x14ac:dyDescent="0.3">
      <c r="B146" s="468"/>
      <c r="C146" s="468"/>
      <c r="D146" s="468"/>
      <c r="E146" s="465"/>
      <c r="F146" s="465"/>
      <c r="G146" s="465"/>
      <c r="H146" s="465"/>
      <c r="I146" s="465"/>
      <c r="J146" s="254" t="s">
        <v>324</v>
      </c>
      <c r="K146" s="275"/>
      <c r="L146" s="275"/>
      <c r="M146" s="275"/>
      <c r="N146" s="275"/>
      <c r="O146" s="275"/>
      <c r="P146" s="275">
        <f>450+310</f>
        <v>760</v>
      </c>
      <c r="Q146" s="275"/>
      <c r="R146" s="275"/>
      <c r="S146" s="275"/>
      <c r="T146" s="275"/>
      <c r="U146" s="275"/>
      <c r="V146" s="275"/>
      <c r="W146" s="275"/>
      <c r="X146" s="275"/>
      <c r="Y146" s="275"/>
      <c r="Z146" s="275"/>
      <c r="AA146" s="275"/>
      <c r="AB146" s="275"/>
      <c r="AC146" s="275"/>
      <c r="AD146" s="275"/>
      <c r="AE146" s="275"/>
      <c r="AF146" s="275"/>
      <c r="AG146" s="275"/>
      <c r="AH146" s="275"/>
      <c r="AI146" s="275"/>
      <c r="AJ146" s="275"/>
      <c r="AK146" s="275"/>
      <c r="AL146" s="275"/>
      <c r="AM146" s="275"/>
      <c r="AN146" s="275"/>
      <c r="AO146" s="286"/>
    </row>
    <row r="147" spans="2:41" ht="19.5" customHeight="1" x14ac:dyDescent="0.3">
      <c r="B147" s="468"/>
      <c r="C147" s="468"/>
      <c r="D147" s="468"/>
      <c r="E147" s="465"/>
      <c r="F147" s="465"/>
      <c r="G147" s="465"/>
      <c r="H147" s="465"/>
      <c r="I147" s="465"/>
      <c r="J147" s="254" t="s">
        <v>326</v>
      </c>
      <c r="K147" s="275"/>
      <c r="L147" s="275"/>
      <c r="M147" s="275"/>
      <c r="N147" s="275"/>
      <c r="O147" s="275"/>
      <c r="P147" s="275"/>
      <c r="Q147" s="275"/>
      <c r="R147" s="275"/>
      <c r="S147" s="275"/>
      <c r="T147" s="275"/>
      <c r="U147" s="275"/>
      <c r="V147" s="275"/>
      <c r="W147" s="275"/>
      <c r="X147" s="275"/>
      <c r="Y147" s="275"/>
      <c r="Z147" s="275"/>
      <c r="AA147" s="275"/>
      <c r="AB147" s="275"/>
      <c r="AC147" s="275"/>
      <c r="AD147" s="275"/>
      <c r="AE147" s="275"/>
      <c r="AF147" s="275"/>
      <c r="AG147" s="275"/>
      <c r="AH147" s="275"/>
      <c r="AI147" s="275"/>
      <c r="AJ147" s="275"/>
      <c r="AK147" s="275"/>
      <c r="AL147" s="275"/>
      <c r="AM147" s="275"/>
      <c r="AN147" s="275"/>
      <c r="AO147" s="286"/>
    </row>
    <row r="148" spans="2:41" ht="19.5" customHeight="1" x14ac:dyDescent="0.3">
      <c r="B148" s="468"/>
      <c r="C148" s="468"/>
      <c r="D148" s="468"/>
      <c r="E148" s="465"/>
      <c r="F148" s="465"/>
      <c r="G148" s="465"/>
      <c r="H148" s="465"/>
      <c r="I148" s="465"/>
      <c r="J148" s="254" t="s">
        <v>116</v>
      </c>
      <c r="K148" s="275"/>
      <c r="L148" s="276"/>
      <c r="M148" s="276"/>
      <c r="N148" s="276"/>
      <c r="O148" s="276"/>
      <c r="P148" s="276"/>
      <c r="Q148" s="267"/>
      <c r="R148" s="267"/>
      <c r="S148" s="267"/>
      <c r="T148" s="267"/>
      <c r="U148" s="267"/>
      <c r="V148" s="267"/>
      <c r="W148" s="267"/>
      <c r="X148" s="267"/>
      <c r="Y148" s="267"/>
      <c r="Z148" s="267"/>
      <c r="AA148" s="267"/>
      <c r="AB148" s="267"/>
      <c r="AC148" s="267"/>
      <c r="AD148" s="267"/>
      <c r="AE148" s="267"/>
      <c r="AF148" s="267"/>
      <c r="AG148" s="267"/>
      <c r="AH148" s="267"/>
      <c r="AI148" s="267"/>
      <c r="AJ148" s="267"/>
      <c r="AK148" s="267"/>
      <c r="AL148" s="267"/>
      <c r="AM148" s="267"/>
      <c r="AN148" s="267"/>
      <c r="AO148" s="268"/>
    </row>
    <row r="149" spans="2:41" ht="19.5" customHeight="1" x14ac:dyDescent="0.3">
      <c r="B149" s="469"/>
      <c r="C149" s="469"/>
      <c r="D149" s="469"/>
      <c r="E149" s="466"/>
      <c r="F149" s="466"/>
      <c r="G149" s="466"/>
      <c r="H149" s="466"/>
      <c r="I149" s="466"/>
      <c r="J149" s="254" t="s">
        <v>273</v>
      </c>
      <c r="K149" s="275"/>
      <c r="L149" s="276"/>
      <c r="M149" s="276"/>
      <c r="N149" s="276"/>
      <c r="O149" s="276"/>
      <c r="P149" s="276"/>
      <c r="Q149" s="267"/>
      <c r="R149" s="267"/>
      <c r="S149" s="267"/>
      <c r="T149" s="267"/>
      <c r="U149" s="267"/>
      <c r="V149" s="267"/>
      <c r="W149" s="267"/>
      <c r="X149" s="267"/>
      <c r="Y149" s="267"/>
      <c r="Z149" s="267"/>
      <c r="AA149" s="267"/>
      <c r="AB149" s="267"/>
      <c r="AC149" s="267"/>
      <c r="AD149" s="267"/>
      <c r="AE149" s="267"/>
      <c r="AF149" s="267"/>
      <c r="AG149" s="267"/>
      <c r="AH149" s="267"/>
      <c r="AI149" s="267"/>
      <c r="AJ149" s="267"/>
      <c r="AK149" s="267"/>
      <c r="AL149" s="267"/>
      <c r="AM149" s="267"/>
      <c r="AN149" s="267"/>
      <c r="AO149" s="268"/>
    </row>
    <row r="150" spans="2:41" ht="19.5" customHeight="1" x14ac:dyDescent="0.3">
      <c r="B150" s="467" t="s">
        <v>56</v>
      </c>
      <c r="C150" s="467" t="s">
        <v>185</v>
      </c>
      <c r="D150" s="467" t="s">
        <v>196</v>
      </c>
      <c r="E150" s="464">
        <f>IFERROR(SUM(K150:AO150),)</f>
        <v>0</v>
      </c>
      <c r="F150" s="464">
        <f>IFERROR(SUM(K151:AO151),)</f>
        <v>0</v>
      </c>
      <c r="G150" s="464">
        <f>IFERROR(SUM(K152:AO152),)</f>
        <v>0</v>
      </c>
      <c r="H150" s="464">
        <f>IFERROR(SUM(K153:AO153),)</f>
        <v>0</v>
      </c>
      <c r="I150" s="464">
        <f>IFERROR(SUM(K154:AO154),)</f>
        <v>0</v>
      </c>
      <c r="J150" s="254" t="s">
        <v>271</v>
      </c>
      <c r="K150" s="279"/>
      <c r="L150" s="279"/>
      <c r="M150" s="279"/>
      <c r="N150" s="279"/>
      <c r="O150" s="279"/>
      <c r="P150" s="279"/>
      <c r="Q150" s="279"/>
      <c r="R150" s="279"/>
      <c r="S150" s="279"/>
      <c r="T150" s="279"/>
      <c r="U150" s="279"/>
      <c r="V150" s="279"/>
      <c r="W150" s="279"/>
      <c r="X150" s="279"/>
      <c r="Y150" s="279"/>
      <c r="Z150" s="279"/>
      <c r="AA150" s="279"/>
      <c r="AB150" s="279"/>
      <c r="AC150" s="279"/>
      <c r="AD150" s="279"/>
      <c r="AE150" s="279"/>
      <c r="AF150" s="279"/>
      <c r="AG150" s="279"/>
      <c r="AH150" s="279"/>
      <c r="AI150" s="279"/>
      <c r="AJ150" s="279"/>
      <c r="AK150" s="279"/>
      <c r="AL150" s="279"/>
      <c r="AM150" s="279"/>
      <c r="AN150" s="279"/>
      <c r="AO150" s="285"/>
    </row>
    <row r="151" spans="2:41" ht="19.5" customHeight="1" x14ac:dyDescent="0.3">
      <c r="B151" s="468"/>
      <c r="C151" s="468"/>
      <c r="D151" s="468"/>
      <c r="E151" s="465"/>
      <c r="F151" s="465"/>
      <c r="G151" s="465"/>
      <c r="H151" s="465"/>
      <c r="I151" s="465"/>
      <c r="J151" s="254" t="s">
        <v>324</v>
      </c>
      <c r="K151" s="275"/>
      <c r="L151" s="275"/>
      <c r="M151" s="275"/>
      <c r="N151" s="275"/>
      <c r="O151" s="275"/>
      <c r="P151" s="275"/>
      <c r="Q151" s="275"/>
      <c r="R151" s="275"/>
      <c r="S151" s="275"/>
      <c r="T151" s="275"/>
      <c r="U151" s="275"/>
      <c r="V151" s="275"/>
      <c r="W151" s="275"/>
      <c r="X151" s="275"/>
      <c r="Y151" s="275"/>
      <c r="Z151" s="275"/>
      <c r="AA151" s="275"/>
      <c r="AB151" s="275"/>
      <c r="AC151" s="275"/>
      <c r="AD151" s="275"/>
      <c r="AE151" s="275"/>
      <c r="AF151" s="275"/>
      <c r="AG151" s="275"/>
      <c r="AH151" s="275"/>
      <c r="AI151" s="275"/>
      <c r="AJ151" s="275"/>
      <c r="AK151" s="275"/>
      <c r="AL151" s="275"/>
      <c r="AM151" s="275"/>
      <c r="AN151" s="275"/>
      <c r="AO151" s="286"/>
    </row>
    <row r="152" spans="2:41" ht="19.5" customHeight="1" x14ac:dyDescent="0.3">
      <c r="B152" s="468"/>
      <c r="C152" s="468"/>
      <c r="D152" s="468"/>
      <c r="E152" s="465"/>
      <c r="F152" s="465"/>
      <c r="G152" s="465"/>
      <c r="H152" s="465"/>
      <c r="I152" s="465"/>
      <c r="J152" s="254" t="s">
        <v>326</v>
      </c>
      <c r="K152" s="275"/>
      <c r="L152" s="275"/>
      <c r="M152" s="275"/>
      <c r="N152" s="275"/>
      <c r="O152" s="275"/>
      <c r="P152" s="275"/>
      <c r="Q152" s="275"/>
      <c r="R152" s="275"/>
      <c r="S152" s="275"/>
      <c r="T152" s="275"/>
      <c r="U152" s="275"/>
      <c r="V152" s="275"/>
      <c r="W152" s="275"/>
      <c r="X152" s="275"/>
      <c r="Y152" s="275"/>
      <c r="Z152" s="275"/>
      <c r="AA152" s="275"/>
      <c r="AB152" s="275"/>
      <c r="AC152" s="275"/>
      <c r="AD152" s="275"/>
      <c r="AE152" s="275"/>
      <c r="AF152" s="275"/>
      <c r="AG152" s="275"/>
      <c r="AH152" s="275"/>
      <c r="AI152" s="275"/>
      <c r="AJ152" s="275"/>
      <c r="AK152" s="275"/>
      <c r="AL152" s="275"/>
      <c r="AM152" s="275"/>
      <c r="AN152" s="275"/>
      <c r="AO152" s="286"/>
    </row>
    <row r="153" spans="2:41" ht="19.5" customHeight="1" x14ac:dyDescent="0.3">
      <c r="B153" s="468"/>
      <c r="C153" s="468"/>
      <c r="D153" s="468"/>
      <c r="E153" s="465"/>
      <c r="F153" s="465"/>
      <c r="G153" s="465"/>
      <c r="H153" s="465"/>
      <c r="I153" s="465"/>
      <c r="J153" s="254" t="s">
        <v>116</v>
      </c>
      <c r="K153" s="275"/>
      <c r="L153" s="276"/>
      <c r="M153" s="276"/>
      <c r="N153" s="276"/>
      <c r="O153" s="276"/>
      <c r="P153" s="276"/>
      <c r="Q153" s="267"/>
      <c r="R153" s="267"/>
      <c r="S153" s="267"/>
      <c r="T153" s="267"/>
      <c r="U153" s="267"/>
      <c r="V153" s="267"/>
      <c r="W153" s="267"/>
      <c r="X153" s="267"/>
      <c r="Y153" s="267"/>
      <c r="Z153" s="267"/>
      <c r="AA153" s="267"/>
      <c r="AB153" s="267"/>
      <c r="AC153" s="267"/>
      <c r="AD153" s="267"/>
      <c r="AE153" s="267"/>
      <c r="AF153" s="267"/>
      <c r="AG153" s="267"/>
      <c r="AH153" s="267"/>
      <c r="AI153" s="267"/>
      <c r="AJ153" s="267"/>
      <c r="AK153" s="267"/>
      <c r="AL153" s="267"/>
      <c r="AM153" s="267"/>
      <c r="AN153" s="267"/>
      <c r="AO153" s="268"/>
    </row>
    <row r="154" spans="2:41" ht="19.5" customHeight="1" x14ac:dyDescent="0.3">
      <c r="B154" s="469"/>
      <c r="C154" s="469"/>
      <c r="D154" s="469"/>
      <c r="E154" s="466"/>
      <c r="F154" s="466"/>
      <c r="G154" s="466"/>
      <c r="H154" s="466"/>
      <c r="I154" s="466"/>
      <c r="J154" s="254" t="s">
        <v>273</v>
      </c>
      <c r="K154" s="275"/>
      <c r="L154" s="276"/>
      <c r="M154" s="276"/>
      <c r="N154" s="276"/>
      <c r="O154" s="276"/>
      <c r="P154" s="276"/>
      <c r="Q154" s="267"/>
      <c r="R154" s="267"/>
      <c r="S154" s="267"/>
      <c r="T154" s="267"/>
      <c r="U154" s="267"/>
      <c r="V154" s="267"/>
      <c r="W154" s="267"/>
      <c r="X154" s="267"/>
      <c r="Y154" s="267"/>
      <c r="Z154" s="267"/>
      <c r="AA154" s="267"/>
      <c r="AB154" s="267"/>
      <c r="AC154" s="267"/>
      <c r="AD154" s="267"/>
      <c r="AE154" s="267"/>
      <c r="AF154" s="267"/>
      <c r="AG154" s="267"/>
      <c r="AH154" s="267"/>
      <c r="AI154" s="267"/>
      <c r="AJ154" s="267"/>
      <c r="AK154" s="267"/>
      <c r="AL154" s="267"/>
      <c r="AM154" s="267"/>
      <c r="AN154" s="267"/>
      <c r="AO154" s="268"/>
    </row>
    <row r="155" spans="2:41" ht="19.5" customHeight="1" x14ac:dyDescent="0.3">
      <c r="B155" s="467" t="s">
        <v>52</v>
      </c>
      <c r="C155" s="467" t="s">
        <v>185</v>
      </c>
      <c r="D155" s="467" t="s">
        <v>197</v>
      </c>
      <c r="E155" s="464">
        <f>IFERROR(SUM(K155:AO155),)</f>
        <v>0</v>
      </c>
      <c r="F155" s="464">
        <f>IFERROR(SUM(K156:AO156),)</f>
        <v>0</v>
      </c>
      <c r="G155" s="464">
        <f>IFERROR(SUM(K157:AO157),)</f>
        <v>0</v>
      </c>
      <c r="H155" s="464">
        <f>IFERROR(SUM(K158:AO158),)</f>
        <v>0</v>
      </c>
      <c r="I155" s="464">
        <f>IFERROR(SUM(K159:AO159),)</f>
        <v>0</v>
      </c>
      <c r="J155" s="254" t="s">
        <v>271</v>
      </c>
      <c r="K155" s="279"/>
      <c r="L155" s="279"/>
      <c r="M155" s="279"/>
      <c r="N155" s="279"/>
      <c r="O155" s="279"/>
      <c r="P155" s="279"/>
      <c r="Q155" s="279"/>
      <c r="R155" s="279"/>
      <c r="S155" s="279"/>
      <c r="T155" s="279"/>
      <c r="U155" s="279"/>
      <c r="V155" s="279"/>
      <c r="W155" s="279"/>
      <c r="X155" s="279"/>
      <c r="Y155" s="279"/>
      <c r="Z155" s="279"/>
      <c r="AA155" s="279"/>
      <c r="AB155" s="279"/>
      <c r="AC155" s="279"/>
      <c r="AD155" s="279"/>
      <c r="AE155" s="279"/>
      <c r="AF155" s="279"/>
      <c r="AG155" s="279"/>
      <c r="AH155" s="279"/>
      <c r="AI155" s="279"/>
      <c r="AJ155" s="279"/>
      <c r="AK155" s="279"/>
      <c r="AL155" s="279"/>
      <c r="AM155" s="279"/>
      <c r="AN155" s="279"/>
      <c r="AO155" s="285"/>
    </row>
    <row r="156" spans="2:41" ht="19.5" customHeight="1" x14ac:dyDescent="0.3">
      <c r="B156" s="468"/>
      <c r="C156" s="468"/>
      <c r="D156" s="468"/>
      <c r="E156" s="465"/>
      <c r="F156" s="465"/>
      <c r="G156" s="465"/>
      <c r="H156" s="465"/>
      <c r="I156" s="465"/>
      <c r="J156" s="254" t="s">
        <v>324</v>
      </c>
      <c r="K156" s="275"/>
      <c r="L156" s="275"/>
      <c r="M156" s="275"/>
      <c r="N156" s="275"/>
      <c r="O156" s="275"/>
      <c r="P156" s="275"/>
      <c r="Q156" s="275"/>
      <c r="R156" s="275"/>
      <c r="S156" s="275"/>
      <c r="T156" s="275"/>
      <c r="U156" s="275"/>
      <c r="V156" s="275"/>
      <c r="W156" s="275"/>
      <c r="X156" s="275"/>
      <c r="Y156" s="275"/>
      <c r="Z156" s="275"/>
      <c r="AA156" s="275"/>
      <c r="AB156" s="275"/>
      <c r="AC156" s="275"/>
      <c r="AD156" s="275"/>
      <c r="AE156" s="275"/>
      <c r="AF156" s="275"/>
      <c r="AG156" s="275"/>
      <c r="AH156" s="275"/>
      <c r="AI156" s="275"/>
      <c r="AJ156" s="275"/>
      <c r="AK156" s="275"/>
      <c r="AL156" s="275"/>
      <c r="AM156" s="275"/>
      <c r="AN156" s="275"/>
      <c r="AO156" s="286"/>
    </row>
    <row r="157" spans="2:41" ht="19.5" customHeight="1" x14ac:dyDescent="0.3">
      <c r="B157" s="468"/>
      <c r="C157" s="468"/>
      <c r="D157" s="468"/>
      <c r="E157" s="465"/>
      <c r="F157" s="465"/>
      <c r="G157" s="465"/>
      <c r="H157" s="465"/>
      <c r="I157" s="465"/>
      <c r="J157" s="254" t="s">
        <v>326</v>
      </c>
      <c r="K157" s="275"/>
      <c r="L157" s="275"/>
      <c r="M157" s="275"/>
      <c r="N157" s="275"/>
      <c r="O157" s="275"/>
      <c r="P157" s="275"/>
      <c r="Q157" s="275"/>
      <c r="R157" s="275"/>
      <c r="S157" s="275"/>
      <c r="T157" s="275"/>
      <c r="U157" s="275"/>
      <c r="V157" s="275"/>
      <c r="W157" s="275"/>
      <c r="X157" s="275"/>
      <c r="Y157" s="275"/>
      <c r="Z157" s="275"/>
      <c r="AA157" s="275"/>
      <c r="AB157" s="275"/>
      <c r="AC157" s="275"/>
      <c r="AD157" s="275"/>
      <c r="AE157" s="275"/>
      <c r="AF157" s="275"/>
      <c r="AG157" s="275"/>
      <c r="AH157" s="275"/>
      <c r="AI157" s="275"/>
      <c r="AJ157" s="275"/>
      <c r="AK157" s="275"/>
      <c r="AL157" s="275"/>
      <c r="AM157" s="275"/>
      <c r="AN157" s="275"/>
      <c r="AO157" s="286"/>
    </row>
    <row r="158" spans="2:41" ht="19.5" customHeight="1" x14ac:dyDescent="0.3">
      <c r="B158" s="468"/>
      <c r="C158" s="468"/>
      <c r="D158" s="468"/>
      <c r="E158" s="465"/>
      <c r="F158" s="465"/>
      <c r="G158" s="465"/>
      <c r="H158" s="465"/>
      <c r="I158" s="465"/>
      <c r="J158" s="254" t="s">
        <v>116</v>
      </c>
      <c r="K158" s="275"/>
      <c r="L158" s="276"/>
      <c r="M158" s="276"/>
      <c r="N158" s="276"/>
      <c r="O158" s="276"/>
      <c r="P158" s="276"/>
      <c r="Q158" s="267"/>
      <c r="R158" s="267"/>
      <c r="S158" s="267"/>
      <c r="T158" s="267"/>
      <c r="U158" s="267"/>
      <c r="V158" s="267"/>
      <c r="W158" s="267"/>
      <c r="X158" s="267"/>
      <c r="Y158" s="267"/>
      <c r="Z158" s="267"/>
      <c r="AA158" s="267"/>
      <c r="AB158" s="267"/>
      <c r="AC158" s="267"/>
      <c r="AD158" s="267"/>
      <c r="AE158" s="267"/>
      <c r="AF158" s="267"/>
      <c r="AG158" s="267"/>
      <c r="AH158" s="267"/>
      <c r="AI158" s="267"/>
      <c r="AJ158" s="267"/>
      <c r="AK158" s="267"/>
      <c r="AL158" s="267"/>
      <c r="AM158" s="267"/>
      <c r="AN158" s="267"/>
      <c r="AO158" s="268"/>
    </row>
    <row r="159" spans="2:41" ht="19.5" customHeight="1" x14ac:dyDescent="0.3">
      <c r="B159" s="469"/>
      <c r="C159" s="469"/>
      <c r="D159" s="469"/>
      <c r="E159" s="466"/>
      <c r="F159" s="466"/>
      <c r="G159" s="466"/>
      <c r="H159" s="466"/>
      <c r="I159" s="466"/>
      <c r="J159" s="254" t="s">
        <v>273</v>
      </c>
      <c r="K159" s="275"/>
      <c r="L159" s="276"/>
      <c r="M159" s="276"/>
      <c r="N159" s="276"/>
      <c r="O159" s="276"/>
      <c r="P159" s="276"/>
      <c r="Q159" s="267"/>
      <c r="R159" s="267"/>
      <c r="S159" s="267"/>
      <c r="T159" s="267"/>
      <c r="U159" s="267"/>
      <c r="V159" s="267"/>
      <c r="W159" s="267"/>
      <c r="X159" s="267"/>
      <c r="Y159" s="267"/>
      <c r="Z159" s="267"/>
      <c r="AA159" s="267"/>
      <c r="AB159" s="267"/>
      <c r="AC159" s="267"/>
      <c r="AD159" s="267"/>
      <c r="AE159" s="267"/>
      <c r="AF159" s="267"/>
      <c r="AG159" s="267"/>
      <c r="AH159" s="267"/>
      <c r="AI159" s="267"/>
      <c r="AJ159" s="267"/>
      <c r="AK159" s="267"/>
      <c r="AL159" s="267"/>
      <c r="AM159" s="267"/>
      <c r="AN159" s="267"/>
      <c r="AO159" s="268"/>
    </row>
    <row r="160" spans="2:41" ht="19.5" customHeight="1" x14ac:dyDescent="0.3">
      <c r="B160" s="467" t="s">
        <v>57</v>
      </c>
      <c r="C160" s="467" t="s">
        <v>185</v>
      </c>
      <c r="D160" s="467" t="s">
        <v>197</v>
      </c>
      <c r="E160" s="464">
        <f>IFERROR(SUM(K160:AO160),)</f>
        <v>0</v>
      </c>
      <c r="F160" s="464">
        <f>IFERROR(SUM(K161:AO161),)</f>
        <v>0</v>
      </c>
      <c r="G160" s="464">
        <f>IFERROR(SUM(K162:AO162),)</f>
        <v>0</v>
      </c>
      <c r="H160" s="464">
        <f>IFERROR(SUM(K163:AO163),)</f>
        <v>0</v>
      </c>
      <c r="I160" s="464">
        <f>IFERROR(SUM(K164:AO164),)</f>
        <v>0</v>
      </c>
      <c r="J160" s="254" t="s">
        <v>271</v>
      </c>
      <c r="K160" s="279"/>
      <c r="L160" s="279"/>
      <c r="M160" s="279"/>
      <c r="N160" s="279"/>
      <c r="O160" s="279"/>
      <c r="P160" s="279"/>
      <c r="Q160" s="279"/>
      <c r="R160" s="279"/>
      <c r="S160" s="279"/>
      <c r="T160" s="279"/>
      <c r="U160" s="279"/>
      <c r="V160" s="279"/>
      <c r="W160" s="279"/>
      <c r="X160" s="279"/>
      <c r="Y160" s="279"/>
      <c r="Z160" s="279"/>
      <c r="AA160" s="279"/>
      <c r="AB160" s="279"/>
      <c r="AC160" s="279"/>
      <c r="AD160" s="279"/>
      <c r="AE160" s="279"/>
      <c r="AF160" s="279"/>
      <c r="AG160" s="279"/>
      <c r="AH160" s="279"/>
      <c r="AI160" s="279"/>
      <c r="AJ160" s="279"/>
      <c r="AK160" s="279"/>
      <c r="AL160" s="279"/>
      <c r="AM160" s="279"/>
      <c r="AN160" s="279"/>
      <c r="AO160" s="285"/>
    </row>
    <row r="161" spans="2:41" ht="19.5" customHeight="1" x14ac:dyDescent="0.3">
      <c r="B161" s="468"/>
      <c r="C161" s="468"/>
      <c r="D161" s="468"/>
      <c r="E161" s="465"/>
      <c r="F161" s="465"/>
      <c r="G161" s="465"/>
      <c r="H161" s="465"/>
      <c r="I161" s="465"/>
      <c r="J161" s="254" t="s">
        <v>324</v>
      </c>
      <c r="K161" s="275"/>
      <c r="L161" s="275"/>
      <c r="M161" s="275"/>
      <c r="N161" s="275"/>
      <c r="O161" s="275"/>
      <c r="P161" s="275"/>
      <c r="Q161" s="275"/>
      <c r="R161" s="275"/>
      <c r="S161" s="275"/>
      <c r="T161" s="275"/>
      <c r="U161" s="275"/>
      <c r="V161" s="275"/>
      <c r="W161" s="275"/>
      <c r="X161" s="275"/>
      <c r="Y161" s="275"/>
      <c r="Z161" s="275"/>
      <c r="AA161" s="275"/>
      <c r="AB161" s="275"/>
      <c r="AC161" s="275"/>
      <c r="AD161" s="275"/>
      <c r="AE161" s="275"/>
      <c r="AF161" s="275"/>
      <c r="AG161" s="275"/>
      <c r="AH161" s="275"/>
      <c r="AI161" s="275"/>
      <c r="AJ161" s="275"/>
      <c r="AK161" s="275"/>
      <c r="AL161" s="275"/>
      <c r="AM161" s="275"/>
      <c r="AN161" s="275"/>
      <c r="AO161" s="286"/>
    </row>
    <row r="162" spans="2:41" ht="19.5" customHeight="1" x14ac:dyDescent="0.3">
      <c r="B162" s="468"/>
      <c r="C162" s="468"/>
      <c r="D162" s="468"/>
      <c r="E162" s="465"/>
      <c r="F162" s="465"/>
      <c r="G162" s="465"/>
      <c r="H162" s="465"/>
      <c r="I162" s="465"/>
      <c r="J162" s="254" t="s">
        <v>326</v>
      </c>
      <c r="K162" s="275"/>
      <c r="L162" s="275"/>
      <c r="M162" s="275"/>
      <c r="N162" s="275"/>
      <c r="O162" s="275"/>
      <c r="P162" s="275"/>
      <c r="Q162" s="275"/>
      <c r="R162" s="275"/>
      <c r="S162" s="275"/>
      <c r="T162" s="275"/>
      <c r="U162" s="275"/>
      <c r="V162" s="275"/>
      <c r="W162" s="275"/>
      <c r="X162" s="275"/>
      <c r="Y162" s="275"/>
      <c r="Z162" s="275"/>
      <c r="AA162" s="275"/>
      <c r="AB162" s="275"/>
      <c r="AC162" s="275"/>
      <c r="AD162" s="275"/>
      <c r="AE162" s="275"/>
      <c r="AF162" s="275"/>
      <c r="AG162" s="275"/>
      <c r="AH162" s="275"/>
      <c r="AI162" s="275"/>
      <c r="AJ162" s="275"/>
      <c r="AK162" s="275"/>
      <c r="AL162" s="275"/>
      <c r="AM162" s="275"/>
      <c r="AN162" s="275"/>
      <c r="AO162" s="286"/>
    </row>
    <row r="163" spans="2:41" ht="19.5" customHeight="1" x14ac:dyDescent="0.3">
      <c r="B163" s="468"/>
      <c r="C163" s="468"/>
      <c r="D163" s="468"/>
      <c r="E163" s="465"/>
      <c r="F163" s="465"/>
      <c r="G163" s="465"/>
      <c r="H163" s="465"/>
      <c r="I163" s="465"/>
      <c r="J163" s="254" t="s">
        <v>116</v>
      </c>
      <c r="K163" s="275"/>
      <c r="L163" s="276"/>
      <c r="M163" s="276"/>
      <c r="N163" s="276"/>
      <c r="O163" s="276"/>
      <c r="P163" s="276"/>
      <c r="Q163" s="267"/>
      <c r="R163" s="267"/>
      <c r="S163" s="267"/>
      <c r="T163" s="267"/>
      <c r="U163" s="267"/>
      <c r="V163" s="267"/>
      <c r="W163" s="267"/>
      <c r="X163" s="267"/>
      <c r="Y163" s="267"/>
      <c r="Z163" s="267"/>
      <c r="AA163" s="267"/>
      <c r="AB163" s="267"/>
      <c r="AC163" s="267"/>
      <c r="AD163" s="267"/>
      <c r="AE163" s="267"/>
      <c r="AF163" s="267"/>
      <c r="AG163" s="267"/>
      <c r="AH163" s="267"/>
      <c r="AI163" s="267"/>
      <c r="AJ163" s="267"/>
      <c r="AK163" s="267"/>
      <c r="AL163" s="267"/>
      <c r="AM163" s="267"/>
      <c r="AN163" s="267"/>
      <c r="AO163" s="268"/>
    </row>
    <row r="164" spans="2:41" ht="19.5" customHeight="1" x14ac:dyDescent="0.3">
      <c r="B164" s="469"/>
      <c r="C164" s="469"/>
      <c r="D164" s="469"/>
      <c r="E164" s="466"/>
      <c r="F164" s="466"/>
      <c r="G164" s="466"/>
      <c r="H164" s="466"/>
      <c r="I164" s="466"/>
      <c r="J164" s="254" t="s">
        <v>273</v>
      </c>
      <c r="K164" s="275"/>
      <c r="L164" s="276"/>
      <c r="M164" s="276"/>
      <c r="N164" s="276"/>
      <c r="O164" s="276"/>
      <c r="P164" s="276"/>
      <c r="Q164" s="267"/>
      <c r="R164" s="267"/>
      <c r="S164" s="267"/>
      <c r="T164" s="267"/>
      <c r="U164" s="267"/>
      <c r="V164" s="267"/>
      <c r="W164" s="267"/>
      <c r="X164" s="267"/>
      <c r="Y164" s="267"/>
      <c r="Z164" s="267"/>
      <c r="AA164" s="267"/>
      <c r="AB164" s="267"/>
      <c r="AC164" s="267"/>
      <c r="AD164" s="267"/>
      <c r="AE164" s="267"/>
      <c r="AF164" s="267"/>
      <c r="AG164" s="267"/>
      <c r="AH164" s="267"/>
      <c r="AI164" s="267"/>
      <c r="AJ164" s="267"/>
      <c r="AK164" s="267"/>
      <c r="AL164" s="267"/>
      <c r="AM164" s="267"/>
      <c r="AN164" s="267"/>
      <c r="AO164" s="268"/>
    </row>
    <row r="165" spans="2:41" ht="19.5" customHeight="1" x14ac:dyDescent="0.3">
      <c r="B165" s="467" t="s">
        <v>58</v>
      </c>
      <c r="C165" s="467" t="s">
        <v>185</v>
      </c>
      <c r="D165" s="467" t="s">
        <v>198</v>
      </c>
      <c r="E165" s="464">
        <f>IFERROR(SUM(K165:AO165),)</f>
        <v>0</v>
      </c>
      <c r="F165" s="464">
        <f>IFERROR(SUM(K166:AO166),)</f>
        <v>0</v>
      </c>
      <c r="G165" s="464">
        <f>IFERROR(SUM(K167:AO167),)</f>
        <v>0</v>
      </c>
      <c r="H165" s="464">
        <f>IFERROR(SUM(K168:AO168),)</f>
        <v>0</v>
      </c>
      <c r="I165" s="464">
        <f>IFERROR(SUM(K169:AO169),)</f>
        <v>0</v>
      </c>
      <c r="J165" s="254" t="s">
        <v>271</v>
      </c>
      <c r="K165" s="279"/>
      <c r="L165" s="279"/>
      <c r="M165" s="279"/>
      <c r="N165" s="279"/>
      <c r="O165" s="279"/>
      <c r="P165" s="279"/>
      <c r="Q165" s="279"/>
      <c r="R165" s="279"/>
      <c r="S165" s="279"/>
      <c r="T165" s="279"/>
      <c r="U165" s="279"/>
      <c r="V165" s="279"/>
      <c r="W165" s="279"/>
      <c r="X165" s="279"/>
      <c r="Y165" s="279"/>
      <c r="Z165" s="279"/>
      <c r="AA165" s="279"/>
      <c r="AB165" s="279"/>
      <c r="AC165" s="279"/>
      <c r="AD165" s="279"/>
      <c r="AE165" s="279"/>
      <c r="AF165" s="279"/>
      <c r="AG165" s="279"/>
      <c r="AH165" s="279"/>
      <c r="AI165" s="279"/>
      <c r="AJ165" s="279"/>
      <c r="AK165" s="279"/>
      <c r="AL165" s="279"/>
      <c r="AM165" s="279"/>
      <c r="AN165" s="279"/>
      <c r="AO165" s="285"/>
    </row>
    <row r="166" spans="2:41" ht="19.5" customHeight="1" x14ac:dyDescent="0.3">
      <c r="B166" s="468"/>
      <c r="C166" s="468"/>
      <c r="D166" s="468"/>
      <c r="E166" s="465"/>
      <c r="F166" s="465"/>
      <c r="G166" s="465"/>
      <c r="H166" s="465"/>
      <c r="I166" s="465"/>
      <c r="J166" s="254" t="s">
        <v>324</v>
      </c>
      <c r="K166" s="275"/>
      <c r="L166" s="275"/>
      <c r="M166" s="275"/>
      <c r="N166" s="275"/>
      <c r="O166" s="275"/>
      <c r="P166" s="275"/>
      <c r="Q166" s="275"/>
      <c r="R166" s="275"/>
      <c r="S166" s="275"/>
      <c r="T166" s="275"/>
      <c r="U166" s="275"/>
      <c r="V166" s="275"/>
      <c r="W166" s="275"/>
      <c r="X166" s="275"/>
      <c r="Y166" s="275"/>
      <c r="Z166" s="275"/>
      <c r="AA166" s="275"/>
      <c r="AB166" s="275"/>
      <c r="AC166" s="275"/>
      <c r="AD166" s="275"/>
      <c r="AE166" s="275"/>
      <c r="AF166" s="275"/>
      <c r="AG166" s="275"/>
      <c r="AH166" s="275"/>
      <c r="AI166" s="275"/>
      <c r="AJ166" s="275"/>
      <c r="AK166" s="275"/>
      <c r="AL166" s="275"/>
      <c r="AM166" s="275"/>
      <c r="AN166" s="275"/>
      <c r="AO166" s="286"/>
    </row>
    <row r="167" spans="2:41" ht="19.5" customHeight="1" x14ac:dyDescent="0.3">
      <c r="B167" s="468"/>
      <c r="C167" s="468"/>
      <c r="D167" s="468"/>
      <c r="E167" s="465"/>
      <c r="F167" s="465"/>
      <c r="G167" s="465"/>
      <c r="H167" s="465"/>
      <c r="I167" s="465"/>
      <c r="J167" s="254" t="s">
        <v>326</v>
      </c>
      <c r="K167" s="275"/>
      <c r="L167" s="275"/>
      <c r="M167" s="275"/>
      <c r="N167" s="275"/>
      <c r="O167" s="275"/>
      <c r="P167" s="275"/>
      <c r="Q167" s="275"/>
      <c r="R167" s="275"/>
      <c r="S167" s="275"/>
      <c r="T167" s="275"/>
      <c r="U167" s="275"/>
      <c r="V167" s="275"/>
      <c r="W167" s="275"/>
      <c r="X167" s="275"/>
      <c r="Y167" s="275"/>
      <c r="Z167" s="275"/>
      <c r="AA167" s="275"/>
      <c r="AB167" s="275"/>
      <c r="AC167" s="275"/>
      <c r="AD167" s="275"/>
      <c r="AE167" s="275"/>
      <c r="AF167" s="275"/>
      <c r="AG167" s="275"/>
      <c r="AH167" s="275"/>
      <c r="AI167" s="275"/>
      <c r="AJ167" s="275"/>
      <c r="AK167" s="275"/>
      <c r="AL167" s="275"/>
      <c r="AM167" s="275"/>
      <c r="AN167" s="275"/>
      <c r="AO167" s="286"/>
    </row>
    <row r="168" spans="2:41" ht="19.5" customHeight="1" x14ac:dyDescent="0.3">
      <c r="B168" s="468"/>
      <c r="C168" s="468"/>
      <c r="D168" s="468"/>
      <c r="E168" s="465"/>
      <c r="F168" s="465"/>
      <c r="G168" s="465"/>
      <c r="H168" s="465"/>
      <c r="I168" s="465"/>
      <c r="J168" s="254" t="s">
        <v>116</v>
      </c>
      <c r="K168" s="275"/>
      <c r="L168" s="276"/>
      <c r="M168" s="276"/>
      <c r="N168" s="276"/>
      <c r="O168" s="276"/>
      <c r="P168" s="276"/>
      <c r="Q168" s="267"/>
      <c r="R168" s="267"/>
      <c r="S168" s="267"/>
      <c r="T168" s="267"/>
      <c r="U168" s="267"/>
      <c r="V168" s="267"/>
      <c r="W168" s="267"/>
      <c r="X168" s="267"/>
      <c r="Y168" s="267"/>
      <c r="Z168" s="267"/>
      <c r="AA168" s="267"/>
      <c r="AB168" s="267"/>
      <c r="AC168" s="267"/>
      <c r="AD168" s="267"/>
      <c r="AE168" s="267"/>
      <c r="AF168" s="267"/>
      <c r="AG168" s="267"/>
      <c r="AH168" s="267"/>
      <c r="AI168" s="267"/>
      <c r="AJ168" s="267"/>
      <c r="AK168" s="267"/>
      <c r="AL168" s="267"/>
      <c r="AM168" s="267"/>
      <c r="AN168" s="267"/>
      <c r="AO168" s="268"/>
    </row>
    <row r="169" spans="2:41" ht="19.5" customHeight="1" x14ac:dyDescent="0.3">
      <c r="B169" s="469"/>
      <c r="C169" s="469"/>
      <c r="D169" s="469"/>
      <c r="E169" s="466"/>
      <c r="F169" s="466"/>
      <c r="G169" s="466"/>
      <c r="H169" s="466"/>
      <c r="I169" s="466"/>
      <c r="J169" s="254" t="s">
        <v>273</v>
      </c>
      <c r="K169" s="275"/>
      <c r="L169" s="276"/>
      <c r="M169" s="276"/>
      <c r="N169" s="276"/>
      <c r="O169" s="276"/>
      <c r="P169" s="276"/>
      <c r="Q169" s="267"/>
      <c r="R169" s="267"/>
      <c r="S169" s="267"/>
      <c r="T169" s="267"/>
      <c r="U169" s="267"/>
      <c r="V169" s="267"/>
      <c r="W169" s="267"/>
      <c r="X169" s="267"/>
      <c r="Y169" s="267"/>
      <c r="Z169" s="267"/>
      <c r="AA169" s="267"/>
      <c r="AB169" s="267"/>
      <c r="AC169" s="267"/>
      <c r="AD169" s="267"/>
      <c r="AE169" s="267"/>
      <c r="AF169" s="267"/>
      <c r="AG169" s="267"/>
      <c r="AH169" s="267"/>
      <c r="AI169" s="267"/>
      <c r="AJ169" s="267"/>
      <c r="AK169" s="267"/>
      <c r="AL169" s="267"/>
      <c r="AM169" s="267"/>
      <c r="AN169" s="267"/>
      <c r="AO169" s="268"/>
    </row>
    <row r="170" spans="2:41" ht="19.5" customHeight="1" x14ac:dyDescent="0.3">
      <c r="B170" s="467" t="s">
        <v>59</v>
      </c>
      <c r="C170" s="467" t="s">
        <v>185</v>
      </c>
      <c r="D170" s="467" t="s">
        <v>199</v>
      </c>
      <c r="E170" s="464">
        <f>IFERROR(SUM(K170:AO170),)</f>
        <v>0</v>
      </c>
      <c r="F170" s="464">
        <f>IFERROR(SUM(K171:AO171),)</f>
        <v>0</v>
      </c>
      <c r="G170" s="464">
        <f>IFERROR(SUM(K172:AO172),)</f>
        <v>0</v>
      </c>
      <c r="H170" s="464">
        <f>IFERROR(SUM(K173:AO173),)</f>
        <v>0</v>
      </c>
      <c r="I170" s="464">
        <f>IFERROR(SUM(K174:AO174),)</f>
        <v>0</v>
      </c>
      <c r="J170" s="254" t="s">
        <v>271</v>
      </c>
      <c r="K170" s="279"/>
      <c r="L170" s="279"/>
      <c r="M170" s="279"/>
      <c r="N170" s="279"/>
      <c r="O170" s="279"/>
      <c r="P170" s="279"/>
      <c r="Q170" s="279"/>
      <c r="R170" s="279"/>
      <c r="S170" s="279"/>
      <c r="T170" s="279"/>
      <c r="U170" s="279"/>
      <c r="V170" s="279"/>
      <c r="W170" s="279"/>
      <c r="X170" s="279"/>
      <c r="Y170" s="279"/>
      <c r="Z170" s="279"/>
      <c r="AA170" s="279"/>
      <c r="AB170" s="279"/>
      <c r="AC170" s="279"/>
      <c r="AD170" s="279"/>
      <c r="AE170" s="279"/>
      <c r="AF170" s="279"/>
      <c r="AG170" s="279"/>
      <c r="AH170" s="279"/>
      <c r="AI170" s="279"/>
      <c r="AJ170" s="279"/>
      <c r="AK170" s="279"/>
      <c r="AL170" s="279"/>
      <c r="AM170" s="279"/>
      <c r="AN170" s="279"/>
      <c r="AO170" s="285"/>
    </row>
    <row r="171" spans="2:41" ht="19.5" customHeight="1" x14ac:dyDescent="0.3">
      <c r="B171" s="468"/>
      <c r="C171" s="468"/>
      <c r="D171" s="468"/>
      <c r="E171" s="465"/>
      <c r="F171" s="465"/>
      <c r="G171" s="465"/>
      <c r="H171" s="465"/>
      <c r="I171" s="465"/>
      <c r="J171" s="254" t="s">
        <v>324</v>
      </c>
      <c r="K171" s="275"/>
      <c r="L171" s="275"/>
      <c r="M171" s="275"/>
      <c r="N171" s="275"/>
      <c r="O171" s="275"/>
      <c r="P171" s="275"/>
      <c r="Q171" s="275"/>
      <c r="R171" s="275"/>
      <c r="S171" s="275"/>
      <c r="T171" s="275"/>
      <c r="U171" s="275"/>
      <c r="V171" s="275"/>
      <c r="W171" s="275"/>
      <c r="X171" s="275"/>
      <c r="Y171" s="275"/>
      <c r="Z171" s="275"/>
      <c r="AA171" s="275"/>
      <c r="AB171" s="275"/>
      <c r="AC171" s="275"/>
      <c r="AD171" s="275"/>
      <c r="AE171" s="275"/>
      <c r="AF171" s="275"/>
      <c r="AG171" s="275"/>
      <c r="AH171" s="275"/>
      <c r="AI171" s="275"/>
      <c r="AJ171" s="275"/>
      <c r="AK171" s="275"/>
      <c r="AL171" s="275"/>
      <c r="AM171" s="275"/>
      <c r="AN171" s="275"/>
      <c r="AO171" s="286"/>
    </row>
    <row r="172" spans="2:41" ht="19.5" customHeight="1" x14ac:dyDescent="0.3">
      <c r="B172" s="468"/>
      <c r="C172" s="468"/>
      <c r="D172" s="468"/>
      <c r="E172" s="465"/>
      <c r="F172" s="465"/>
      <c r="G172" s="465"/>
      <c r="H172" s="465"/>
      <c r="I172" s="465"/>
      <c r="J172" s="254" t="s">
        <v>326</v>
      </c>
      <c r="K172" s="275"/>
      <c r="L172" s="275"/>
      <c r="M172" s="275"/>
      <c r="N172" s="275"/>
      <c r="O172" s="275"/>
      <c r="P172" s="275"/>
      <c r="Q172" s="275"/>
      <c r="R172" s="275"/>
      <c r="S172" s="275"/>
      <c r="T172" s="275"/>
      <c r="U172" s="275"/>
      <c r="V172" s="275"/>
      <c r="W172" s="275"/>
      <c r="X172" s="275"/>
      <c r="Y172" s="275"/>
      <c r="Z172" s="275"/>
      <c r="AA172" s="275"/>
      <c r="AB172" s="275"/>
      <c r="AC172" s="275"/>
      <c r="AD172" s="275"/>
      <c r="AE172" s="275"/>
      <c r="AF172" s="275"/>
      <c r="AG172" s="275"/>
      <c r="AH172" s="275"/>
      <c r="AI172" s="275"/>
      <c r="AJ172" s="275"/>
      <c r="AK172" s="275"/>
      <c r="AL172" s="275"/>
      <c r="AM172" s="275"/>
      <c r="AN172" s="275"/>
      <c r="AO172" s="286"/>
    </row>
    <row r="173" spans="2:41" ht="19.5" customHeight="1" x14ac:dyDescent="0.3">
      <c r="B173" s="468"/>
      <c r="C173" s="468"/>
      <c r="D173" s="468"/>
      <c r="E173" s="465"/>
      <c r="F173" s="465"/>
      <c r="G173" s="465"/>
      <c r="H173" s="465"/>
      <c r="I173" s="465"/>
      <c r="J173" s="254" t="s">
        <v>116</v>
      </c>
      <c r="K173" s="275"/>
      <c r="L173" s="276"/>
      <c r="M173" s="276"/>
      <c r="N173" s="276"/>
      <c r="O173" s="276"/>
      <c r="P173" s="276"/>
      <c r="Q173" s="267"/>
      <c r="R173" s="267"/>
      <c r="S173" s="267"/>
      <c r="T173" s="267"/>
      <c r="U173" s="267"/>
      <c r="V173" s="267"/>
      <c r="W173" s="267"/>
      <c r="X173" s="267"/>
      <c r="Y173" s="267"/>
      <c r="Z173" s="267"/>
      <c r="AA173" s="267"/>
      <c r="AB173" s="267"/>
      <c r="AC173" s="267"/>
      <c r="AD173" s="267"/>
      <c r="AE173" s="267"/>
      <c r="AF173" s="267"/>
      <c r="AG173" s="267"/>
      <c r="AH173" s="267"/>
      <c r="AI173" s="267"/>
      <c r="AJ173" s="267"/>
      <c r="AK173" s="267"/>
      <c r="AL173" s="267"/>
      <c r="AM173" s="267"/>
      <c r="AN173" s="267"/>
      <c r="AO173" s="268"/>
    </row>
    <row r="174" spans="2:41" ht="19.5" customHeight="1" x14ac:dyDescent="0.3">
      <c r="B174" s="469"/>
      <c r="C174" s="469"/>
      <c r="D174" s="469"/>
      <c r="E174" s="466"/>
      <c r="F174" s="466"/>
      <c r="G174" s="466"/>
      <c r="H174" s="466"/>
      <c r="I174" s="466"/>
      <c r="J174" s="254" t="s">
        <v>273</v>
      </c>
      <c r="K174" s="275"/>
      <c r="L174" s="276"/>
      <c r="M174" s="276"/>
      <c r="N174" s="276"/>
      <c r="O174" s="276"/>
      <c r="P174" s="276"/>
      <c r="Q174" s="267"/>
      <c r="R174" s="267"/>
      <c r="S174" s="267"/>
      <c r="T174" s="267"/>
      <c r="U174" s="267"/>
      <c r="V174" s="267"/>
      <c r="W174" s="267"/>
      <c r="X174" s="267"/>
      <c r="Y174" s="267"/>
      <c r="Z174" s="267"/>
      <c r="AA174" s="267"/>
      <c r="AB174" s="267"/>
      <c r="AC174" s="267"/>
      <c r="AD174" s="267"/>
      <c r="AE174" s="267"/>
      <c r="AF174" s="267"/>
      <c r="AG174" s="267"/>
      <c r="AH174" s="267"/>
      <c r="AI174" s="267"/>
      <c r="AJ174" s="267"/>
      <c r="AK174" s="267"/>
      <c r="AL174" s="267"/>
      <c r="AM174" s="267"/>
      <c r="AN174" s="267"/>
      <c r="AO174" s="268"/>
    </row>
    <row r="175" spans="2:41" ht="19.5" customHeight="1" x14ac:dyDescent="0.3">
      <c r="B175" s="467" t="s">
        <v>61</v>
      </c>
      <c r="C175" s="467" t="s">
        <v>185</v>
      </c>
      <c r="D175" s="467" t="s">
        <v>201</v>
      </c>
      <c r="E175" s="464">
        <f>IFERROR(SUM(K175:AO175),)</f>
        <v>0</v>
      </c>
      <c r="F175" s="464">
        <f>IFERROR(SUM(K176:AO176),)</f>
        <v>345</v>
      </c>
      <c r="G175" s="464">
        <f>IFERROR(SUM(K177:AO177),)</f>
        <v>0</v>
      </c>
      <c r="H175" s="464">
        <f>IFERROR(SUM(K178:AO178),)</f>
        <v>0</v>
      </c>
      <c r="I175" s="464">
        <f>IFERROR(SUM(K179:AO179),)</f>
        <v>0</v>
      </c>
      <c r="J175" s="254" t="s">
        <v>271</v>
      </c>
      <c r="K175" s="279"/>
      <c r="L175" s="279"/>
      <c r="M175" s="279"/>
      <c r="N175" s="279"/>
      <c r="O175" s="279"/>
      <c r="P175" s="279"/>
      <c r="Q175" s="279"/>
      <c r="R175" s="279"/>
      <c r="S175" s="279"/>
      <c r="T175" s="279"/>
      <c r="U175" s="279"/>
      <c r="V175" s="279"/>
      <c r="W175" s="279"/>
      <c r="X175" s="279"/>
      <c r="Y175" s="279"/>
      <c r="Z175" s="279"/>
      <c r="AA175" s="279"/>
      <c r="AB175" s="279"/>
      <c r="AC175" s="279"/>
      <c r="AD175" s="279"/>
      <c r="AE175" s="279"/>
      <c r="AF175" s="279"/>
      <c r="AG175" s="279"/>
      <c r="AH175" s="279"/>
      <c r="AI175" s="279"/>
      <c r="AJ175" s="279"/>
      <c r="AK175" s="279"/>
      <c r="AL175" s="279"/>
      <c r="AM175" s="279"/>
      <c r="AN175" s="279"/>
      <c r="AO175" s="285"/>
    </row>
    <row r="176" spans="2:41" ht="19.5" customHeight="1" x14ac:dyDescent="0.3">
      <c r="B176" s="468"/>
      <c r="C176" s="468"/>
      <c r="D176" s="468"/>
      <c r="E176" s="465"/>
      <c r="F176" s="465"/>
      <c r="G176" s="465"/>
      <c r="H176" s="465"/>
      <c r="I176" s="465"/>
      <c r="J176" s="254" t="s">
        <v>324</v>
      </c>
      <c r="K176" s="275"/>
      <c r="L176" s="275"/>
      <c r="M176" s="275"/>
      <c r="N176" s="275">
        <v>120</v>
      </c>
      <c r="O176" s="275">
        <v>225</v>
      </c>
      <c r="P176" s="275"/>
      <c r="Q176" s="275"/>
      <c r="R176" s="275"/>
      <c r="S176" s="275"/>
      <c r="T176" s="275"/>
      <c r="U176" s="275"/>
      <c r="V176" s="275"/>
      <c r="W176" s="275"/>
      <c r="X176" s="275"/>
      <c r="Y176" s="275"/>
      <c r="Z176" s="275"/>
      <c r="AA176" s="275"/>
      <c r="AB176" s="275"/>
      <c r="AC176" s="275"/>
      <c r="AD176" s="275"/>
      <c r="AE176" s="275"/>
      <c r="AF176" s="275"/>
      <c r="AG176" s="275"/>
      <c r="AH176" s="275"/>
      <c r="AI176" s="275"/>
      <c r="AJ176" s="275"/>
      <c r="AK176" s="275"/>
      <c r="AL176" s="275"/>
      <c r="AM176" s="275"/>
      <c r="AN176" s="275"/>
      <c r="AO176" s="286"/>
    </row>
    <row r="177" spans="2:41" ht="19.5" customHeight="1" x14ac:dyDescent="0.3">
      <c r="B177" s="468"/>
      <c r="C177" s="468"/>
      <c r="D177" s="468"/>
      <c r="E177" s="465"/>
      <c r="F177" s="465"/>
      <c r="G177" s="465"/>
      <c r="H177" s="465"/>
      <c r="I177" s="465"/>
      <c r="J177" s="254" t="s">
        <v>326</v>
      </c>
      <c r="K177" s="275"/>
      <c r="L177" s="275"/>
      <c r="M177" s="275"/>
      <c r="N177" s="275"/>
      <c r="O177" s="275"/>
      <c r="P177" s="275"/>
      <c r="Q177" s="275"/>
      <c r="R177" s="275"/>
      <c r="S177" s="275"/>
      <c r="T177" s="275"/>
      <c r="U177" s="275"/>
      <c r="V177" s="275"/>
      <c r="W177" s="275"/>
      <c r="X177" s="275"/>
      <c r="Y177" s="275"/>
      <c r="Z177" s="275"/>
      <c r="AA177" s="275"/>
      <c r="AB177" s="275"/>
      <c r="AC177" s="275"/>
      <c r="AD177" s="275"/>
      <c r="AE177" s="275"/>
      <c r="AF177" s="275"/>
      <c r="AG177" s="275"/>
      <c r="AH177" s="275"/>
      <c r="AI177" s="275"/>
      <c r="AJ177" s="275"/>
      <c r="AK177" s="275"/>
      <c r="AL177" s="275"/>
      <c r="AM177" s="275"/>
      <c r="AN177" s="275"/>
      <c r="AO177" s="286"/>
    </row>
    <row r="178" spans="2:41" ht="19.5" customHeight="1" x14ac:dyDescent="0.3">
      <c r="B178" s="468"/>
      <c r="C178" s="468"/>
      <c r="D178" s="468"/>
      <c r="E178" s="465"/>
      <c r="F178" s="465"/>
      <c r="G178" s="465"/>
      <c r="H178" s="465"/>
      <c r="I178" s="465"/>
      <c r="J178" s="254" t="s">
        <v>116</v>
      </c>
      <c r="K178" s="275"/>
      <c r="L178" s="276"/>
      <c r="M178" s="276"/>
      <c r="N178" s="276"/>
      <c r="O178" s="276"/>
      <c r="P178" s="276"/>
      <c r="Q178" s="267"/>
      <c r="R178" s="267"/>
      <c r="S178" s="267"/>
      <c r="T178" s="267"/>
      <c r="U178" s="267"/>
      <c r="V178" s="267"/>
      <c r="W178" s="267"/>
      <c r="X178" s="267"/>
      <c r="Y178" s="267"/>
      <c r="Z178" s="267"/>
      <c r="AA178" s="267"/>
      <c r="AB178" s="267"/>
      <c r="AC178" s="267"/>
      <c r="AD178" s="267"/>
      <c r="AE178" s="267"/>
      <c r="AF178" s="267"/>
      <c r="AG178" s="267"/>
      <c r="AH178" s="267"/>
      <c r="AI178" s="267"/>
      <c r="AJ178" s="267"/>
      <c r="AK178" s="267"/>
      <c r="AL178" s="267"/>
      <c r="AM178" s="267"/>
      <c r="AN178" s="267"/>
      <c r="AO178" s="268"/>
    </row>
    <row r="179" spans="2:41" ht="19.5" customHeight="1" x14ac:dyDescent="0.3">
      <c r="B179" s="469"/>
      <c r="C179" s="469"/>
      <c r="D179" s="469"/>
      <c r="E179" s="466"/>
      <c r="F179" s="466"/>
      <c r="G179" s="466"/>
      <c r="H179" s="466"/>
      <c r="I179" s="466"/>
      <c r="J179" s="254" t="s">
        <v>273</v>
      </c>
      <c r="K179" s="275"/>
      <c r="L179" s="276"/>
      <c r="M179" s="276"/>
      <c r="N179" s="276"/>
      <c r="O179" s="276"/>
      <c r="P179" s="276"/>
      <c r="Q179" s="267"/>
      <c r="R179" s="267"/>
      <c r="S179" s="267"/>
      <c r="T179" s="267"/>
      <c r="U179" s="267"/>
      <c r="V179" s="267"/>
      <c r="W179" s="267"/>
      <c r="X179" s="267"/>
      <c r="Y179" s="267"/>
      <c r="Z179" s="267"/>
      <c r="AA179" s="267"/>
      <c r="AB179" s="267"/>
      <c r="AC179" s="267"/>
      <c r="AD179" s="267"/>
      <c r="AE179" s="267"/>
      <c r="AF179" s="267"/>
      <c r="AG179" s="267"/>
      <c r="AH179" s="267"/>
      <c r="AI179" s="267"/>
      <c r="AJ179" s="267"/>
      <c r="AK179" s="267"/>
      <c r="AL179" s="267"/>
      <c r="AM179" s="267"/>
      <c r="AN179" s="267"/>
      <c r="AO179" s="268"/>
    </row>
    <row r="180" spans="2:41" ht="19.5" customHeight="1" x14ac:dyDescent="0.3">
      <c r="B180" s="467" t="s">
        <v>62</v>
      </c>
      <c r="C180" s="467" t="s">
        <v>185</v>
      </c>
      <c r="D180" s="467" t="s">
        <v>202</v>
      </c>
      <c r="E180" s="464">
        <f>IFERROR(SUM(K180:AO180),)</f>
        <v>0</v>
      </c>
      <c r="F180" s="464">
        <f>IFERROR(SUM(K181:AO181),)</f>
        <v>0</v>
      </c>
      <c r="G180" s="464">
        <f>IFERROR(SUM(K182:AO182),)</f>
        <v>0</v>
      </c>
      <c r="H180" s="464">
        <f>IFERROR(SUM(K183:AO183),)</f>
        <v>0</v>
      </c>
      <c r="I180" s="464">
        <f>IFERROR(SUM(K184:AO184),)</f>
        <v>0</v>
      </c>
      <c r="J180" s="254" t="s">
        <v>271</v>
      </c>
      <c r="K180" s="279"/>
      <c r="L180" s="279"/>
      <c r="M180" s="279"/>
      <c r="N180" s="279"/>
      <c r="O180" s="279"/>
      <c r="P180" s="279"/>
      <c r="Q180" s="279"/>
      <c r="R180" s="279"/>
      <c r="S180" s="279"/>
      <c r="T180" s="279"/>
      <c r="U180" s="279"/>
      <c r="V180" s="279"/>
      <c r="W180" s="279"/>
      <c r="X180" s="279"/>
      <c r="Y180" s="279"/>
      <c r="Z180" s="279"/>
      <c r="AA180" s="279"/>
      <c r="AB180" s="279"/>
      <c r="AC180" s="279"/>
      <c r="AD180" s="279"/>
      <c r="AE180" s="279"/>
      <c r="AF180" s="279"/>
      <c r="AG180" s="279"/>
      <c r="AH180" s="279"/>
      <c r="AI180" s="279"/>
      <c r="AJ180" s="279"/>
      <c r="AK180" s="279"/>
      <c r="AL180" s="279"/>
      <c r="AM180" s="279"/>
      <c r="AN180" s="279"/>
      <c r="AO180" s="285"/>
    </row>
    <row r="181" spans="2:41" ht="19.5" customHeight="1" x14ac:dyDescent="0.3">
      <c r="B181" s="468"/>
      <c r="C181" s="468"/>
      <c r="D181" s="468"/>
      <c r="E181" s="465"/>
      <c r="F181" s="465"/>
      <c r="G181" s="465"/>
      <c r="H181" s="465"/>
      <c r="I181" s="465"/>
      <c r="J181" s="254" t="s">
        <v>324</v>
      </c>
      <c r="K181" s="275"/>
      <c r="L181" s="275"/>
      <c r="M181" s="275"/>
      <c r="N181" s="275"/>
      <c r="O181" s="275"/>
      <c r="P181" s="275"/>
      <c r="Q181" s="275"/>
      <c r="R181" s="275"/>
      <c r="S181" s="275"/>
      <c r="T181" s="275"/>
      <c r="U181" s="275"/>
      <c r="V181" s="275"/>
      <c r="W181" s="275"/>
      <c r="X181" s="275"/>
      <c r="Y181" s="275"/>
      <c r="Z181" s="275"/>
      <c r="AA181" s="275"/>
      <c r="AB181" s="275"/>
      <c r="AC181" s="275"/>
      <c r="AD181" s="275"/>
      <c r="AE181" s="275"/>
      <c r="AF181" s="275"/>
      <c r="AG181" s="275"/>
      <c r="AH181" s="275"/>
      <c r="AI181" s="275"/>
      <c r="AJ181" s="275"/>
      <c r="AK181" s="275"/>
      <c r="AL181" s="275"/>
      <c r="AM181" s="275"/>
      <c r="AN181" s="275"/>
      <c r="AO181" s="286"/>
    </row>
    <row r="182" spans="2:41" ht="19.5" customHeight="1" x14ac:dyDescent="0.3">
      <c r="B182" s="468"/>
      <c r="C182" s="468"/>
      <c r="D182" s="468"/>
      <c r="E182" s="465"/>
      <c r="F182" s="465"/>
      <c r="G182" s="465"/>
      <c r="H182" s="465"/>
      <c r="I182" s="465"/>
      <c r="J182" s="254" t="s">
        <v>326</v>
      </c>
      <c r="K182" s="275"/>
      <c r="L182" s="275"/>
      <c r="M182" s="275"/>
      <c r="N182" s="275"/>
      <c r="O182" s="275"/>
      <c r="P182" s="275"/>
      <c r="Q182" s="275"/>
      <c r="R182" s="275"/>
      <c r="S182" s="275"/>
      <c r="T182" s="275"/>
      <c r="U182" s="275"/>
      <c r="V182" s="275"/>
      <c r="W182" s="275"/>
      <c r="X182" s="275"/>
      <c r="Y182" s="275"/>
      <c r="Z182" s="275"/>
      <c r="AA182" s="275"/>
      <c r="AB182" s="275"/>
      <c r="AC182" s="275"/>
      <c r="AD182" s="275"/>
      <c r="AE182" s="275"/>
      <c r="AF182" s="275"/>
      <c r="AG182" s="275"/>
      <c r="AH182" s="275"/>
      <c r="AI182" s="275"/>
      <c r="AJ182" s="275"/>
      <c r="AK182" s="275"/>
      <c r="AL182" s="275"/>
      <c r="AM182" s="275"/>
      <c r="AN182" s="275"/>
      <c r="AO182" s="286"/>
    </row>
    <row r="183" spans="2:41" ht="19.5" customHeight="1" x14ac:dyDescent="0.3">
      <c r="B183" s="468"/>
      <c r="C183" s="468"/>
      <c r="D183" s="468"/>
      <c r="E183" s="465"/>
      <c r="F183" s="465"/>
      <c r="G183" s="465"/>
      <c r="H183" s="465"/>
      <c r="I183" s="465"/>
      <c r="J183" s="254" t="s">
        <v>116</v>
      </c>
      <c r="K183" s="275"/>
      <c r="L183" s="276"/>
      <c r="M183" s="276"/>
      <c r="N183" s="276"/>
      <c r="O183" s="276"/>
      <c r="P183" s="276"/>
      <c r="Q183" s="267"/>
      <c r="R183" s="267"/>
      <c r="S183" s="267"/>
      <c r="T183" s="267"/>
      <c r="U183" s="267"/>
      <c r="V183" s="267"/>
      <c r="W183" s="267"/>
      <c r="X183" s="267"/>
      <c r="Y183" s="267"/>
      <c r="Z183" s="267"/>
      <c r="AA183" s="267"/>
      <c r="AB183" s="267"/>
      <c r="AC183" s="267"/>
      <c r="AD183" s="267"/>
      <c r="AE183" s="267"/>
      <c r="AF183" s="267"/>
      <c r="AG183" s="267"/>
      <c r="AH183" s="267"/>
      <c r="AI183" s="267"/>
      <c r="AJ183" s="267"/>
      <c r="AK183" s="267"/>
      <c r="AL183" s="267"/>
      <c r="AM183" s="267"/>
      <c r="AN183" s="267"/>
      <c r="AO183" s="268"/>
    </row>
    <row r="184" spans="2:41" ht="19.5" customHeight="1" x14ac:dyDescent="0.3">
      <c r="B184" s="469"/>
      <c r="C184" s="469"/>
      <c r="D184" s="469"/>
      <c r="E184" s="466"/>
      <c r="F184" s="466"/>
      <c r="G184" s="466"/>
      <c r="H184" s="466"/>
      <c r="I184" s="466"/>
      <c r="J184" s="254" t="s">
        <v>273</v>
      </c>
      <c r="K184" s="275"/>
      <c r="L184" s="276"/>
      <c r="M184" s="276"/>
      <c r="N184" s="276"/>
      <c r="O184" s="276"/>
      <c r="P184" s="276"/>
      <c r="Q184" s="267"/>
      <c r="R184" s="267"/>
      <c r="S184" s="267"/>
      <c r="T184" s="267"/>
      <c r="U184" s="267"/>
      <c r="V184" s="267"/>
      <c r="W184" s="267"/>
      <c r="X184" s="267"/>
      <c r="Y184" s="267"/>
      <c r="Z184" s="267"/>
      <c r="AA184" s="267"/>
      <c r="AB184" s="267"/>
      <c r="AC184" s="267"/>
      <c r="AD184" s="267"/>
      <c r="AE184" s="267"/>
      <c r="AF184" s="267"/>
      <c r="AG184" s="267"/>
      <c r="AH184" s="267"/>
      <c r="AI184" s="267"/>
      <c r="AJ184" s="267"/>
      <c r="AK184" s="267"/>
      <c r="AL184" s="267"/>
      <c r="AM184" s="267"/>
      <c r="AN184" s="267"/>
      <c r="AO184" s="268"/>
    </row>
    <row r="185" spans="2:41" ht="19.5" customHeight="1" x14ac:dyDescent="0.3">
      <c r="B185" s="467" t="s">
        <v>63</v>
      </c>
      <c r="C185" s="467" t="s">
        <v>185</v>
      </c>
      <c r="D185" s="467" t="s">
        <v>203</v>
      </c>
      <c r="E185" s="464">
        <f>IFERROR(SUM(K185:AO185),)</f>
        <v>0</v>
      </c>
      <c r="F185" s="464">
        <f>IFERROR(SUM(K186:AO186),)</f>
        <v>0</v>
      </c>
      <c r="G185" s="464">
        <f>IFERROR(SUM(K187:AO187),)</f>
        <v>0</v>
      </c>
      <c r="H185" s="464">
        <f>IFERROR(SUM(K188:AO188),)</f>
        <v>0</v>
      </c>
      <c r="I185" s="464">
        <f>IFERROR(SUM(K189:AO189),)</f>
        <v>0</v>
      </c>
      <c r="J185" s="254" t="s">
        <v>271</v>
      </c>
      <c r="K185" s="279"/>
      <c r="L185" s="279"/>
      <c r="M185" s="279"/>
      <c r="N185" s="279"/>
      <c r="O185" s="279"/>
      <c r="P185" s="279"/>
      <c r="Q185" s="279"/>
      <c r="R185" s="279"/>
      <c r="S185" s="279"/>
      <c r="T185" s="279"/>
      <c r="U185" s="279"/>
      <c r="V185" s="279"/>
      <c r="W185" s="279"/>
      <c r="X185" s="279"/>
      <c r="Y185" s="279"/>
      <c r="Z185" s="279"/>
      <c r="AA185" s="279"/>
      <c r="AB185" s="279"/>
      <c r="AC185" s="279"/>
      <c r="AD185" s="279"/>
      <c r="AE185" s="279"/>
      <c r="AF185" s="279"/>
      <c r="AG185" s="279"/>
      <c r="AH185" s="279"/>
      <c r="AI185" s="279"/>
      <c r="AJ185" s="279"/>
      <c r="AK185" s="279"/>
      <c r="AL185" s="279"/>
      <c r="AM185" s="279"/>
      <c r="AN185" s="279"/>
      <c r="AO185" s="285"/>
    </row>
    <row r="186" spans="2:41" ht="19.5" customHeight="1" x14ac:dyDescent="0.3">
      <c r="B186" s="468"/>
      <c r="C186" s="468"/>
      <c r="D186" s="468"/>
      <c r="E186" s="465"/>
      <c r="F186" s="465"/>
      <c r="G186" s="465"/>
      <c r="H186" s="465"/>
      <c r="I186" s="465"/>
      <c r="J186" s="254" t="s">
        <v>324</v>
      </c>
      <c r="K186" s="275"/>
      <c r="L186" s="275"/>
      <c r="M186" s="275"/>
      <c r="N186" s="275"/>
      <c r="O186" s="275"/>
      <c r="P186" s="275"/>
      <c r="Q186" s="275"/>
      <c r="R186" s="275"/>
      <c r="S186" s="275"/>
      <c r="T186" s="275"/>
      <c r="U186" s="275"/>
      <c r="V186" s="275"/>
      <c r="W186" s="275"/>
      <c r="X186" s="275"/>
      <c r="Y186" s="275"/>
      <c r="Z186" s="275"/>
      <c r="AA186" s="275"/>
      <c r="AB186" s="275"/>
      <c r="AC186" s="275"/>
      <c r="AD186" s="275"/>
      <c r="AE186" s="275"/>
      <c r="AF186" s="275"/>
      <c r="AG186" s="275"/>
      <c r="AH186" s="275"/>
      <c r="AI186" s="275"/>
      <c r="AJ186" s="275"/>
      <c r="AK186" s="275"/>
      <c r="AL186" s="275"/>
      <c r="AM186" s="275"/>
      <c r="AN186" s="275"/>
      <c r="AO186" s="286"/>
    </row>
    <row r="187" spans="2:41" ht="19.5" customHeight="1" x14ac:dyDescent="0.3">
      <c r="B187" s="468"/>
      <c r="C187" s="468"/>
      <c r="D187" s="468"/>
      <c r="E187" s="465"/>
      <c r="F187" s="465"/>
      <c r="G187" s="465"/>
      <c r="H187" s="465"/>
      <c r="I187" s="465"/>
      <c r="J187" s="254" t="s">
        <v>326</v>
      </c>
      <c r="K187" s="275"/>
      <c r="L187" s="275"/>
      <c r="M187" s="275"/>
      <c r="N187" s="275"/>
      <c r="O187" s="275"/>
      <c r="P187" s="275"/>
      <c r="Q187" s="275"/>
      <c r="R187" s="275"/>
      <c r="S187" s="275"/>
      <c r="T187" s="275"/>
      <c r="U187" s="275"/>
      <c r="V187" s="275"/>
      <c r="W187" s="275"/>
      <c r="X187" s="275"/>
      <c r="Y187" s="275"/>
      <c r="Z187" s="275"/>
      <c r="AA187" s="275"/>
      <c r="AB187" s="275"/>
      <c r="AC187" s="275"/>
      <c r="AD187" s="275"/>
      <c r="AE187" s="275"/>
      <c r="AF187" s="275"/>
      <c r="AG187" s="275"/>
      <c r="AH187" s="275"/>
      <c r="AI187" s="275"/>
      <c r="AJ187" s="275"/>
      <c r="AK187" s="275"/>
      <c r="AL187" s="275"/>
      <c r="AM187" s="275"/>
      <c r="AN187" s="275"/>
      <c r="AO187" s="286"/>
    </row>
    <row r="188" spans="2:41" ht="19.5" customHeight="1" x14ac:dyDescent="0.3">
      <c r="B188" s="468"/>
      <c r="C188" s="468"/>
      <c r="D188" s="468"/>
      <c r="E188" s="465"/>
      <c r="F188" s="465"/>
      <c r="G188" s="465"/>
      <c r="H188" s="465"/>
      <c r="I188" s="465"/>
      <c r="J188" s="254" t="s">
        <v>116</v>
      </c>
      <c r="K188" s="275"/>
      <c r="L188" s="276"/>
      <c r="M188" s="276"/>
      <c r="N188" s="276"/>
      <c r="O188" s="276"/>
      <c r="P188" s="276"/>
      <c r="Q188" s="267"/>
      <c r="R188" s="267"/>
      <c r="S188" s="267"/>
      <c r="T188" s="267"/>
      <c r="U188" s="267"/>
      <c r="V188" s="267"/>
      <c r="W188" s="267"/>
      <c r="X188" s="267"/>
      <c r="Y188" s="267"/>
      <c r="Z188" s="267"/>
      <c r="AA188" s="267"/>
      <c r="AB188" s="267"/>
      <c r="AC188" s="267"/>
      <c r="AD188" s="267"/>
      <c r="AE188" s="267"/>
      <c r="AF188" s="267"/>
      <c r="AG188" s="267"/>
      <c r="AH188" s="267"/>
      <c r="AI188" s="267"/>
      <c r="AJ188" s="267"/>
      <c r="AK188" s="267"/>
      <c r="AL188" s="267"/>
      <c r="AM188" s="267"/>
      <c r="AN188" s="267"/>
      <c r="AO188" s="268"/>
    </row>
    <row r="189" spans="2:41" ht="19.5" customHeight="1" x14ac:dyDescent="0.3">
      <c r="B189" s="469"/>
      <c r="C189" s="469"/>
      <c r="D189" s="469"/>
      <c r="E189" s="466"/>
      <c r="F189" s="466"/>
      <c r="G189" s="466"/>
      <c r="H189" s="466"/>
      <c r="I189" s="466"/>
      <c r="J189" s="254" t="s">
        <v>273</v>
      </c>
      <c r="K189" s="275"/>
      <c r="L189" s="276"/>
      <c r="M189" s="276"/>
      <c r="N189" s="276"/>
      <c r="O189" s="276"/>
      <c r="P189" s="276"/>
      <c r="Q189" s="267"/>
      <c r="R189" s="267"/>
      <c r="S189" s="267"/>
      <c r="T189" s="267"/>
      <c r="U189" s="267"/>
      <c r="V189" s="267"/>
      <c r="W189" s="267"/>
      <c r="X189" s="267"/>
      <c r="Y189" s="267"/>
      <c r="Z189" s="267"/>
      <c r="AA189" s="267"/>
      <c r="AB189" s="267"/>
      <c r="AC189" s="267"/>
      <c r="AD189" s="267"/>
      <c r="AE189" s="267"/>
      <c r="AF189" s="267"/>
      <c r="AG189" s="267"/>
      <c r="AH189" s="267"/>
      <c r="AI189" s="267"/>
      <c r="AJ189" s="267"/>
      <c r="AK189" s="267"/>
      <c r="AL189" s="267"/>
      <c r="AM189" s="267"/>
      <c r="AN189" s="267"/>
      <c r="AO189" s="268"/>
    </row>
    <row r="190" spans="2:41" ht="19.5" customHeight="1" x14ac:dyDescent="0.3">
      <c r="B190" s="467" t="s">
        <v>64</v>
      </c>
      <c r="C190" s="467" t="s">
        <v>185</v>
      </c>
      <c r="D190" s="467" t="s">
        <v>204</v>
      </c>
      <c r="E190" s="464">
        <f>IFERROR(SUM(K190:AO190),)</f>
        <v>0</v>
      </c>
      <c r="F190" s="464">
        <f>IFERROR(SUM(K191:AO191),)</f>
        <v>0</v>
      </c>
      <c r="G190" s="464">
        <f>IFERROR(SUM(K192:AO192),)</f>
        <v>0</v>
      </c>
      <c r="H190" s="464">
        <f>IFERROR(SUM(K193:AO193),)</f>
        <v>0</v>
      </c>
      <c r="I190" s="464">
        <f>IFERROR(SUM(K194:AO194),)</f>
        <v>0</v>
      </c>
      <c r="J190" s="254" t="s">
        <v>271</v>
      </c>
      <c r="K190" s="279"/>
      <c r="L190" s="279"/>
      <c r="M190" s="279"/>
      <c r="N190" s="279"/>
      <c r="O190" s="279"/>
      <c r="P190" s="279"/>
      <c r="Q190" s="279"/>
      <c r="R190" s="279"/>
      <c r="S190" s="279"/>
      <c r="T190" s="279"/>
      <c r="U190" s="279"/>
      <c r="V190" s="279"/>
      <c r="W190" s="279"/>
      <c r="X190" s="279"/>
      <c r="Y190" s="279"/>
      <c r="Z190" s="279"/>
      <c r="AA190" s="279"/>
      <c r="AB190" s="279"/>
      <c r="AC190" s="279"/>
      <c r="AD190" s="279"/>
      <c r="AE190" s="279"/>
      <c r="AF190" s="279"/>
      <c r="AG190" s="279"/>
      <c r="AH190" s="279"/>
      <c r="AI190" s="279"/>
      <c r="AJ190" s="279"/>
      <c r="AK190" s="279"/>
      <c r="AL190" s="279"/>
      <c r="AM190" s="279"/>
      <c r="AN190" s="279"/>
      <c r="AO190" s="285"/>
    </row>
    <row r="191" spans="2:41" ht="19.5" customHeight="1" x14ac:dyDescent="0.3">
      <c r="B191" s="468"/>
      <c r="C191" s="468"/>
      <c r="D191" s="468"/>
      <c r="E191" s="465"/>
      <c r="F191" s="465"/>
      <c r="G191" s="465"/>
      <c r="H191" s="465"/>
      <c r="I191" s="465"/>
      <c r="J191" s="254" t="s">
        <v>324</v>
      </c>
      <c r="K191" s="275"/>
      <c r="L191" s="275"/>
      <c r="M191" s="275"/>
      <c r="N191" s="275"/>
      <c r="O191" s="275"/>
      <c r="P191" s="275"/>
      <c r="Q191" s="275"/>
      <c r="R191" s="275"/>
      <c r="S191" s="275"/>
      <c r="T191" s="275"/>
      <c r="U191" s="275"/>
      <c r="V191" s="275"/>
      <c r="W191" s="275"/>
      <c r="X191" s="275"/>
      <c r="Y191" s="275"/>
      <c r="Z191" s="275"/>
      <c r="AA191" s="275"/>
      <c r="AB191" s="275"/>
      <c r="AC191" s="275"/>
      <c r="AD191" s="275"/>
      <c r="AE191" s="275"/>
      <c r="AF191" s="275"/>
      <c r="AG191" s="275"/>
      <c r="AH191" s="275"/>
      <c r="AI191" s="275"/>
      <c r="AJ191" s="275"/>
      <c r="AK191" s="275"/>
      <c r="AL191" s="275"/>
      <c r="AM191" s="275"/>
      <c r="AN191" s="275"/>
      <c r="AO191" s="286"/>
    </row>
    <row r="192" spans="2:41" ht="19.5" customHeight="1" x14ac:dyDescent="0.3">
      <c r="B192" s="468"/>
      <c r="C192" s="468"/>
      <c r="D192" s="468"/>
      <c r="E192" s="465"/>
      <c r="F192" s="465"/>
      <c r="G192" s="465"/>
      <c r="H192" s="465"/>
      <c r="I192" s="465"/>
      <c r="J192" s="254" t="s">
        <v>326</v>
      </c>
      <c r="K192" s="275"/>
      <c r="L192" s="275"/>
      <c r="M192" s="275"/>
      <c r="N192" s="275"/>
      <c r="O192" s="275"/>
      <c r="P192" s="275"/>
      <c r="Q192" s="275"/>
      <c r="R192" s="275"/>
      <c r="S192" s="275"/>
      <c r="T192" s="275"/>
      <c r="U192" s="275"/>
      <c r="V192" s="275"/>
      <c r="W192" s="275"/>
      <c r="X192" s="275"/>
      <c r="Y192" s="275"/>
      <c r="Z192" s="275"/>
      <c r="AA192" s="275"/>
      <c r="AB192" s="275"/>
      <c r="AC192" s="275"/>
      <c r="AD192" s="275"/>
      <c r="AE192" s="275"/>
      <c r="AF192" s="275"/>
      <c r="AG192" s="275"/>
      <c r="AH192" s="275"/>
      <c r="AI192" s="275"/>
      <c r="AJ192" s="275"/>
      <c r="AK192" s="275"/>
      <c r="AL192" s="275"/>
      <c r="AM192" s="275"/>
      <c r="AN192" s="275"/>
      <c r="AO192" s="286"/>
    </row>
    <row r="193" spans="2:41" ht="19.5" customHeight="1" x14ac:dyDescent="0.3">
      <c r="B193" s="468"/>
      <c r="C193" s="468"/>
      <c r="D193" s="468"/>
      <c r="E193" s="465"/>
      <c r="F193" s="465"/>
      <c r="G193" s="465"/>
      <c r="H193" s="465"/>
      <c r="I193" s="465"/>
      <c r="J193" s="254" t="s">
        <v>116</v>
      </c>
      <c r="K193" s="275"/>
      <c r="L193" s="276"/>
      <c r="M193" s="276"/>
      <c r="N193" s="276"/>
      <c r="O193" s="276"/>
      <c r="P193" s="276"/>
      <c r="Q193" s="267"/>
      <c r="R193" s="267"/>
      <c r="S193" s="267"/>
      <c r="T193" s="267"/>
      <c r="U193" s="267"/>
      <c r="V193" s="267"/>
      <c r="W193" s="267"/>
      <c r="X193" s="267"/>
      <c r="Y193" s="267"/>
      <c r="Z193" s="267"/>
      <c r="AA193" s="267"/>
      <c r="AB193" s="267"/>
      <c r="AC193" s="267"/>
      <c r="AD193" s="267"/>
      <c r="AE193" s="267"/>
      <c r="AF193" s="267"/>
      <c r="AG193" s="267"/>
      <c r="AH193" s="267"/>
      <c r="AI193" s="267"/>
      <c r="AJ193" s="267"/>
      <c r="AK193" s="267"/>
      <c r="AL193" s="267"/>
      <c r="AM193" s="267"/>
      <c r="AN193" s="267"/>
      <c r="AO193" s="268"/>
    </row>
    <row r="194" spans="2:41" ht="19.5" customHeight="1" x14ac:dyDescent="0.3">
      <c r="B194" s="469"/>
      <c r="C194" s="469"/>
      <c r="D194" s="469"/>
      <c r="E194" s="466"/>
      <c r="F194" s="466"/>
      <c r="G194" s="466"/>
      <c r="H194" s="466"/>
      <c r="I194" s="466"/>
      <c r="J194" s="254" t="s">
        <v>273</v>
      </c>
      <c r="K194" s="275"/>
      <c r="L194" s="276"/>
      <c r="M194" s="276"/>
      <c r="N194" s="276"/>
      <c r="O194" s="276"/>
      <c r="P194" s="276"/>
      <c r="Q194" s="267"/>
      <c r="R194" s="267"/>
      <c r="S194" s="267"/>
      <c r="T194" s="267"/>
      <c r="U194" s="267"/>
      <c r="V194" s="267"/>
      <c r="W194" s="267"/>
      <c r="X194" s="267"/>
      <c r="Y194" s="267"/>
      <c r="Z194" s="267"/>
      <c r="AA194" s="267"/>
      <c r="AB194" s="267"/>
      <c r="AC194" s="267"/>
      <c r="AD194" s="267"/>
      <c r="AE194" s="267"/>
      <c r="AF194" s="267"/>
      <c r="AG194" s="267"/>
      <c r="AH194" s="267"/>
      <c r="AI194" s="267"/>
      <c r="AJ194" s="267"/>
      <c r="AK194" s="267"/>
      <c r="AL194" s="267"/>
      <c r="AM194" s="267"/>
      <c r="AN194" s="267"/>
      <c r="AO194" s="268"/>
    </row>
    <row r="195" spans="2:41" ht="19.5" customHeight="1" x14ac:dyDescent="0.3">
      <c r="B195" s="467" t="s">
        <v>65</v>
      </c>
      <c r="C195" s="467" t="s">
        <v>185</v>
      </c>
      <c r="D195" s="467" t="s">
        <v>205</v>
      </c>
      <c r="E195" s="464">
        <f>IFERROR(SUM(K195:AO195),)</f>
        <v>0</v>
      </c>
      <c r="F195" s="464">
        <f>IFERROR(SUM(K196:AO196),)</f>
        <v>439</v>
      </c>
      <c r="G195" s="464">
        <f>IFERROR(SUM(K197:AO197),)</f>
        <v>0</v>
      </c>
      <c r="H195" s="464">
        <f>IFERROR(SUM(K198:AO198),)</f>
        <v>0</v>
      </c>
      <c r="I195" s="464">
        <f>IFERROR(SUM(K199:AO199),)</f>
        <v>0</v>
      </c>
      <c r="J195" s="254" t="s">
        <v>271</v>
      </c>
      <c r="K195" s="279"/>
      <c r="L195" s="279"/>
      <c r="M195" s="279"/>
      <c r="N195" s="279"/>
      <c r="O195" s="279"/>
      <c r="P195" s="279"/>
      <c r="Q195" s="279"/>
      <c r="R195" s="279"/>
      <c r="S195" s="279"/>
      <c r="T195" s="279"/>
      <c r="U195" s="279"/>
      <c r="V195" s="279"/>
      <c r="W195" s="279"/>
      <c r="X195" s="279"/>
      <c r="Y195" s="279"/>
      <c r="Z195" s="279"/>
      <c r="AA195" s="279"/>
      <c r="AB195" s="279"/>
      <c r="AC195" s="279"/>
      <c r="AD195" s="279"/>
      <c r="AE195" s="279"/>
      <c r="AF195" s="279"/>
      <c r="AG195" s="279"/>
      <c r="AH195" s="279"/>
      <c r="AI195" s="279"/>
      <c r="AJ195" s="279"/>
      <c r="AK195" s="279"/>
      <c r="AL195" s="279"/>
      <c r="AM195" s="279"/>
      <c r="AN195" s="279"/>
      <c r="AO195" s="285"/>
    </row>
    <row r="196" spans="2:41" ht="19.5" customHeight="1" x14ac:dyDescent="0.3">
      <c r="B196" s="468"/>
      <c r="C196" s="468"/>
      <c r="D196" s="468"/>
      <c r="E196" s="465"/>
      <c r="F196" s="465"/>
      <c r="G196" s="465"/>
      <c r="H196" s="465"/>
      <c r="I196" s="465"/>
      <c r="J196" s="254" t="s">
        <v>324</v>
      </c>
      <c r="K196" s="275"/>
      <c r="L196" s="275"/>
      <c r="M196" s="275"/>
      <c r="N196" s="275">
        <v>439</v>
      </c>
      <c r="O196" s="275"/>
      <c r="P196" s="275"/>
      <c r="Q196" s="275"/>
      <c r="R196" s="275"/>
      <c r="S196" s="275"/>
      <c r="T196" s="275"/>
      <c r="U196" s="275"/>
      <c r="V196" s="275"/>
      <c r="W196" s="275"/>
      <c r="X196" s="275"/>
      <c r="Y196" s="275"/>
      <c r="Z196" s="275"/>
      <c r="AA196" s="275"/>
      <c r="AB196" s="275"/>
      <c r="AC196" s="275"/>
      <c r="AD196" s="275"/>
      <c r="AE196" s="275"/>
      <c r="AF196" s="275"/>
      <c r="AG196" s="275"/>
      <c r="AH196" s="275"/>
      <c r="AI196" s="275"/>
      <c r="AJ196" s="275"/>
      <c r="AK196" s="275"/>
      <c r="AL196" s="275"/>
      <c r="AM196" s="275"/>
      <c r="AN196" s="275"/>
      <c r="AO196" s="286"/>
    </row>
    <row r="197" spans="2:41" ht="19.5" customHeight="1" x14ac:dyDescent="0.3">
      <c r="B197" s="468"/>
      <c r="C197" s="468"/>
      <c r="D197" s="468"/>
      <c r="E197" s="465"/>
      <c r="F197" s="465"/>
      <c r="G197" s="465"/>
      <c r="H197" s="465"/>
      <c r="I197" s="465"/>
      <c r="J197" s="254" t="s">
        <v>326</v>
      </c>
      <c r="K197" s="275"/>
      <c r="L197" s="275"/>
      <c r="M197" s="275"/>
      <c r="N197" s="275"/>
      <c r="O197" s="275"/>
      <c r="P197" s="275"/>
      <c r="Q197" s="275"/>
      <c r="R197" s="275"/>
      <c r="S197" s="275"/>
      <c r="T197" s="275"/>
      <c r="U197" s="275"/>
      <c r="V197" s="275"/>
      <c r="W197" s="275"/>
      <c r="X197" s="275"/>
      <c r="Y197" s="275"/>
      <c r="Z197" s="275"/>
      <c r="AA197" s="275"/>
      <c r="AB197" s="275"/>
      <c r="AC197" s="275"/>
      <c r="AD197" s="275"/>
      <c r="AE197" s="275"/>
      <c r="AF197" s="275"/>
      <c r="AG197" s="275"/>
      <c r="AH197" s="275"/>
      <c r="AI197" s="275"/>
      <c r="AJ197" s="275"/>
      <c r="AK197" s="275"/>
      <c r="AL197" s="275"/>
      <c r="AM197" s="275"/>
      <c r="AN197" s="275"/>
      <c r="AO197" s="286"/>
    </row>
    <row r="198" spans="2:41" ht="19.5" customHeight="1" x14ac:dyDescent="0.3">
      <c r="B198" s="468"/>
      <c r="C198" s="468"/>
      <c r="D198" s="468"/>
      <c r="E198" s="465"/>
      <c r="F198" s="465"/>
      <c r="G198" s="465"/>
      <c r="H198" s="465"/>
      <c r="I198" s="465"/>
      <c r="J198" s="254" t="s">
        <v>116</v>
      </c>
      <c r="K198" s="275"/>
      <c r="L198" s="276"/>
      <c r="M198" s="276"/>
      <c r="N198" s="276"/>
      <c r="O198" s="276"/>
      <c r="P198" s="276"/>
      <c r="Q198" s="267"/>
      <c r="R198" s="267"/>
      <c r="S198" s="267"/>
      <c r="T198" s="267"/>
      <c r="U198" s="267"/>
      <c r="V198" s="267"/>
      <c r="W198" s="267"/>
      <c r="X198" s="267"/>
      <c r="Y198" s="267"/>
      <c r="Z198" s="267"/>
      <c r="AA198" s="267"/>
      <c r="AB198" s="267"/>
      <c r="AC198" s="267"/>
      <c r="AD198" s="267"/>
      <c r="AE198" s="267"/>
      <c r="AF198" s="267"/>
      <c r="AG198" s="267"/>
      <c r="AH198" s="267"/>
      <c r="AI198" s="267"/>
      <c r="AJ198" s="267"/>
      <c r="AK198" s="267"/>
      <c r="AL198" s="267"/>
      <c r="AM198" s="267"/>
      <c r="AN198" s="267"/>
      <c r="AO198" s="268"/>
    </row>
    <row r="199" spans="2:41" ht="19.5" customHeight="1" x14ac:dyDescent="0.3">
      <c r="B199" s="469"/>
      <c r="C199" s="469"/>
      <c r="D199" s="469"/>
      <c r="E199" s="466"/>
      <c r="F199" s="466"/>
      <c r="G199" s="466"/>
      <c r="H199" s="466"/>
      <c r="I199" s="466"/>
      <c r="J199" s="254" t="s">
        <v>273</v>
      </c>
      <c r="K199" s="275"/>
      <c r="L199" s="276"/>
      <c r="M199" s="276"/>
      <c r="N199" s="276"/>
      <c r="O199" s="276"/>
      <c r="P199" s="276"/>
      <c r="Q199" s="267"/>
      <c r="R199" s="267"/>
      <c r="S199" s="267"/>
      <c r="T199" s="267"/>
      <c r="U199" s="267"/>
      <c r="V199" s="267"/>
      <c r="W199" s="267"/>
      <c r="X199" s="267"/>
      <c r="Y199" s="267"/>
      <c r="Z199" s="267"/>
      <c r="AA199" s="267"/>
      <c r="AB199" s="267"/>
      <c r="AC199" s="267"/>
      <c r="AD199" s="267"/>
      <c r="AE199" s="267"/>
      <c r="AF199" s="267"/>
      <c r="AG199" s="267"/>
      <c r="AH199" s="267"/>
      <c r="AI199" s="267"/>
      <c r="AJ199" s="267"/>
      <c r="AK199" s="267"/>
      <c r="AL199" s="267"/>
      <c r="AM199" s="267"/>
      <c r="AN199" s="267"/>
      <c r="AO199" s="268"/>
    </row>
    <row r="200" spans="2:41" ht="19.5" customHeight="1" x14ac:dyDescent="0.3">
      <c r="B200" s="467" t="s">
        <v>66</v>
      </c>
      <c r="C200" s="467" t="s">
        <v>185</v>
      </c>
      <c r="D200" s="467" t="s">
        <v>206</v>
      </c>
      <c r="E200" s="464">
        <f>IFERROR(SUM(K200:AO200),)</f>
        <v>0</v>
      </c>
      <c r="F200" s="464">
        <f>IFERROR(SUM(K201:AO201),)</f>
        <v>0</v>
      </c>
      <c r="G200" s="464">
        <f>IFERROR(SUM(K202:AO202),)</f>
        <v>0</v>
      </c>
      <c r="H200" s="464">
        <f>IFERROR(SUM(K203:AO203),)</f>
        <v>0</v>
      </c>
      <c r="I200" s="464">
        <f>IFERROR(SUM(K204:AO204),)</f>
        <v>0</v>
      </c>
      <c r="J200" s="254" t="s">
        <v>271</v>
      </c>
      <c r="K200" s="279"/>
      <c r="L200" s="279"/>
      <c r="M200" s="279"/>
      <c r="N200" s="279"/>
      <c r="O200" s="279"/>
      <c r="P200" s="279"/>
      <c r="Q200" s="279"/>
      <c r="R200" s="279"/>
      <c r="S200" s="279"/>
      <c r="T200" s="279"/>
      <c r="U200" s="279"/>
      <c r="V200" s="279"/>
      <c r="W200" s="279"/>
      <c r="X200" s="279"/>
      <c r="Y200" s="279"/>
      <c r="Z200" s="279"/>
      <c r="AA200" s="279"/>
      <c r="AB200" s="279"/>
      <c r="AC200" s="279"/>
      <c r="AD200" s="279"/>
      <c r="AE200" s="279"/>
      <c r="AF200" s="279"/>
      <c r="AG200" s="279"/>
      <c r="AH200" s="279"/>
      <c r="AI200" s="279"/>
      <c r="AJ200" s="279"/>
      <c r="AK200" s="279"/>
      <c r="AL200" s="279"/>
      <c r="AM200" s="279"/>
      <c r="AN200" s="279"/>
      <c r="AO200" s="285"/>
    </row>
    <row r="201" spans="2:41" ht="19.5" customHeight="1" x14ac:dyDescent="0.3">
      <c r="B201" s="468"/>
      <c r="C201" s="468"/>
      <c r="D201" s="468"/>
      <c r="E201" s="465"/>
      <c r="F201" s="465"/>
      <c r="G201" s="465"/>
      <c r="H201" s="465"/>
      <c r="I201" s="465"/>
      <c r="J201" s="254" t="s">
        <v>324</v>
      </c>
      <c r="K201" s="275"/>
      <c r="L201" s="275"/>
      <c r="M201" s="275"/>
      <c r="N201" s="275"/>
      <c r="O201" s="275"/>
      <c r="P201" s="275"/>
      <c r="Q201" s="275"/>
      <c r="R201" s="275"/>
      <c r="S201" s="275"/>
      <c r="T201" s="275"/>
      <c r="U201" s="275"/>
      <c r="V201" s="275"/>
      <c r="W201" s="275"/>
      <c r="X201" s="275"/>
      <c r="Y201" s="275"/>
      <c r="Z201" s="275"/>
      <c r="AA201" s="275"/>
      <c r="AB201" s="275"/>
      <c r="AC201" s="275"/>
      <c r="AD201" s="275"/>
      <c r="AE201" s="275"/>
      <c r="AF201" s="275"/>
      <c r="AG201" s="275"/>
      <c r="AH201" s="275"/>
      <c r="AI201" s="275"/>
      <c r="AJ201" s="275"/>
      <c r="AK201" s="275"/>
      <c r="AL201" s="275"/>
      <c r="AM201" s="275"/>
      <c r="AN201" s="275"/>
      <c r="AO201" s="286"/>
    </row>
    <row r="202" spans="2:41" ht="19.5" customHeight="1" x14ac:dyDescent="0.3">
      <c r="B202" s="468"/>
      <c r="C202" s="468"/>
      <c r="D202" s="468"/>
      <c r="E202" s="465"/>
      <c r="F202" s="465"/>
      <c r="G202" s="465"/>
      <c r="H202" s="465"/>
      <c r="I202" s="465"/>
      <c r="J202" s="254" t="s">
        <v>326</v>
      </c>
      <c r="K202" s="275"/>
      <c r="L202" s="275"/>
      <c r="M202" s="275"/>
      <c r="N202" s="275"/>
      <c r="O202" s="275"/>
      <c r="P202" s="275"/>
      <c r="Q202" s="275"/>
      <c r="R202" s="275"/>
      <c r="S202" s="275"/>
      <c r="T202" s="275"/>
      <c r="U202" s="275"/>
      <c r="V202" s="275"/>
      <c r="W202" s="275"/>
      <c r="X202" s="275"/>
      <c r="Y202" s="275"/>
      <c r="Z202" s="275"/>
      <c r="AA202" s="275"/>
      <c r="AB202" s="275"/>
      <c r="AC202" s="275"/>
      <c r="AD202" s="275"/>
      <c r="AE202" s="275"/>
      <c r="AF202" s="275"/>
      <c r="AG202" s="275"/>
      <c r="AH202" s="275"/>
      <c r="AI202" s="275"/>
      <c r="AJ202" s="275"/>
      <c r="AK202" s="275"/>
      <c r="AL202" s="275"/>
      <c r="AM202" s="275"/>
      <c r="AN202" s="275"/>
      <c r="AO202" s="286"/>
    </row>
    <row r="203" spans="2:41" ht="19.5" customHeight="1" x14ac:dyDescent="0.3">
      <c r="B203" s="468"/>
      <c r="C203" s="468"/>
      <c r="D203" s="468"/>
      <c r="E203" s="465"/>
      <c r="F203" s="465"/>
      <c r="G203" s="465"/>
      <c r="H203" s="465"/>
      <c r="I203" s="465"/>
      <c r="J203" s="254" t="s">
        <v>116</v>
      </c>
      <c r="K203" s="275"/>
      <c r="L203" s="276"/>
      <c r="M203" s="276"/>
      <c r="N203" s="276"/>
      <c r="O203" s="276"/>
      <c r="P203" s="276"/>
      <c r="Q203" s="267"/>
      <c r="R203" s="267"/>
      <c r="S203" s="267"/>
      <c r="T203" s="267"/>
      <c r="U203" s="267"/>
      <c r="V203" s="267"/>
      <c r="W203" s="267"/>
      <c r="X203" s="267"/>
      <c r="Y203" s="267"/>
      <c r="Z203" s="267"/>
      <c r="AA203" s="267"/>
      <c r="AB203" s="267"/>
      <c r="AC203" s="267"/>
      <c r="AD203" s="267"/>
      <c r="AE203" s="267"/>
      <c r="AF203" s="267"/>
      <c r="AG203" s="267"/>
      <c r="AH203" s="267"/>
      <c r="AI203" s="267"/>
      <c r="AJ203" s="267"/>
      <c r="AK203" s="267"/>
      <c r="AL203" s="267"/>
      <c r="AM203" s="267"/>
      <c r="AN203" s="267"/>
      <c r="AO203" s="268"/>
    </row>
    <row r="204" spans="2:41" ht="19.5" customHeight="1" x14ac:dyDescent="0.3">
      <c r="B204" s="469"/>
      <c r="C204" s="469"/>
      <c r="D204" s="469"/>
      <c r="E204" s="466"/>
      <c r="F204" s="466"/>
      <c r="G204" s="466"/>
      <c r="H204" s="466"/>
      <c r="I204" s="466"/>
      <c r="J204" s="254" t="s">
        <v>273</v>
      </c>
      <c r="K204" s="275"/>
      <c r="L204" s="276"/>
      <c r="M204" s="276"/>
      <c r="N204" s="276"/>
      <c r="O204" s="276"/>
      <c r="P204" s="276"/>
      <c r="Q204" s="267"/>
      <c r="R204" s="267"/>
      <c r="S204" s="267"/>
      <c r="T204" s="267"/>
      <c r="U204" s="267"/>
      <c r="V204" s="267"/>
      <c r="W204" s="267"/>
      <c r="X204" s="267"/>
      <c r="Y204" s="267"/>
      <c r="Z204" s="267"/>
      <c r="AA204" s="267"/>
      <c r="AB204" s="267"/>
      <c r="AC204" s="267"/>
      <c r="AD204" s="267"/>
      <c r="AE204" s="267"/>
      <c r="AF204" s="267"/>
      <c r="AG204" s="267"/>
      <c r="AH204" s="267"/>
      <c r="AI204" s="267"/>
      <c r="AJ204" s="267"/>
      <c r="AK204" s="267"/>
      <c r="AL204" s="267"/>
      <c r="AM204" s="267"/>
      <c r="AN204" s="267"/>
      <c r="AO204" s="268"/>
    </row>
    <row r="205" spans="2:41" ht="19.5" customHeight="1" x14ac:dyDescent="0.3">
      <c r="B205" s="467" t="s">
        <v>67</v>
      </c>
      <c r="C205" s="467" t="s">
        <v>185</v>
      </c>
      <c r="D205" s="470" t="s">
        <v>207</v>
      </c>
      <c r="E205" s="464">
        <f>IFERROR(SUM(K205:AO205),)</f>
        <v>0</v>
      </c>
      <c r="F205" s="464">
        <f>IFERROR(SUM(K206:AO206),)</f>
        <v>0</v>
      </c>
      <c r="G205" s="464">
        <f>IFERROR(SUM(K207:AO207),)</f>
        <v>0</v>
      </c>
      <c r="H205" s="464">
        <f>IFERROR(SUM(K208:AO208),)</f>
        <v>0</v>
      </c>
      <c r="I205" s="464">
        <f>IFERROR(SUM(K209:AO209),)</f>
        <v>0</v>
      </c>
      <c r="J205" s="254" t="s">
        <v>271</v>
      </c>
      <c r="K205" s="279"/>
      <c r="L205" s="279"/>
      <c r="M205" s="279"/>
      <c r="N205" s="279"/>
      <c r="O205" s="279"/>
      <c r="P205" s="279"/>
      <c r="Q205" s="279"/>
      <c r="R205" s="279"/>
      <c r="S205" s="279"/>
      <c r="T205" s="279"/>
      <c r="U205" s="279"/>
      <c r="V205" s="279"/>
      <c r="W205" s="279"/>
      <c r="X205" s="279"/>
      <c r="Y205" s="279"/>
      <c r="Z205" s="279"/>
      <c r="AA205" s="279"/>
      <c r="AB205" s="279"/>
      <c r="AC205" s="279"/>
      <c r="AD205" s="279"/>
      <c r="AE205" s="279"/>
      <c r="AF205" s="279"/>
      <c r="AG205" s="279"/>
      <c r="AH205" s="279"/>
      <c r="AI205" s="279"/>
      <c r="AJ205" s="279"/>
      <c r="AK205" s="279"/>
      <c r="AL205" s="279"/>
      <c r="AM205" s="279"/>
      <c r="AN205" s="279"/>
      <c r="AO205" s="285"/>
    </row>
    <row r="206" spans="2:41" ht="19.5" customHeight="1" x14ac:dyDescent="0.3">
      <c r="B206" s="468"/>
      <c r="C206" s="468"/>
      <c r="D206" s="471"/>
      <c r="E206" s="465"/>
      <c r="F206" s="465"/>
      <c r="G206" s="465"/>
      <c r="H206" s="465"/>
      <c r="I206" s="465"/>
      <c r="J206" s="254" t="s">
        <v>324</v>
      </c>
      <c r="K206" s="275"/>
      <c r="L206" s="275"/>
      <c r="M206" s="275"/>
      <c r="N206" s="275"/>
      <c r="O206" s="275"/>
      <c r="P206" s="275"/>
      <c r="Q206" s="275"/>
      <c r="R206" s="275"/>
      <c r="S206" s="275"/>
      <c r="T206" s="275"/>
      <c r="U206" s="275"/>
      <c r="V206" s="275"/>
      <c r="W206" s="275"/>
      <c r="X206" s="275"/>
      <c r="Y206" s="275"/>
      <c r="Z206" s="275"/>
      <c r="AA206" s="275"/>
      <c r="AB206" s="275"/>
      <c r="AC206" s="275"/>
      <c r="AD206" s="275"/>
      <c r="AE206" s="275"/>
      <c r="AF206" s="275"/>
      <c r="AG206" s="275"/>
      <c r="AH206" s="275"/>
      <c r="AI206" s="275"/>
      <c r="AJ206" s="275"/>
      <c r="AK206" s="275"/>
      <c r="AL206" s="275"/>
      <c r="AM206" s="275"/>
      <c r="AN206" s="275"/>
      <c r="AO206" s="286"/>
    </row>
    <row r="207" spans="2:41" ht="19.5" customHeight="1" x14ac:dyDescent="0.3">
      <c r="B207" s="468"/>
      <c r="C207" s="468"/>
      <c r="D207" s="471"/>
      <c r="E207" s="465"/>
      <c r="F207" s="465"/>
      <c r="G207" s="465"/>
      <c r="H207" s="465"/>
      <c r="I207" s="465"/>
      <c r="J207" s="254" t="s">
        <v>326</v>
      </c>
      <c r="K207" s="275"/>
      <c r="L207" s="275"/>
      <c r="M207" s="275"/>
      <c r="N207" s="275"/>
      <c r="O207" s="275"/>
      <c r="P207" s="275"/>
      <c r="Q207" s="275"/>
      <c r="R207" s="275"/>
      <c r="S207" s="275"/>
      <c r="T207" s="275"/>
      <c r="U207" s="275"/>
      <c r="V207" s="275"/>
      <c r="W207" s="275"/>
      <c r="X207" s="275"/>
      <c r="Y207" s="275"/>
      <c r="Z207" s="275"/>
      <c r="AA207" s="275"/>
      <c r="AB207" s="275"/>
      <c r="AC207" s="275"/>
      <c r="AD207" s="275"/>
      <c r="AE207" s="275"/>
      <c r="AF207" s="275"/>
      <c r="AG207" s="275"/>
      <c r="AH207" s="275"/>
      <c r="AI207" s="275"/>
      <c r="AJ207" s="275"/>
      <c r="AK207" s="275"/>
      <c r="AL207" s="275"/>
      <c r="AM207" s="275"/>
      <c r="AN207" s="275"/>
      <c r="AO207" s="286"/>
    </row>
    <row r="208" spans="2:41" ht="19.5" customHeight="1" x14ac:dyDescent="0.3">
      <c r="B208" s="468"/>
      <c r="C208" s="468"/>
      <c r="D208" s="471"/>
      <c r="E208" s="465"/>
      <c r="F208" s="465"/>
      <c r="G208" s="465"/>
      <c r="H208" s="465"/>
      <c r="I208" s="465"/>
      <c r="J208" s="254" t="s">
        <v>116</v>
      </c>
      <c r="K208" s="275"/>
      <c r="L208" s="276"/>
      <c r="M208" s="276"/>
      <c r="N208" s="276"/>
      <c r="O208" s="276"/>
      <c r="P208" s="276"/>
      <c r="Q208" s="267"/>
      <c r="R208" s="267"/>
      <c r="S208" s="267"/>
      <c r="T208" s="267"/>
      <c r="U208" s="267"/>
      <c r="V208" s="267"/>
      <c r="W208" s="267"/>
      <c r="X208" s="267"/>
      <c r="Y208" s="267"/>
      <c r="Z208" s="267"/>
      <c r="AA208" s="267"/>
      <c r="AB208" s="267"/>
      <c r="AC208" s="267"/>
      <c r="AD208" s="267"/>
      <c r="AE208" s="267"/>
      <c r="AF208" s="267"/>
      <c r="AG208" s="267"/>
      <c r="AH208" s="267"/>
      <c r="AI208" s="267"/>
      <c r="AJ208" s="267"/>
      <c r="AK208" s="267"/>
      <c r="AL208" s="267"/>
      <c r="AM208" s="267"/>
      <c r="AN208" s="267"/>
      <c r="AO208" s="268"/>
    </row>
    <row r="209" spans="2:41" ht="19.5" customHeight="1" x14ac:dyDescent="0.3">
      <c r="B209" s="469"/>
      <c r="C209" s="469"/>
      <c r="D209" s="472"/>
      <c r="E209" s="466"/>
      <c r="F209" s="466"/>
      <c r="G209" s="466"/>
      <c r="H209" s="466"/>
      <c r="I209" s="466"/>
      <c r="J209" s="253" t="s">
        <v>273</v>
      </c>
      <c r="K209" s="277"/>
      <c r="L209" s="278"/>
      <c r="M209" s="278"/>
      <c r="N209" s="278"/>
      <c r="O209" s="278"/>
      <c r="P209" s="278"/>
      <c r="Q209" s="269"/>
      <c r="R209" s="269"/>
      <c r="S209" s="269"/>
      <c r="T209" s="269"/>
      <c r="U209" s="269"/>
      <c r="V209" s="269"/>
      <c r="W209" s="269"/>
      <c r="X209" s="269"/>
      <c r="Y209" s="269"/>
      <c r="Z209" s="269"/>
      <c r="AA209" s="269"/>
      <c r="AB209" s="269"/>
      <c r="AC209" s="269"/>
      <c r="AD209" s="269"/>
      <c r="AE209" s="269"/>
      <c r="AF209" s="269"/>
      <c r="AG209" s="269"/>
      <c r="AH209" s="269"/>
      <c r="AI209" s="269"/>
      <c r="AJ209" s="269"/>
      <c r="AK209" s="269"/>
      <c r="AL209" s="269"/>
      <c r="AM209" s="269"/>
      <c r="AN209" s="269"/>
      <c r="AO209" s="270"/>
    </row>
    <row r="210" spans="2:41" s="353" customFormat="1" ht="24" customHeight="1" x14ac:dyDescent="0.3">
      <c r="B210" s="348" t="s">
        <v>329</v>
      </c>
      <c r="C210" s="348"/>
      <c r="D210" s="348"/>
      <c r="E210" s="473">
        <f>SUMIF(E5:E209,"&gt;0")</f>
        <v>29600</v>
      </c>
      <c r="F210" s="473">
        <f>SUMIF(F5:F209,"&gt;0")</f>
        <v>11646</v>
      </c>
      <c r="G210" s="473">
        <f>SUMIF(G5:G209,"&gt;0")</f>
        <v>0</v>
      </c>
      <c r="H210" s="473">
        <f>SUMIF(H5:H209,"&gt;0")</f>
        <v>0</v>
      </c>
      <c r="I210" s="473">
        <f>SUMIF(I5:I209,"&gt;0")</f>
        <v>0</v>
      </c>
      <c r="J210" s="349" t="s">
        <v>270</v>
      </c>
      <c r="K210" s="350">
        <f>K5+K10+K15+K20+K25+K30+K35+K40+K45+K50+K55+K60+K65+K70+K75+K80+K85+K90+K95+K100+K105+K110+K115+K120+K125+K130+K135+K140+K145+K150+K155+K160+K165+K170+K175+K180+K185+K190+K195+K200+K205</f>
        <v>1500</v>
      </c>
      <c r="L210" s="350">
        <f t="shared" ref="L210:AO210" si="2">L5+L10+L15+L20+L25+L30+L35+L40+L45+L50+L55+L60+L65+L70+L75+L80+L85+L90+L95+L100+L105+L110+L115+L120+L125+L130+L135+L140+L145+L150+L155+L160+L165+L170+L175+L180+L185+L190+L195+L200+L205</f>
        <v>0</v>
      </c>
      <c r="M210" s="351">
        <f t="shared" si="2"/>
        <v>0</v>
      </c>
      <c r="N210" s="351">
        <f t="shared" si="2"/>
        <v>0</v>
      </c>
      <c r="O210" s="351">
        <f t="shared" si="2"/>
        <v>0</v>
      </c>
      <c r="P210" s="351">
        <f t="shared" si="2"/>
        <v>1500</v>
      </c>
      <c r="Q210" s="351">
        <f t="shared" si="2"/>
        <v>1500</v>
      </c>
      <c r="R210" s="351">
        <f t="shared" si="2"/>
        <v>1500</v>
      </c>
      <c r="S210" s="351">
        <f t="shared" si="2"/>
        <v>1500</v>
      </c>
      <c r="T210" s="351">
        <f t="shared" si="2"/>
        <v>1500</v>
      </c>
      <c r="U210" s="351">
        <f t="shared" si="2"/>
        <v>1200</v>
      </c>
      <c r="V210" s="351">
        <f t="shared" si="2"/>
        <v>1400</v>
      </c>
      <c r="W210" s="351">
        <f t="shared" si="2"/>
        <v>1500</v>
      </c>
      <c r="X210" s="351">
        <f t="shared" si="2"/>
        <v>1500</v>
      </c>
      <c r="Y210" s="351">
        <f t="shared" si="2"/>
        <v>1500</v>
      </c>
      <c r="Z210" s="351">
        <f t="shared" si="2"/>
        <v>1500</v>
      </c>
      <c r="AA210" s="351">
        <f t="shared" si="2"/>
        <v>1500</v>
      </c>
      <c r="AB210" s="351">
        <f t="shared" si="2"/>
        <v>1500</v>
      </c>
      <c r="AC210" s="351">
        <f t="shared" si="2"/>
        <v>1500</v>
      </c>
      <c r="AD210" s="351">
        <f t="shared" si="2"/>
        <v>1500</v>
      </c>
      <c r="AE210" s="351">
        <f t="shared" si="2"/>
        <v>1500</v>
      </c>
      <c r="AF210" s="351">
        <f t="shared" si="2"/>
        <v>1500</v>
      </c>
      <c r="AG210" s="351">
        <f t="shared" si="2"/>
        <v>1500</v>
      </c>
      <c r="AH210" s="351">
        <f t="shared" si="2"/>
        <v>1500</v>
      </c>
      <c r="AI210" s="351">
        <f t="shared" si="2"/>
        <v>0</v>
      </c>
      <c r="AJ210" s="351">
        <f t="shared" si="2"/>
        <v>0</v>
      </c>
      <c r="AK210" s="351">
        <f t="shared" si="2"/>
        <v>0</v>
      </c>
      <c r="AL210" s="351">
        <f t="shared" si="2"/>
        <v>0</v>
      </c>
      <c r="AM210" s="351">
        <f t="shared" si="2"/>
        <v>0</v>
      </c>
      <c r="AN210" s="351">
        <f t="shared" si="2"/>
        <v>0</v>
      </c>
      <c r="AO210" s="352">
        <f t="shared" si="2"/>
        <v>0</v>
      </c>
    </row>
    <row r="211" spans="2:41" s="353" customFormat="1" ht="24" customHeight="1" x14ac:dyDescent="0.3">
      <c r="B211" s="348" t="s">
        <v>330</v>
      </c>
      <c r="C211" s="348"/>
      <c r="D211" s="348"/>
      <c r="E211" s="474"/>
      <c r="F211" s="474"/>
      <c r="G211" s="474"/>
      <c r="H211" s="474"/>
      <c r="I211" s="474"/>
      <c r="J211" s="349" t="s">
        <v>323</v>
      </c>
      <c r="K211" s="350">
        <f>K6+K11+K16+K21+K26+K31+K36+K41+K46+K51+K56+K61+K66+K71+K76+K81+K86+K91+K96+K101+K106+K111+K116+K121+K126+K131+K136+K141+K146+K151+K156+K161+K166+K171+K176+K181+K186+K191+K196+K201+K206</f>
        <v>0</v>
      </c>
      <c r="L211" s="350">
        <f t="shared" ref="L211:AO211" si="3">L6+L11+L16+L21+L26+L31+L36+L41+L46+L51+L56+L61+L66+L71+L76+L81+L86+L91+L96+L101+L106+L111+L116+L121+L126+L131+L136+L141+L146+L151+L156+L161+L166+L171+L176+L181+L186+L191+L196+L201+L206</f>
        <v>0</v>
      </c>
      <c r="M211" s="351">
        <f t="shared" si="3"/>
        <v>0</v>
      </c>
      <c r="N211" s="351">
        <f t="shared" si="3"/>
        <v>913</v>
      </c>
      <c r="O211" s="351">
        <f t="shared" si="3"/>
        <v>225</v>
      </c>
      <c r="P211" s="351">
        <f t="shared" si="3"/>
        <v>1658</v>
      </c>
      <c r="Q211" s="351">
        <f t="shared" si="3"/>
        <v>2186</v>
      </c>
      <c r="R211" s="351">
        <f t="shared" si="3"/>
        <v>868</v>
      </c>
      <c r="S211" s="351">
        <f t="shared" si="3"/>
        <v>0</v>
      </c>
      <c r="T211" s="351">
        <f t="shared" si="3"/>
        <v>0</v>
      </c>
      <c r="U211" s="351">
        <f t="shared" si="3"/>
        <v>2019</v>
      </c>
      <c r="V211" s="351">
        <f t="shared" si="3"/>
        <v>2677</v>
      </c>
      <c r="W211" s="351">
        <f t="shared" si="3"/>
        <v>1100</v>
      </c>
      <c r="X211" s="351">
        <f t="shared" si="3"/>
        <v>0</v>
      </c>
      <c r="Y211" s="351">
        <f t="shared" si="3"/>
        <v>0</v>
      </c>
      <c r="Z211" s="351">
        <f t="shared" si="3"/>
        <v>0</v>
      </c>
      <c r="AA211" s="351">
        <f t="shared" si="3"/>
        <v>0</v>
      </c>
      <c r="AB211" s="351">
        <f t="shared" si="3"/>
        <v>0</v>
      </c>
      <c r="AC211" s="351">
        <f t="shared" si="3"/>
        <v>0</v>
      </c>
      <c r="AD211" s="351">
        <f t="shared" si="3"/>
        <v>0</v>
      </c>
      <c r="AE211" s="351">
        <f t="shared" si="3"/>
        <v>0</v>
      </c>
      <c r="AF211" s="351">
        <f t="shared" si="3"/>
        <v>0</v>
      </c>
      <c r="AG211" s="351">
        <f t="shared" si="3"/>
        <v>0</v>
      </c>
      <c r="AH211" s="351">
        <f t="shared" si="3"/>
        <v>0</v>
      </c>
      <c r="AI211" s="351">
        <f t="shared" si="3"/>
        <v>0</v>
      </c>
      <c r="AJ211" s="351">
        <f t="shared" si="3"/>
        <v>0</v>
      </c>
      <c r="AK211" s="351">
        <f t="shared" si="3"/>
        <v>0</v>
      </c>
      <c r="AL211" s="351">
        <f t="shared" si="3"/>
        <v>0</v>
      </c>
      <c r="AM211" s="351">
        <f t="shared" si="3"/>
        <v>0</v>
      </c>
      <c r="AN211" s="351">
        <f t="shared" si="3"/>
        <v>0</v>
      </c>
      <c r="AO211" s="352">
        <f t="shared" si="3"/>
        <v>0</v>
      </c>
    </row>
    <row r="212" spans="2:41" s="353" customFormat="1" ht="24" customHeight="1" x14ac:dyDescent="0.3">
      <c r="B212" s="348" t="s">
        <v>331</v>
      </c>
      <c r="C212" s="348"/>
      <c r="D212" s="348"/>
      <c r="E212" s="474"/>
      <c r="F212" s="474"/>
      <c r="G212" s="474"/>
      <c r="H212" s="474"/>
      <c r="I212" s="474"/>
      <c r="J212" s="349" t="s">
        <v>325</v>
      </c>
      <c r="K212" s="350">
        <f>K7+K12+K17+K22+K27+K32+K37+K42+K47+K52+K57+K62+K67+K72+K77+K82+K87+K92+K97+K102+K107+K112+K117+K122+K127+K132+K137+K142+K147+K152+K157+K162+K167+K172+K177+K182+K187+K192+K197+K202+K207</f>
        <v>0</v>
      </c>
      <c r="L212" s="350">
        <f t="shared" ref="L212:AO212" si="4">L7+L12+L17+L22+L27+L32+L37+L42+L47+L52+L57+L62+L67+L72+L77+L82+L87+L92+L97+L102+L107+L112+L117+L122+L127+L132+L137+L142+L147+L152+L157+L162+L167+L172+L177+L182+L187+L192+L197+L202+L207</f>
        <v>0</v>
      </c>
      <c r="M212" s="351">
        <f t="shared" si="4"/>
        <v>0</v>
      </c>
      <c r="N212" s="351">
        <f t="shared" si="4"/>
        <v>0</v>
      </c>
      <c r="O212" s="351">
        <f t="shared" si="4"/>
        <v>0</v>
      </c>
      <c r="P212" s="351">
        <f t="shared" si="4"/>
        <v>0</v>
      </c>
      <c r="Q212" s="351">
        <f t="shared" si="4"/>
        <v>0</v>
      </c>
      <c r="R212" s="351">
        <f t="shared" si="4"/>
        <v>0</v>
      </c>
      <c r="S212" s="351">
        <f t="shared" si="4"/>
        <v>0</v>
      </c>
      <c r="T212" s="351">
        <f t="shared" si="4"/>
        <v>0</v>
      </c>
      <c r="U212" s="351">
        <f t="shared" si="4"/>
        <v>0</v>
      </c>
      <c r="V212" s="351">
        <f t="shared" si="4"/>
        <v>0</v>
      </c>
      <c r="W212" s="351">
        <f t="shared" si="4"/>
        <v>0</v>
      </c>
      <c r="X212" s="351">
        <f t="shared" si="4"/>
        <v>0</v>
      </c>
      <c r="Y212" s="351">
        <f t="shared" si="4"/>
        <v>0</v>
      </c>
      <c r="Z212" s="351">
        <f t="shared" si="4"/>
        <v>0</v>
      </c>
      <c r="AA212" s="351">
        <f t="shared" si="4"/>
        <v>0</v>
      </c>
      <c r="AB212" s="351">
        <f t="shared" si="4"/>
        <v>0</v>
      </c>
      <c r="AC212" s="351">
        <f t="shared" si="4"/>
        <v>0</v>
      </c>
      <c r="AD212" s="351">
        <f t="shared" si="4"/>
        <v>0</v>
      </c>
      <c r="AE212" s="351">
        <f t="shared" si="4"/>
        <v>0</v>
      </c>
      <c r="AF212" s="351">
        <f t="shared" si="4"/>
        <v>0</v>
      </c>
      <c r="AG212" s="351">
        <f t="shared" si="4"/>
        <v>0</v>
      </c>
      <c r="AH212" s="351">
        <f t="shared" si="4"/>
        <v>0</v>
      </c>
      <c r="AI212" s="351">
        <f t="shared" si="4"/>
        <v>0</v>
      </c>
      <c r="AJ212" s="351">
        <f t="shared" si="4"/>
        <v>0</v>
      </c>
      <c r="AK212" s="351">
        <f t="shared" si="4"/>
        <v>0</v>
      </c>
      <c r="AL212" s="351">
        <f t="shared" si="4"/>
        <v>0</v>
      </c>
      <c r="AM212" s="351">
        <f t="shared" si="4"/>
        <v>0</v>
      </c>
      <c r="AN212" s="351">
        <f t="shared" si="4"/>
        <v>0</v>
      </c>
      <c r="AO212" s="352">
        <f t="shared" si="4"/>
        <v>0</v>
      </c>
    </row>
    <row r="213" spans="2:41" s="353" customFormat="1" ht="24" customHeight="1" x14ac:dyDescent="0.3">
      <c r="B213" s="348" t="s">
        <v>332</v>
      </c>
      <c r="C213" s="348"/>
      <c r="D213" s="348"/>
      <c r="E213" s="474"/>
      <c r="F213" s="474"/>
      <c r="G213" s="474"/>
      <c r="H213" s="474"/>
      <c r="I213" s="474"/>
      <c r="J213" s="349" t="s">
        <v>262</v>
      </c>
      <c r="K213" s="350">
        <f>K8+K13+K18+K23+K28+K33+K38+K43+K48+K53+K58+K63+K68+K73+K78+K83+K88+K93+K98+K103+K108+K113+K118+K123+K128+K133+K138+K143+K148+K153+K158+K163+K168+K173+K178+K183+K188+K193+K198+K203+K208</f>
        <v>0</v>
      </c>
      <c r="L213" s="350">
        <f t="shared" ref="L213:AO213" si="5">L8+L13+L18+L23+L28+L33+L38+L43+L48+L53+L58+L63+L68+L73+L78+L83+L88+L93+L98+L103+L108+L113+L118+L123+L128+L133+L138+L143+L148+L153+L158+L163+L168+L173+L178+L183+L188+L193+L198+L203+L208</f>
        <v>0</v>
      </c>
      <c r="M213" s="351">
        <f t="shared" si="5"/>
        <v>0</v>
      </c>
      <c r="N213" s="351">
        <f t="shared" si="5"/>
        <v>0</v>
      </c>
      <c r="O213" s="351">
        <f t="shared" si="5"/>
        <v>0</v>
      </c>
      <c r="P213" s="351">
        <f t="shared" si="5"/>
        <v>0</v>
      </c>
      <c r="Q213" s="351">
        <f t="shared" si="5"/>
        <v>0</v>
      </c>
      <c r="R213" s="351">
        <f t="shared" si="5"/>
        <v>0</v>
      </c>
      <c r="S213" s="351">
        <f t="shared" si="5"/>
        <v>0</v>
      </c>
      <c r="T213" s="351">
        <f t="shared" si="5"/>
        <v>0</v>
      </c>
      <c r="U213" s="351">
        <f t="shared" si="5"/>
        <v>0</v>
      </c>
      <c r="V213" s="351">
        <f t="shared" si="5"/>
        <v>0</v>
      </c>
      <c r="W213" s="351">
        <f t="shared" si="5"/>
        <v>0</v>
      </c>
      <c r="X213" s="351">
        <f t="shared" si="5"/>
        <v>0</v>
      </c>
      <c r="Y213" s="351">
        <f t="shared" si="5"/>
        <v>0</v>
      </c>
      <c r="Z213" s="351">
        <f t="shared" si="5"/>
        <v>0</v>
      </c>
      <c r="AA213" s="351">
        <f t="shared" si="5"/>
        <v>0</v>
      </c>
      <c r="AB213" s="351">
        <f t="shared" si="5"/>
        <v>0</v>
      </c>
      <c r="AC213" s="351">
        <f t="shared" si="5"/>
        <v>0</v>
      </c>
      <c r="AD213" s="351">
        <f t="shared" si="5"/>
        <v>0</v>
      </c>
      <c r="AE213" s="351">
        <f t="shared" si="5"/>
        <v>0</v>
      </c>
      <c r="AF213" s="351">
        <f t="shared" si="5"/>
        <v>0</v>
      </c>
      <c r="AG213" s="351">
        <f t="shared" si="5"/>
        <v>0</v>
      </c>
      <c r="AH213" s="351">
        <f t="shared" si="5"/>
        <v>0</v>
      </c>
      <c r="AI213" s="351">
        <f t="shared" si="5"/>
        <v>0</v>
      </c>
      <c r="AJ213" s="351">
        <f t="shared" si="5"/>
        <v>0</v>
      </c>
      <c r="AK213" s="351">
        <f t="shared" si="5"/>
        <v>0</v>
      </c>
      <c r="AL213" s="351">
        <f t="shared" si="5"/>
        <v>0</v>
      </c>
      <c r="AM213" s="351">
        <f t="shared" si="5"/>
        <v>0</v>
      </c>
      <c r="AN213" s="351">
        <f t="shared" si="5"/>
        <v>0</v>
      </c>
      <c r="AO213" s="352">
        <f t="shared" si="5"/>
        <v>0</v>
      </c>
    </row>
    <row r="214" spans="2:41" s="353" customFormat="1" ht="24" customHeight="1" x14ac:dyDescent="0.3">
      <c r="B214" s="348" t="s">
        <v>333</v>
      </c>
      <c r="C214" s="348"/>
      <c r="D214" s="348"/>
      <c r="E214" s="475"/>
      <c r="F214" s="475"/>
      <c r="G214" s="475"/>
      <c r="H214" s="475"/>
      <c r="I214" s="475"/>
      <c r="J214" s="349" t="s">
        <v>272</v>
      </c>
      <c r="K214" s="350">
        <f>K9+K14+K19+K24+K29+K34+K39+K44+K49+K54+K59+K64+K69+K74+K79+K84+K89+K94+K99+K104+K109+K114+K119+K124+K129+K134+K139+K144+K149+K154+K159+K164+K169+K174+K179+K184+K189+K194+K199+K204+K209</f>
        <v>0</v>
      </c>
      <c r="L214" s="350">
        <f t="shared" ref="L214:AO214" si="6">L9+L14+L19+L24+L29+L34+L39+L44+L49+L54+L59+L64+L69+L74+L79+L84+L89+L94+L99+L104+L109+L114+L119+L124+L129+L134+L139+L144+L149+L154+L159+L164+L169+L174+L179+L184+L189+L194+L199+L204+L209</f>
        <v>0</v>
      </c>
      <c r="M214" s="351">
        <f t="shared" si="6"/>
        <v>0</v>
      </c>
      <c r="N214" s="351">
        <f t="shared" si="6"/>
        <v>0</v>
      </c>
      <c r="O214" s="351">
        <f t="shared" si="6"/>
        <v>0</v>
      </c>
      <c r="P214" s="351">
        <f t="shared" si="6"/>
        <v>0</v>
      </c>
      <c r="Q214" s="351">
        <f t="shared" si="6"/>
        <v>0</v>
      </c>
      <c r="R214" s="351">
        <f t="shared" si="6"/>
        <v>0</v>
      </c>
      <c r="S214" s="351">
        <f t="shared" si="6"/>
        <v>0</v>
      </c>
      <c r="T214" s="351">
        <f t="shared" si="6"/>
        <v>0</v>
      </c>
      <c r="U214" s="351">
        <f t="shared" si="6"/>
        <v>0</v>
      </c>
      <c r="V214" s="351">
        <f t="shared" si="6"/>
        <v>0</v>
      </c>
      <c r="W214" s="351">
        <f t="shared" si="6"/>
        <v>0</v>
      </c>
      <c r="X214" s="351">
        <f t="shared" si="6"/>
        <v>0</v>
      </c>
      <c r="Y214" s="351">
        <f t="shared" si="6"/>
        <v>0</v>
      </c>
      <c r="Z214" s="351">
        <f t="shared" si="6"/>
        <v>0</v>
      </c>
      <c r="AA214" s="351">
        <f t="shared" si="6"/>
        <v>0</v>
      </c>
      <c r="AB214" s="351">
        <f t="shared" si="6"/>
        <v>0</v>
      </c>
      <c r="AC214" s="351">
        <f t="shared" si="6"/>
        <v>0</v>
      </c>
      <c r="AD214" s="351">
        <f t="shared" si="6"/>
        <v>0</v>
      </c>
      <c r="AE214" s="351">
        <f t="shared" si="6"/>
        <v>0</v>
      </c>
      <c r="AF214" s="351">
        <f t="shared" si="6"/>
        <v>0</v>
      </c>
      <c r="AG214" s="351">
        <f t="shared" si="6"/>
        <v>0</v>
      </c>
      <c r="AH214" s="351">
        <f t="shared" si="6"/>
        <v>0</v>
      </c>
      <c r="AI214" s="351">
        <f t="shared" si="6"/>
        <v>0</v>
      </c>
      <c r="AJ214" s="351">
        <f t="shared" si="6"/>
        <v>0</v>
      </c>
      <c r="AK214" s="351">
        <f t="shared" si="6"/>
        <v>0</v>
      </c>
      <c r="AL214" s="351">
        <f t="shared" si="6"/>
        <v>0</v>
      </c>
      <c r="AM214" s="351">
        <f t="shared" si="6"/>
        <v>0</v>
      </c>
      <c r="AN214" s="351">
        <f t="shared" si="6"/>
        <v>0</v>
      </c>
      <c r="AO214" s="352">
        <f t="shared" si="6"/>
        <v>0</v>
      </c>
    </row>
  </sheetData>
  <autoFilter ref="B4:AO214" xr:uid="{8267D981-9D11-42EC-B3E3-2CF6F81B7FD1}"/>
  <mergeCells count="333">
    <mergeCell ref="F210:F214"/>
    <mergeCell ref="E210:E214"/>
    <mergeCell ref="G210:G214"/>
    <mergeCell ref="H210:H214"/>
    <mergeCell ref="I210:I214"/>
    <mergeCell ref="F5:F9"/>
    <mergeCell ref="F10:F14"/>
    <mergeCell ref="F15:F19"/>
    <mergeCell ref="F20:F24"/>
    <mergeCell ref="F25:F29"/>
    <mergeCell ref="F30:F34"/>
    <mergeCell ref="F35:F39"/>
    <mergeCell ref="F40:F44"/>
    <mergeCell ref="F45:F49"/>
    <mergeCell ref="G5:G9"/>
    <mergeCell ref="H5:H9"/>
    <mergeCell ref="I5:I9"/>
    <mergeCell ref="E10:E14"/>
    <mergeCell ref="G10:G14"/>
    <mergeCell ref="H10:H14"/>
    <mergeCell ref="I10:I14"/>
    <mergeCell ref="G25:G29"/>
    <mergeCell ref="H25:H29"/>
    <mergeCell ref="I25:I29"/>
    <mergeCell ref="D10:D14"/>
    <mergeCell ref="C10:C14"/>
    <mergeCell ref="B10:B14"/>
    <mergeCell ref="B5:B9"/>
    <mergeCell ref="C5:C9"/>
    <mergeCell ref="D5:D9"/>
    <mergeCell ref="B25:B29"/>
    <mergeCell ref="C25:C29"/>
    <mergeCell ref="D25:D29"/>
    <mergeCell ref="B20:B24"/>
    <mergeCell ref="C20:C24"/>
    <mergeCell ref="D20:D24"/>
    <mergeCell ref="B15:B19"/>
    <mergeCell ref="C15:C19"/>
    <mergeCell ref="D15:D19"/>
    <mergeCell ref="C50:C54"/>
    <mergeCell ref="C45:C49"/>
    <mergeCell ref="C40:C44"/>
    <mergeCell ref="B35:B39"/>
    <mergeCell ref="D35:D39"/>
    <mergeCell ref="C35:C39"/>
    <mergeCell ref="B30:B34"/>
    <mergeCell ref="D30:D34"/>
    <mergeCell ref="C30:C34"/>
    <mergeCell ref="B40:B44"/>
    <mergeCell ref="D40:D44"/>
    <mergeCell ref="B45:B49"/>
    <mergeCell ref="D45:D49"/>
    <mergeCell ref="B50:B54"/>
    <mergeCell ref="D50:D54"/>
    <mergeCell ref="C65:C69"/>
    <mergeCell ref="B65:B69"/>
    <mergeCell ref="D65:D69"/>
    <mergeCell ref="C60:C64"/>
    <mergeCell ref="D60:D64"/>
    <mergeCell ref="C55:C59"/>
    <mergeCell ref="D55:D59"/>
    <mergeCell ref="B55:B59"/>
    <mergeCell ref="B60:B64"/>
    <mergeCell ref="C80:C84"/>
    <mergeCell ref="B80:B84"/>
    <mergeCell ref="D80:D84"/>
    <mergeCell ref="C75:C79"/>
    <mergeCell ref="B75:B79"/>
    <mergeCell ref="D75:D79"/>
    <mergeCell ref="C70:C74"/>
    <mergeCell ref="B100:B104"/>
    <mergeCell ref="D100:D104"/>
    <mergeCell ref="C95:C99"/>
    <mergeCell ref="B95:B99"/>
    <mergeCell ref="D95:D99"/>
    <mergeCell ref="C90:C94"/>
    <mergeCell ref="B90:B94"/>
    <mergeCell ref="D90:D94"/>
    <mergeCell ref="C85:C89"/>
    <mergeCell ref="B85:B89"/>
    <mergeCell ref="D85:D89"/>
    <mergeCell ref="B70:B74"/>
    <mergeCell ref="D70:D74"/>
    <mergeCell ref="B105:B109"/>
    <mergeCell ref="D105:D109"/>
    <mergeCell ref="D110:D114"/>
    <mergeCell ref="C110:C114"/>
    <mergeCell ref="B110:B114"/>
    <mergeCell ref="C100:C104"/>
    <mergeCell ref="C105:C109"/>
    <mergeCell ref="B125:B129"/>
    <mergeCell ref="C125:C129"/>
    <mergeCell ref="D125:D129"/>
    <mergeCell ref="B130:B134"/>
    <mergeCell ref="C130:C134"/>
    <mergeCell ref="D130:D134"/>
    <mergeCell ref="B115:B119"/>
    <mergeCell ref="C115:C119"/>
    <mergeCell ref="D115:D119"/>
    <mergeCell ref="B120:B124"/>
    <mergeCell ref="C120:C124"/>
    <mergeCell ref="D120:D124"/>
    <mergeCell ref="C145:C149"/>
    <mergeCell ref="C150:C154"/>
    <mergeCell ref="C155:C159"/>
    <mergeCell ref="B135:B139"/>
    <mergeCell ref="C135:C139"/>
    <mergeCell ref="D135:D139"/>
    <mergeCell ref="B140:B144"/>
    <mergeCell ref="C140:C144"/>
    <mergeCell ref="D140:D144"/>
    <mergeCell ref="B145:B149"/>
    <mergeCell ref="D145:D149"/>
    <mergeCell ref="B150:B154"/>
    <mergeCell ref="D150:D154"/>
    <mergeCell ref="B155:B159"/>
    <mergeCell ref="D155:D159"/>
    <mergeCell ref="B200:B204"/>
    <mergeCell ref="D200:D204"/>
    <mergeCell ref="E5:E9"/>
    <mergeCell ref="E15:E19"/>
    <mergeCell ref="E25:E29"/>
    <mergeCell ref="E35:E39"/>
    <mergeCell ref="E45:E49"/>
    <mergeCell ref="C205:C209"/>
    <mergeCell ref="B205:B209"/>
    <mergeCell ref="D205:D209"/>
    <mergeCell ref="B175:B179"/>
    <mergeCell ref="D175:D179"/>
    <mergeCell ref="B180:B184"/>
    <mergeCell ref="D180:D184"/>
    <mergeCell ref="B185:B189"/>
    <mergeCell ref="D185:D189"/>
    <mergeCell ref="B190:B194"/>
    <mergeCell ref="C175:C179"/>
    <mergeCell ref="C180:C184"/>
    <mergeCell ref="C185:C189"/>
    <mergeCell ref="C190:C194"/>
    <mergeCell ref="C195:C199"/>
    <mergeCell ref="C200:C204"/>
    <mergeCell ref="B160:B164"/>
    <mergeCell ref="D190:D194"/>
    <mergeCell ref="B195:B199"/>
    <mergeCell ref="D195:D199"/>
    <mergeCell ref="D160:D164"/>
    <mergeCell ref="B165:B169"/>
    <mergeCell ref="C165:C169"/>
    <mergeCell ref="D165:D169"/>
    <mergeCell ref="B170:B174"/>
    <mergeCell ref="C170:C174"/>
    <mergeCell ref="D170:D174"/>
    <mergeCell ref="C160:C164"/>
    <mergeCell ref="E30:E34"/>
    <mergeCell ref="G30:G34"/>
    <mergeCell ref="H30:H34"/>
    <mergeCell ref="I30:I34"/>
    <mergeCell ref="G15:G19"/>
    <mergeCell ref="H15:H19"/>
    <mergeCell ref="I15:I19"/>
    <mergeCell ref="E20:E24"/>
    <mergeCell ref="G20:G24"/>
    <mergeCell ref="H20:H24"/>
    <mergeCell ref="I20:I24"/>
    <mergeCell ref="G45:G49"/>
    <mergeCell ref="H45:H49"/>
    <mergeCell ref="I45:I49"/>
    <mergeCell ref="E50:E54"/>
    <mergeCell ref="G50:G54"/>
    <mergeCell ref="H50:H54"/>
    <mergeCell ref="I50:I54"/>
    <mergeCell ref="G35:G39"/>
    <mergeCell ref="H35:H39"/>
    <mergeCell ref="I35:I39"/>
    <mergeCell ref="E40:E44"/>
    <mergeCell ref="G40:G44"/>
    <mergeCell ref="H40:H44"/>
    <mergeCell ref="I40:I44"/>
    <mergeCell ref="F50:F54"/>
    <mergeCell ref="E65:E69"/>
    <mergeCell ref="G65:G69"/>
    <mergeCell ref="H65:H69"/>
    <mergeCell ref="I65:I69"/>
    <mergeCell ref="E70:E74"/>
    <mergeCell ref="G70:G74"/>
    <mergeCell ref="H70:H74"/>
    <mergeCell ref="I70:I74"/>
    <mergeCell ref="E55:E59"/>
    <mergeCell ref="G55:G59"/>
    <mergeCell ref="H55:H59"/>
    <mergeCell ref="I55:I59"/>
    <mergeCell ref="E60:E64"/>
    <mergeCell ref="G60:G64"/>
    <mergeCell ref="H60:H64"/>
    <mergeCell ref="I60:I64"/>
    <mergeCell ref="F55:F59"/>
    <mergeCell ref="F60:F64"/>
    <mergeCell ref="F65:F69"/>
    <mergeCell ref="F70:F74"/>
    <mergeCell ref="E85:E89"/>
    <mergeCell ref="G85:G89"/>
    <mergeCell ref="H85:H89"/>
    <mergeCell ref="I85:I89"/>
    <mergeCell ref="E90:E94"/>
    <mergeCell ref="G90:G94"/>
    <mergeCell ref="H90:H94"/>
    <mergeCell ref="I90:I94"/>
    <mergeCell ref="E75:E79"/>
    <mergeCell ref="G75:G79"/>
    <mergeCell ref="H75:H79"/>
    <mergeCell ref="I75:I79"/>
    <mergeCell ref="E80:E84"/>
    <mergeCell ref="G80:G84"/>
    <mergeCell ref="H80:H84"/>
    <mergeCell ref="I80:I84"/>
    <mergeCell ref="F75:F79"/>
    <mergeCell ref="F80:F84"/>
    <mergeCell ref="F85:F89"/>
    <mergeCell ref="F90:F94"/>
    <mergeCell ref="E105:E109"/>
    <mergeCell ref="G105:G109"/>
    <mergeCell ref="H105:H109"/>
    <mergeCell ref="I105:I109"/>
    <mergeCell ref="E110:E114"/>
    <mergeCell ref="G110:G114"/>
    <mergeCell ref="H110:H114"/>
    <mergeCell ref="I110:I114"/>
    <mergeCell ref="E95:E99"/>
    <mergeCell ref="G95:G99"/>
    <mergeCell ref="H95:H99"/>
    <mergeCell ref="I95:I99"/>
    <mergeCell ref="E100:E104"/>
    <mergeCell ref="G100:G104"/>
    <mergeCell ref="H100:H104"/>
    <mergeCell ref="I100:I104"/>
    <mergeCell ref="F95:F99"/>
    <mergeCell ref="F100:F104"/>
    <mergeCell ref="F105:F109"/>
    <mergeCell ref="F110:F114"/>
    <mergeCell ref="E125:E129"/>
    <mergeCell ref="G125:G129"/>
    <mergeCell ref="H125:H129"/>
    <mergeCell ref="I125:I129"/>
    <mergeCell ref="E130:E134"/>
    <mergeCell ref="G130:G134"/>
    <mergeCell ref="H130:H134"/>
    <mergeCell ref="I130:I134"/>
    <mergeCell ref="E115:E119"/>
    <mergeCell ref="G115:G119"/>
    <mergeCell ref="H115:H119"/>
    <mergeCell ref="I115:I119"/>
    <mergeCell ref="E120:E124"/>
    <mergeCell ref="G120:G124"/>
    <mergeCell ref="H120:H124"/>
    <mergeCell ref="I120:I124"/>
    <mergeCell ref="F115:F119"/>
    <mergeCell ref="F120:F124"/>
    <mergeCell ref="F125:F129"/>
    <mergeCell ref="F130:F134"/>
    <mergeCell ref="E145:E149"/>
    <mergeCell ref="G145:G149"/>
    <mergeCell ref="H145:H149"/>
    <mergeCell ref="I145:I149"/>
    <mergeCell ref="E150:E154"/>
    <mergeCell ref="G150:G154"/>
    <mergeCell ref="H150:H154"/>
    <mergeCell ref="I150:I154"/>
    <mergeCell ref="E135:E139"/>
    <mergeCell ref="G135:G139"/>
    <mergeCell ref="H135:H139"/>
    <mergeCell ref="I135:I139"/>
    <mergeCell ref="E140:E144"/>
    <mergeCell ref="G140:G144"/>
    <mergeCell ref="H140:H144"/>
    <mergeCell ref="I140:I144"/>
    <mergeCell ref="F135:F139"/>
    <mergeCell ref="F140:F144"/>
    <mergeCell ref="F145:F149"/>
    <mergeCell ref="F150:F154"/>
    <mergeCell ref="E165:E169"/>
    <mergeCell ref="G165:G169"/>
    <mergeCell ref="H165:H169"/>
    <mergeCell ref="I165:I169"/>
    <mergeCell ref="E170:E174"/>
    <mergeCell ref="G170:G174"/>
    <mergeCell ref="H170:H174"/>
    <mergeCell ref="I170:I174"/>
    <mergeCell ref="E155:E159"/>
    <mergeCell ref="G155:G159"/>
    <mergeCell ref="H155:H159"/>
    <mergeCell ref="I155:I159"/>
    <mergeCell ref="E160:E164"/>
    <mergeCell ref="G160:G164"/>
    <mergeCell ref="H160:H164"/>
    <mergeCell ref="I160:I164"/>
    <mergeCell ref="F155:F159"/>
    <mergeCell ref="F160:F164"/>
    <mergeCell ref="F165:F169"/>
    <mergeCell ref="F170:F174"/>
    <mergeCell ref="E185:E189"/>
    <mergeCell ref="G185:G189"/>
    <mergeCell ref="H185:H189"/>
    <mergeCell ref="I185:I189"/>
    <mergeCell ref="E190:E194"/>
    <mergeCell ref="G190:G194"/>
    <mergeCell ref="H190:H194"/>
    <mergeCell ref="I190:I194"/>
    <mergeCell ref="E175:E179"/>
    <mergeCell ref="G175:G179"/>
    <mergeCell ref="H175:H179"/>
    <mergeCell ref="I175:I179"/>
    <mergeCell ref="E180:E184"/>
    <mergeCell ref="G180:G184"/>
    <mergeCell ref="H180:H184"/>
    <mergeCell ref="I180:I184"/>
    <mergeCell ref="F175:F179"/>
    <mergeCell ref="F180:F184"/>
    <mergeCell ref="F185:F189"/>
    <mergeCell ref="F190:F194"/>
    <mergeCell ref="E205:E209"/>
    <mergeCell ref="G205:G209"/>
    <mergeCell ref="H205:H209"/>
    <mergeCell ref="I205:I209"/>
    <mergeCell ref="E195:E199"/>
    <mergeCell ref="G195:G199"/>
    <mergeCell ref="H195:H199"/>
    <mergeCell ref="I195:I199"/>
    <mergeCell ref="E200:E204"/>
    <mergeCell ref="G200:G204"/>
    <mergeCell ref="H200:H204"/>
    <mergeCell ref="I200:I204"/>
    <mergeCell ref="F195:F199"/>
    <mergeCell ref="F200:F204"/>
    <mergeCell ref="F205:F209"/>
  </mergeCells>
  <phoneticPr fontId="2" type="noConversion"/>
  <conditionalFormatting sqref="B175:B176 B170:B171 B165:B166 B160:B161 B155:B156 B150:B151 B145:B146 B140:B141 B135:B136 B130:B131 B125:B126 B120:B121 B115:B116 B110:B111 B105:B106 B100:B101 B95:B96 B90:B91 B85:B86 B80:B81 B75:B76 B70:B71 B65:B66 B60:B61 B55:B56 B50:B51 B45:B46 B40:B41 B35:B36 B30:B31 B25:B26 B20:B21 B15:B16 B10:B11 B1:B5 B180:B181 B185:B186 B190:B191 B195:B196 B200:B201 B205:B206 B215:B1048576">
    <cfRule type="duplicateValues" dxfId="3" priority="27"/>
  </conditionalFormatting>
  <conditionalFormatting sqref="C2">
    <cfRule type="duplicateValues" dxfId="2" priority="25"/>
  </conditionalFormatting>
  <conditionalFormatting sqref="K4:AO4">
    <cfRule type="expression" dxfId="1" priority="22">
      <formula>WEEKDAY(K4)=7</formula>
    </cfRule>
    <cfRule type="expression" dxfId="0" priority="23">
      <formula>WEEKDAY(K4)=1</formula>
    </cfRule>
  </conditionalFormatting>
  <pageMargins left="0.75" right="0.75" top="1" bottom="1" header="0.5" footer="0.5"/>
  <pageSetup paperSize="8" scale="2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9</vt:i4>
      </vt:variant>
      <vt:variant>
        <vt:lpstr>이름 지정된 범위</vt:lpstr>
      </vt:variant>
      <vt:variant>
        <vt:i4>6</vt:i4>
      </vt:variant>
    </vt:vector>
  </HeadingPairs>
  <TitlesOfParts>
    <vt:vector size="15" baseType="lpstr">
      <vt:lpstr>단위공정별S.T(상부)</vt:lpstr>
      <vt:lpstr>단위공정별S.T(Fixture)</vt:lpstr>
      <vt:lpstr>Fixture 총 발주수량</vt:lpstr>
      <vt:lpstr>TEST</vt:lpstr>
      <vt:lpstr>생산계획</vt:lpstr>
      <vt:lpstr>후공정(샌딩)생산계획</vt:lpstr>
      <vt:lpstr>후공정(애칭)생산계획</vt:lpstr>
      <vt:lpstr>클린룸 생산계획</vt:lpstr>
      <vt:lpstr>생산수량Back-Data</vt:lpstr>
      <vt:lpstr>'단위공정별S.T(Fixture)'!Print_Area</vt:lpstr>
      <vt:lpstr>'단위공정별S.T(상부)'!Print_Area</vt:lpstr>
      <vt:lpstr>생산계획!Print_Area</vt:lpstr>
      <vt:lpstr>'생산수량Back-Data'!Print_Area</vt:lpstr>
      <vt:lpstr>'클린룸 생산계획'!Print_Area</vt:lpstr>
      <vt:lpstr>'후공정(애칭)생산계획'!Print_Area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종민 박</dc:creator>
  <cp:lastModifiedBy>종민 박</cp:lastModifiedBy>
  <cp:lastPrinted>2026-05-07T01:03:23Z</cp:lastPrinted>
  <dcterms:created xsi:type="dcterms:W3CDTF">2026-03-11T00:02:47Z</dcterms:created>
  <dcterms:modified xsi:type="dcterms:W3CDTF">2026-05-28T00:43:45Z</dcterms:modified>
</cp:coreProperties>
</file>